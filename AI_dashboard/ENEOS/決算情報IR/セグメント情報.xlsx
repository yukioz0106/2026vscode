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P:\IR\★.2025年度\102.決算・中計\4Q\業績ハイライト\"/>
    </mc:Choice>
  </mc:AlternateContent>
  <xr:revisionPtr revIDLastSave="0" documentId="13_ncr:1_{DAEDF41D-954C-4A66-ACDD-8A327EB41D07}" xr6:coauthVersionLast="47" xr6:coauthVersionMax="47" xr10:uidLastSave="{00000000-0000-0000-0000-000000000000}"/>
  <bookViews>
    <workbookView xWindow="-108" yWindow="-108" windowWidth="23256" windowHeight="12456" tabRatio="824" xr2:uid="{00000000-000D-0000-FFFF-FFFF00000000}"/>
  </bookViews>
  <sheets>
    <sheet name="ENEOS（5020）_IFRS日_FY25" sheetId="28" r:id="rId1"/>
    <sheet name="ENEOS（5020）_IFRS日_FY24" sheetId="18" r:id="rId2"/>
    <sheet name="ENEOS（5020）_IFRS日_FY23" sheetId="26" r:id="rId3"/>
    <sheet name="ENEOS（5020）_IFRS日_FY20-22" sheetId="24" r:id="rId4"/>
    <sheet name="JXTG（5020）_IFRS" sheetId="19" r:id="rId5"/>
    <sheet name="JX（5020）_日本基準" sheetId="17" r:id="rId6"/>
  </sheets>
  <definedNames>
    <definedName name="_xlnm.Print_Area" localSheetId="3">'ENEOS（5020）_IFRS日_FY20-22'!$A$1:$AG$164</definedName>
    <definedName name="_xlnm.Print_Area" localSheetId="2">'ENEOS（5020）_IFRS日_FY23'!$A$1:$O$165</definedName>
    <definedName name="_xlnm.Print_Area" localSheetId="1">'ENEOS（5020）_IFRS日_FY24'!$A$1:$N$183</definedName>
    <definedName name="_xlnm.Print_Area" localSheetId="0">'ENEOS（5020）_IFRS日_FY25'!$A$1:$L$171</definedName>
    <definedName name="_xlnm.Print_Area" localSheetId="5">'JX（5020）_日本基準'!$A$1:$L$172</definedName>
    <definedName name="_xlnm.Print_Area" localSheetId="4">'JXTG（5020）_IFRS'!$A$1:$V$164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59" i="24" l="1"/>
  <c r="I59" i="28"/>
  <c r="J62" i="28"/>
  <c r="J58" i="28"/>
  <c r="E58" i="28"/>
  <c r="J59" i="28"/>
  <c r="I119" i="28" l="1"/>
  <c r="J119" i="28"/>
  <c r="I145" i="28" l="1"/>
  <c r="I138" i="28"/>
  <c r="J143" i="28"/>
  <c r="I143" i="28" s="1"/>
  <c r="J144" i="28"/>
  <c r="I144" i="28" s="1"/>
  <c r="J145" i="28"/>
  <c r="J142" i="28"/>
  <c r="I142" i="28" s="1"/>
  <c r="J141" i="28"/>
  <c r="I141" i="28" s="1"/>
  <c r="J140" i="28"/>
  <c r="I140" i="28" s="1"/>
  <c r="J139" i="28"/>
  <c r="I139" i="28" s="1"/>
  <c r="J138" i="28"/>
  <c r="J137" i="28"/>
  <c r="I137" i="28" s="1"/>
  <c r="J136" i="28"/>
  <c r="I136" i="28" s="1"/>
  <c r="I114" i="28"/>
  <c r="I117" i="28"/>
  <c r="I113" i="28"/>
  <c r="I108" i="28"/>
  <c r="I105" i="28"/>
  <c r="I96" i="28"/>
  <c r="J127" i="28"/>
  <c r="I127" i="28" s="1"/>
  <c r="J122" i="28"/>
  <c r="I122" i="28" s="1"/>
  <c r="J123" i="28"/>
  <c r="I123" i="28" s="1"/>
  <c r="J124" i="28"/>
  <c r="I124" i="28" s="1"/>
  <c r="J125" i="28"/>
  <c r="I125" i="28" s="1"/>
  <c r="J121" i="28"/>
  <c r="I121" i="28" s="1"/>
  <c r="J120" i="28"/>
  <c r="I120" i="28" s="1"/>
  <c r="J114" i="28"/>
  <c r="J115" i="28"/>
  <c r="I115" i="28" s="1"/>
  <c r="J116" i="28"/>
  <c r="I116" i="28" s="1"/>
  <c r="J117" i="28"/>
  <c r="J113" i="28"/>
  <c r="J112" i="28"/>
  <c r="I112" i="28" s="1"/>
  <c r="J111" i="28"/>
  <c r="I111" i="28" s="1"/>
  <c r="J105" i="28"/>
  <c r="J106" i="28"/>
  <c r="I106" i="28" s="1"/>
  <c r="J107" i="28"/>
  <c r="I107" i="28" s="1"/>
  <c r="J108" i="28"/>
  <c r="J109" i="28"/>
  <c r="I109" i="28" s="1"/>
  <c r="J104" i="28"/>
  <c r="I104" i="28" s="1"/>
  <c r="J103" i="28"/>
  <c r="I103" i="28" s="1"/>
  <c r="J98" i="28"/>
  <c r="I98" i="28" s="1"/>
  <c r="J99" i="28"/>
  <c r="I99" i="28" s="1"/>
  <c r="J100" i="28"/>
  <c r="I100" i="28" s="1"/>
  <c r="J101" i="28"/>
  <c r="I101" i="28" s="1"/>
  <c r="J97" i="28"/>
  <c r="I97" i="28" s="1"/>
  <c r="J96" i="28"/>
  <c r="J95" i="28"/>
  <c r="I95" i="28" s="1"/>
  <c r="J74" i="28"/>
  <c r="J72" i="28"/>
  <c r="I72" i="28" s="1"/>
  <c r="I57" i="28"/>
  <c r="J60" i="28"/>
  <c r="I60" i="28" s="1"/>
  <c r="J61" i="28"/>
  <c r="I61" i="28" s="1"/>
  <c r="I62" i="28"/>
  <c r="I58" i="28"/>
  <c r="J56" i="28"/>
  <c r="I56" i="28" s="1"/>
  <c r="J57" i="28"/>
  <c r="J55" i="28"/>
  <c r="I55" i="28" s="1"/>
  <c r="I42" i="28"/>
  <c r="I41" i="28"/>
  <c r="I40" i="28"/>
  <c r="J46" i="28"/>
  <c r="I46" i="28" s="1"/>
  <c r="J45" i="28"/>
  <c r="I45" i="28" s="1"/>
  <c r="J44" i="28"/>
  <c r="I44" i="28" s="1"/>
  <c r="J43" i="28"/>
  <c r="I43" i="28" s="1"/>
  <c r="J42" i="28"/>
  <c r="J41" i="28"/>
  <c r="J35" i="28"/>
  <c r="I35" i="28" s="1"/>
  <c r="J36" i="28"/>
  <c r="I36" i="28" s="1"/>
  <c r="J37" i="28"/>
  <c r="I37" i="28" s="1"/>
  <c r="J38" i="28"/>
  <c r="I38" i="28" s="1"/>
  <c r="J39" i="28"/>
  <c r="I39" i="28" s="1"/>
  <c r="J40" i="28"/>
  <c r="J34" i="28"/>
  <c r="I34" i="28" s="1"/>
  <c r="J33" i="28"/>
  <c r="I33" i="28" s="1"/>
  <c r="H72" i="28"/>
  <c r="H145" i="28"/>
  <c r="H144" i="28"/>
  <c r="H143" i="28"/>
  <c r="H142" i="28"/>
  <c r="H141" i="28"/>
  <c r="H140" i="28"/>
  <c r="H139" i="28"/>
  <c r="H138" i="28"/>
  <c r="H137" i="28"/>
  <c r="H136" i="28"/>
  <c r="H127" i="28"/>
  <c r="H125" i="28"/>
  <c r="H124" i="28"/>
  <c r="H123" i="28"/>
  <c r="H122" i="28"/>
  <c r="H121" i="28"/>
  <c r="H120" i="28"/>
  <c r="H119" i="28"/>
  <c r="H117" i="28"/>
  <c r="H116" i="28"/>
  <c r="H115" i="28"/>
  <c r="H114" i="28"/>
  <c r="H113" i="28"/>
  <c r="H112" i="28"/>
  <c r="H111" i="28"/>
  <c r="H109" i="28"/>
  <c r="H108" i="28"/>
  <c r="H107" i="28"/>
  <c r="H106" i="28"/>
  <c r="H105" i="28"/>
  <c r="H104" i="28"/>
  <c r="H103" i="28"/>
  <c r="H101" i="28"/>
  <c r="H100" i="28"/>
  <c r="H99" i="28"/>
  <c r="H98" i="28"/>
  <c r="H97" i="28"/>
  <c r="H96" i="28"/>
  <c r="H95" i="28"/>
  <c r="H82" i="28"/>
  <c r="H61" i="28"/>
  <c r="H60" i="28"/>
  <c r="H58" i="28"/>
  <c r="H57" i="28"/>
  <c r="H56" i="28"/>
  <c r="H55" i="28"/>
  <c r="H46" i="28"/>
  <c r="H45" i="28"/>
  <c r="H44" i="28"/>
  <c r="H42" i="28"/>
  <c r="H41" i="28"/>
  <c r="H39" i="28"/>
  <c r="H38" i="28"/>
  <c r="H37" i="28"/>
  <c r="H36" i="28"/>
  <c r="H35" i="28"/>
  <c r="H40" i="28" s="1"/>
  <c r="H43" i="28" s="1"/>
  <c r="H34" i="28"/>
  <c r="H33" i="28"/>
  <c r="H23" i="28"/>
  <c r="E95" i="28"/>
  <c r="E33" i="28"/>
  <c r="E145" i="28"/>
  <c r="E144" i="28"/>
  <c r="E143" i="28"/>
  <c r="E142" i="28"/>
  <c r="E141" i="28"/>
  <c r="F140" i="28"/>
  <c r="E140" i="28" s="1"/>
  <c r="E139" i="28"/>
  <c r="E138" i="28"/>
  <c r="E137" i="28"/>
  <c r="E136" i="28"/>
  <c r="E127" i="28"/>
  <c r="E125" i="28"/>
  <c r="E124" i="28"/>
  <c r="E123" i="28"/>
  <c r="E122" i="28"/>
  <c r="E121" i="28"/>
  <c r="E120" i="28"/>
  <c r="E119" i="28"/>
  <c r="E117" i="28"/>
  <c r="E116" i="28"/>
  <c r="E115" i="28"/>
  <c r="E114" i="28"/>
  <c r="E113" i="28"/>
  <c r="E112" i="28"/>
  <c r="E111" i="28"/>
  <c r="E109" i="28"/>
  <c r="E108" i="28"/>
  <c r="E107" i="28"/>
  <c r="E106" i="28"/>
  <c r="E105" i="28"/>
  <c r="E104" i="28"/>
  <c r="E103" i="28"/>
  <c r="E101" i="28"/>
  <c r="E100" i="28"/>
  <c r="E99" i="28"/>
  <c r="E98" i="28"/>
  <c r="E97" i="28"/>
  <c r="E96" i="28"/>
  <c r="E62" i="28"/>
  <c r="E61" i="28"/>
  <c r="E60" i="28"/>
  <c r="E59" i="28"/>
  <c r="E57" i="28"/>
  <c r="E56" i="28"/>
  <c r="E55" i="28"/>
  <c r="E46" i="28"/>
  <c r="E45" i="28"/>
  <c r="E44" i="28"/>
  <c r="E43" i="28"/>
  <c r="E42" i="28"/>
  <c r="E41" i="28"/>
  <c r="E40" i="28"/>
  <c r="E39" i="28"/>
  <c r="E38" i="28"/>
  <c r="E37" i="28"/>
  <c r="E36" i="28"/>
  <c r="E35" i="28"/>
  <c r="E34" i="28"/>
  <c r="D149" i="28" l="1"/>
  <c r="D130" i="28"/>
  <c r="D89" i="28"/>
  <c r="D65" i="28"/>
  <c r="D49" i="28"/>
  <c r="D27" i="28"/>
  <c r="E61" i="18" l="1"/>
  <c r="E58" i="24" l="1"/>
  <c r="E59" i="24"/>
  <c r="E55" i="24" l="1"/>
  <c r="E62" i="18"/>
  <c r="E59" i="18"/>
  <c r="E58" i="18"/>
  <c r="E57" i="18"/>
  <c r="E56" i="18"/>
  <c r="J59" i="18"/>
  <c r="J146" i="18"/>
  <c r="H146" i="18"/>
  <c r="E146" i="18"/>
  <c r="J125" i="18"/>
  <c r="H125" i="18"/>
  <c r="E125" i="18"/>
  <c r="J116" i="18"/>
  <c r="H116" i="18"/>
  <c r="E116" i="18"/>
  <c r="J107" i="18"/>
  <c r="H107" i="18"/>
  <c r="E107" i="18"/>
  <c r="J98" i="18"/>
  <c r="H98" i="18"/>
  <c r="E98" i="18"/>
  <c r="J37" i="18"/>
  <c r="J38" i="18"/>
  <c r="F43" i="18"/>
  <c r="I146" i="18" l="1"/>
  <c r="I125" i="18"/>
  <c r="I116" i="18"/>
  <c r="I98" i="18"/>
  <c r="I107" i="18"/>
  <c r="L45" i="18"/>
  <c r="J45" i="18" s="1"/>
  <c r="J34" i="18"/>
  <c r="J155" i="18"/>
  <c r="J154" i="18"/>
  <c r="J153" i="18"/>
  <c r="J152" i="18"/>
  <c r="J151" i="18"/>
  <c r="J150" i="18"/>
  <c r="J149" i="18"/>
  <c r="J148" i="18"/>
  <c r="J147" i="18"/>
  <c r="J145" i="18"/>
  <c r="J144" i="18"/>
  <c r="J143" i="18"/>
  <c r="J142" i="18"/>
  <c r="J141" i="18"/>
  <c r="J132" i="18"/>
  <c r="J130" i="18"/>
  <c r="J129" i="18"/>
  <c r="J128" i="18"/>
  <c r="J127" i="18"/>
  <c r="J126" i="18"/>
  <c r="J124" i="18"/>
  <c r="J123" i="18"/>
  <c r="J121" i="18"/>
  <c r="J120" i="18"/>
  <c r="J119" i="18"/>
  <c r="J118" i="18"/>
  <c r="J117" i="18"/>
  <c r="J115" i="18"/>
  <c r="J114" i="18"/>
  <c r="J112" i="18"/>
  <c r="J111" i="18"/>
  <c r="J110" i="18"/>
  <c r="J109" i="18"/>
  <c r="J108" i="18"/>
  <c r="J106" i="18"/>
  <c r="J105" i="18"/>
  <c r="J103" i="18"/>
  <c r="J102" i="18"/>
  <c r="J101" i="18"/>
  <c r="J100" i="18"/>
  <c r="J99" i="18"/>
  <c r="J97" i="18"/>
  <c r="J96" i="18"/>
  <c r="J75" i="18"/>
  <c r="J73" i="18"/>
  <c r="J63" i="18"/>
  <c r="J62" i="18"/>
  <c r="J61" i="18"/>
  <c r="J58" i="18"/>
  <c r="J57" i="18"/>
  <c r="J56" i="18"/>
  <c r="J47" i="18"/>
  <c r="J46" i="18"/>
  <c r="J44" i="18"/>
  <c r="J41" i="18"/>
  <c r="J36" i="18"/>
  <c r="H34" i="18" l="1"/>
  <c r="I34" i="18" s="1"/>
  <c r="H155" i="18" l="1"/>
  <c r="I155" i="18" s="1"/>
  <c r="H154" i="18"/>
  <c r="I154" i="18" s="1"/>
  <c r="H153" i="18"/>
  <c r="I153" i="18" s="1"/>
  <c r="H152" i="18"/>
  <c r="I152" i="18" s="1"/>
  <c r="H151" i="18"/>
  <c r="I151" i="18" s="1"/>
  <c r="H150" i="18"/>
  <c r="I150" i="18" s="1"/>
  <c r="H149" i="18"/>
  <c r="I149" i="18" s="1"/>
  <c r="H148" i="18"/>
  <c r="I148" i="18" s="1"/>
  <c r="H147" i="18"/>
  <c r="I147" i="18" s="1"/>
  <c r="H145" i="18"/>
  <c r="I145" i="18" s="1"/>
  <c r="H144" i="18"/>
  <c r="I144" i="18" s="1"/>
  <c r="H143" i="18"/>
  <c r="I143" i="18" s="1"/>
  <c r="H142" i="18"/>
  <c r="I142" i="18" s="1"/>
  <c r="H141" i="18"/>
  <c r="I141" i="18" s="1"/>
  <c r="H132" i="18"/>
  <c r="I132" i="18" s="1"/>
  <c r="H130" i="18"/>
  <c r="I130" i="18" s="1"/>
  <c r="H129" i="18"/>
  <c r="I129" i="18" s="1"/>
  <c r="H128" i="18"/>
  <c r="I128" i="18" s="1"/>
  <c r="H127" i="18"/>
  <c r="I127" i="18" s="1"/>
  <c r="H126" i="18"/>
  <c r="I126" i="18" s="1"/>
  <c r="H124" i="18"/>
  <c r="I124" i="18" s="1"/>
  <c r="H123" i="18"/>
  <c r="I123" i="18" s="1"/>
  <c r="H121" i="18"/>
  <c r="I121" i="18" s="1"/>
  <c r="H120" i="18"/>
  <c r="I120" i="18" s="1"/>
  <c r="H119" i="18"/>
  <c r="I119" i="18" s="1"/>
  <c r="H118" i="18"/>
  <c r="I118" i="18" s="1"/>
  <c r="H117" i="18"/>
  <c r="I117" i="18" s="1"/>
  <c r="H115" i="18"/>
  <c r="I115" i="18" s="1"/>
  <c r="H114" i="18"/>
  <c r="H112" i="18"/>
  <c r="I112" i="18" s="1"/>
  <c r="H111" i="18"/>
  <c r="I111" i="18" s="1"/>
  <c r="H110" i="18"/>
  <c r="I110" i="18" s="1"/>
  <c r="H109" i="18"/>
  <c r="I109" i="18" s="1"/>
  <c r="H108" i="18"/>
  <c r="I108" i="18" s="1"/>
  <c r="H106" i="18"/>
  <c r="I106" i="18" s="1"/>
  <c r="H105" i="18"/>
  <c r="I105" i="18" s="1"/>
  <c r="H103" i="18"/>
  <c r="I103" i="18" s="1"/>
  <c r="H102" i="18"/>
  <c r="I102" i="18" s="1"/>
  <c r="H101" i="18"/>
  <c r="I101" i="18" s="1"/>
  <c r="H100" i="18"/>
  <c r="I100" i="18" s="1"/>
  <c r="H99" i="18"/>
  <c r="I99" i="18" s="1"/>
  <c r="H97" i="18"/>
  <c r="I97" i="18" s="1"/>
  <c r="H96" i="18"/>
  <c r="I96" i="18" s="1"/>
  <c r="H73" i="18"/>
  <c r="I73" i="18" s="1"/>
  <c r="H62" i="18"/>
  <c r="I62" i="18" s="1"/>
  <c r="H61" i="18"/>
  <c r="I61" i="18" s="1"/>
  <c r="H59" i="18"/>
  <c r="I59" i="18" s="1"/>
  <c r="H58" i="18"/>
  <c r="I58" i="18" s="1"/>
  <c r="H57" i="18"/>
  <c r="I57" i="18" s="1"/>
  <c r="H56" i="18"/>
  <c r="I56" i="18" s="1"/>
  <c r="H47" i="18"/>
  <c r="I47" i="18" s="1"/>
  <c r="H46" i="18"/>
  <c r="I46" i="18" s="1"/>
  <c r="H45" i="18"/>
  <c r="I45" i="18" s="1"/>
  <c r="H42" i="18"/>
  <c r="H40" i="18"/>
  <c r="H39" i="18"/>
  <c r="H38" i="18"/>
  <c r="I38" i="18" s="1"/>
  <c r="H37" i="18"/>
  <c r="I37" i="18" s="1"/>
  <c r="H36" i="18"/>
  <c r="I36" i="18" s="1"/>
  <c r="H83" i="18"/>
  <c r="H41" i="18" l="1"/>
  <c r="H22" i="18"/>
  <c r="H24" i="18" s="1"/>
  <c r="H21" i="18"/>
  <c r="H14" i="18"/>
  <c r="H18" i="18" s="1"/>
  <c r="E155" i="18"/>
  <c r="E154" i="18"/>
  <c r="E153" i="18"/>
  <c r="E152" i="18"/>
  <c r="E151" i="18"/>
  <c r="E150" i="18"/>
  <c r="E149" i="18"/>
  <c r="E148" i="18"/>
  <c r="E147" i="18"/>
  <c r="E145" i="18"/>
  <c r="E144" i="18"/>
  <c r="E143" i="18"/>
  <c r="E142" i="18"/>
  <c r="E141" i="18"/>
  <c r="E132" i="18"/>
  <c r="E130" i="18"/>
  <c r="E129" i="18"/>
  <c r="E128" i="18"/>
  <c r="E127" i="18"/>
  <c r="E126" i="18"/>
  <c r="E124" i="18"/>
  <c r="E123" i="18"/>
  <c r="E121" i="18"/>
  <c r="E120" i="18"/>
  <c r="E119" i="18"/>
  <c r="E118" i="18"/>
  <c r="E117" i="18"/>
  <c r="E115" i="18"/>
  <c r="E114" i="18"/>
  <c r="E112" i="18"/>
  <c r="E111" i="18"/>
  <c r="E110" i="18"/>
  <c r="E109" i="18"/>
  <c r="E108" i="18"/>
  <c r="E106" i="18"/>
  <c r="E105" i="18"/>
  <c r="E103" i="18"/>
  <c r="E102" i="18"/>
  <c r="E101" i="18"/>
  <c r="E100" i="18"/>
  <c r="E99" i="18"/>
  <c r="E97" i="18"/>
  <c r="E96" i="18"/>
  <c r="E47" i="18"/>
  <c r="E46" i="18"/>
  <c r="E45" i="18"/>
  <c r="E44" i="18"/>
  <c r="E43" i="18"/>
  <c r="E42" i="18"/>
  <c r="E41" i="18"/>
  <c r="E40" i="18"/>
  <c r="E39" i="18"/>
  <c r="E38" i="18"/>
  <c r="E37" i="18"/>
  <c r="E34" i="18"/>
  <c r="F35" i="18"/>
  <c r="F24" i="18"/>
  <c r="F21" i="18"/>
  <c r="F18" i="18"/>
  <c r="H43" i="18" l="1"/>
  <c r="H44" i="18" s="1"/>
  <c r="I44" i="18" s="1"/>
  <c r="J35" i="18"/>
  <c r="H35" i="18"/>
  <c r="E35" i="18"/>
  <c r="I41" i="18"/>
  <c r="D36" i="18"/>
  <c r="E36" i="18" s="1"/>
  <c r="D146" i="26"/>
  <c r="J142" i="26"/>
  <c r="I142" i="26"/>
  <c r="H142" i="26"/>
  <c r="J141" i="26"/>
  <c r="I141" i="26" s="1"/>
  <c r="H141" i="26"/>
  <c r="J140" i="26"/>
  <c r="H140" i="26"/>
  <c r="I140" i="26" s="1"/>
  <c r="J139" i="26"/>
  <c r="I139" i="26"/>
  <c r="H139" i="26"/>
  <c r="J138" i="26"/>
  <c r="I138" i="26"/>
  <c r="H138" i="26"/>
  <c r="J137" i="26"/>
  <c r="H137" i="26"/>
  <c r="I137" i="26" s="1"/>
  <c r="J136" i="26"/>
  <c r="H136" i="26"/>
  <c r="I136" i="26" s="1"/>
  <c r="J135" i="26"/>
  <c r="I135" i="26"/>
  <c r="H135" i="26"/>
  <c r="J134" i="26"/>
  <c r="I134" i="26"/>
  <c r="H134" i="26"/>
  <c r="J133" i="26"/>
  <c r="H133" i="26"/>
  <c r="I133" i="26" s="1"/>
  <c r="J132" i="26"/>
  <c r="H132" i="26"/>
  <c r="I132" i="26" s="1"/>
  <c r="J131" i="26"/>
  <c r="I131" i="26"/>
  <c r="H131" i="26"/>
  <c r="J130" i="26"/>
  <c r="I130" i="26"/>
  <c r="H130" i="26"/>
  <c r="J129" i="26"/>
  <c r="H129" i="26"/>
  <c r="I129" i="26" s="1"/>
  <c r="J128" i="26"/>
  <c r="H128" i="26"/>
  <c r="I128" i="26" s="1"/>
  <c r="D122" i="26"/>
  <c r="J119" i="26"/>
  <c r="I119" i="26" s="1"/>
  <c r="H119" i="26"/>
  <c r="J117" i="26"/>
  <c r="I117" i="26" s="1"/>
  <c r="H117" i="26"/>
  <c r="J116" i="26"/>
  <c r="I116" i="26"/>
  <c r="H116" i="26"/>
  <c r="J115" i="26"/>
  <c r="I115" i="26"/>
  <c r="H115" i="26"/>
  <c r="J114" i="26"/>
  <c r="I114" i="26" s="1"/>
  <c r="H114" i="26"/>
  <c r="J113" i="26"/>
  <c r="I113" i="26" s="1"/>
  <c r="H113" i="26"/>
  <c r="J111" i="26"/>
  <c r="I111" i="26"/>
  <c r="H111" i="26"/>
  <c r="J110" i="26"/>
  <c r="I110" i="26"/>
  <c r="H110" i="26"/>
  <c r="J109" i="26"/>
  <c r="I109" i="26" s="1"/>
  <c r="H109" i="26"/>
  <c r="J108" i="26"/>
  <c r="I108" i="26" s="1"/>
  <c r="H108" i="26"/>
  <c r="J107" i="26"/>
  <c r="I107" i="26"/>
  <c r="H107" i="26"/>
  <c r="J105" i="26"/>
  <c r="I105" i="26"/>
  <c r="H105" i="26"/>
  <c r="J104" i="26"/>
  <c r="I104" i="26" s="1"/>
  <c r="H104" i="26"/>
  <c r="J103" i="26"/>
  <c r="I103" i="26" s="1"/>
  <c r="H103" i="26"/>
  <c r="J102" i="26"/>
  <c r="I102" i="26"/>
  <c r="H102" i="26"/>
  <c r="J101" i="26"/>
  <c r="I101" i="26"/>
  <c r="H101" i="26"/>
  <c r="J99" i="26"/>
  <c r="I99" i="26" s="1"/>
  <c r="H99" i="26"/>
  <c r="J98" i="26"/>
  <c r="I98" i="26" s="1"/>
  <c r="H98" i="26"/>
  <c r="J97" i="26"/>
  <c r="I97" i="26"/>
  <c r="H97" i="26"/>
  <c r="J96" i="26"/>
  <c r="I96" i="26"/>
  <c r="H96" i="26"/>
  <c r="J95" i="26"/>
  <c r="I95" i="26" s="1"/>
  <c r="H95" i="26"/>
  <c r="D89" i="26"/>
  <c r="J72" i="26"/>
  <c r="H72" i="26"/>
  <c r="I72" i="26" s="1"/>
  <c r="E72" i="26"/>
  <c r="D65" i="26"/>
  <c r="J61" i="26"/>
  <c r="I61" i="26"/>
  <c r="H61" i="26"/>
  <c r="J60" i="26"/>
  <c r="I60" i="26" s="1"/>
  <c r="H60" i="26"/>
  <c r="J58" i="26"/>
  <c r="I58" i="26" s="1"/>
  <c r="H58" i="26"/>
  <c r="J57" i="26"/>
  <c r="I57" i="26"/>
  <c r="H57" i="26"/>
  <c r="J56" i="26"/>
  <c r="I56" i="26"/>
  <c r="H56" i="26"/>
  <c r="J55" i="26"/>
  <c r="I55" i="26" s="1"/>
  <c r="H55" i="26"/>
  <c r="D49" i="26"/>
  <c r="J46" i="26"/>
  <c r="I46" i="26"/>
  <c r="H46" i="26"/>
  <c r="J45" i="26"/>
  <c r="I45" i="26" s="1"/>
  <c r="H45" i="26"/>
  <c r="J44" i="26"/>
  <c r="I44" i="26" s="1"/>
  <c r="H44" i="26"/>
  <c r="J43" i="26"/>
  <c r="I43" i="26" s="1"/>
  <c r="H43" i="26"/>
  <c r="J42" i="26"/>
  <c r="I42" i="26"/>
  <c r="H42" i="26"/>
  <c r="J41" i="26"/>
  <c r="I41" i="26" s="1"/>
  <c r="H41" i="26"/>
  <c r="J40" i="26"/>
  <c r="I40" i="26" s="1"/>
  <c r="H40" i="26"/>
  <c r="J39" i="26"/>
  <c r="I39" i="26" s="1"/>
  <c r="H39" i="26"/>
  <c r="J38" i="26"/>
  <c r="I38" i="26"/>
  <c r="H38" i="26"/>
  <c r="J37" i="26"/>
  <c r="I37" i="26" s="1"/>
  <c r="H37" i="26"/>
  <c r="J36" i="26"/>
  <c r="I36" i="26" s="1"/>
  <c r="H36" i="26"/>
  <c r="J35" i="26"/>
  <c r="I35" i="26" s="1"/>
  <c r="H35" i="26"/>
  <c r="J34" i="26"/>
  <c r="I34" i="26"/>
  <c r="H34" i="26"/>
  <c r="J33" i="26"/>
  <c r="I33" i="26" s="1"/>
  <c r="H33" i="26"/>
  <c r="D27" i="26"/>
  <c r="D20" i="26"/>
  <c r="D17" i="26"/>
  <c r="I35" i="18" l="1"/>
  <c r="D24" i="18"/>
  <c r="H72" i="24" l="1"/>
  <c r="D21" i="18"/>
  <c r="D18" i="18"/>
  <c r="X145" i="24" l="1"/>
  <c r="N145" i="24"/>
  <c r="D145" i="24"/>
  <c r="AD141" i="24"/>
  <c r="AB141" i="24"/>
  <c r="Y141" i="24"/>
  <c r="T141" i="24"/>
  <c r="R141" i="24"/>
  <c r="O141" i="24"/>
  <c r="J141" i="24"/>
  <c r="H141" i="24"/>
  <c r="E141" i="24"/>
  <c r="AD140" i="24"/>
  <c r="AB140" i="24"/>
  <c r="Y140" i="24"/>
  <c r="T140" i="24"/>
  <c r="R140" i="24"/>
  <c r="O140" i="24"/>
  <c r="J140" i="24"/>
  <c r="I140" i="24"/>
  <c r="E140" i="24"/>
  <c r="AD139" i="24"/>
  <c r="AB139" i="24"/>
  <c r="Y139" i="24"/>
  <c r="T139" i="24"/>
  <c r="R139" i="24"/>
  <c r="O139" i="24"/>
  <c r="J139" i="24"/>
  <c r="I139" i="24"/>
  <c r="E139" i="24"/>
  <c r="AD138" i="24"/>
  <c r="AB138" i="24"/>
  <c r="Y138" i="24"/>
  <c r="T138" i="24"/>
  <c r="R138" i="24"/>
  <c r="O138" i="24"/>
  <c r="J138" i="24"/>
  <c r="H138" i="24"/>
  <c r="E138" i="24"/>
  <c r="AD137" i="24"/>
  <c r="AB137" i="24"/>
  <c r="Y137" i="24"/>
  <c r="T137" i="24"/>
  <c r="R137" i="24"/>
  <c r="O137" i="24"/>
  <c r="J137" i="24"/>
  <c r="H137" i="24"/>
  <c r="E137" i="24"/>
  <c r="AD136" i="24"/>
  <c r="AB136" i="24"/>
  <c r="Y136" i="24"/>
  <c r="T136" i="24"/>
  <c r="R136" i="24"/>
  <c r="O136" i="24"/>
  <c r="J136" i="24"/>
  <c r="H136" i="24"/>
  <c r="E136" i="24"/>
  <c r="AD135" i="24"/>
  <c r="AB135" i="24"/>
  <c r="Y135" i="24"/>
  <c r="T135" i="24"/>
  <c r="R135" i="24"/>
  <c r="O135" i="24"/>
  <c r="J135" i="24"/>
  <c r="H135" i="24"/>
  <c r="E135" i="24"/>
  <c r="AD134" i="24"/>
  <c r="AB134" i="24"/>
  <c r="Y134" i="24"/>
  <c r="T134" i="24"/>
  <c r="R134" i="24"/>
  <c r="O134" i="24"/>
  <c r="J134" i="24"/>
  <c r="H134" i="24"/>
  <c r="E134" i="24"/>
  <c r="AD133" i="24"/>
  <c r="AB133" i="24"/>
  <c r="Y133" i="24"/>
  <c r="T133" i="24"/>
  <c r="R133" i="24"/>
  <c r="O133" i="24"/>
  <c r="J133" i="24"/>
  <c r="H133" i="24"/>
  <c r="E133" i="24"/>
  <c r="AD132" i="24"/>
  <c r="AB132" i="24"/>
  <c r="Y132" i="24"/>
  <c r="T132" i="24"/>
  <c r="R132" i="24"/>
  <c r="O132" i="24"/>
  <c r="J132" i="24"/>
  <c r="H132" i="24"/>
  <c r="E132" i="24"/>
  <c r="AD131" i="24"/>
  <c r="AB131" i="24"/>
  <c r="Y131" i="24"/>
  <c r="T131" i="24"/>
  <c r="R131" i="24"/>
  <c r="O131" i="24"/>
  <c r="J131" i="24"/>
  <c r="H131" i="24"/>
  <c r="E131" i="24"/>
  <c r="AD130" i="24"/>
  <c r="AB130" i="24"/>
  <c r="Y130" i="24"/>
  <c r="T130" i="24"/>
  <c r="R130" i="24"/>
  <c r="O130" i="24"/>
  <c r="J130" i="24"/>
  <c r="H130" i="24"/>
  <c r="E130" i="24"/>
  <c r="AD129" i="24"/>
  <c r="AB129" i="24"/>
  <c r="Y129" i="24"/>
  <c r="T129" i="24"/>
  <c r="R129" i="24"/>
  <c r="O129" i="24"/>
  <c r="J129" i="24"/>
  <c r="H129" i="24"/>
  <c r="E129" i="24"/>
  <c r="AF128" i="24"/>
  <c r="AB128" i="24"/>
  <c r="Y128" i="24"/>
  <c r="V128" i="24"/>
  <c r="T128" i="24"/>
  <c r="S128" i="24"/>
  <c r="R128" i="24"/>
  <c r="O128" i="24"/>
  <c r="J128" i="24"/>
  <c r="I128" i="24"/>
  <c r="H128" i="24"/>
  <c r="E128" i="24"/>
  <c r="AD127" i="24"/>
  <c r="AC127" i="24"/>
  <c r="AB127" i="24"/>
  <c r="Y127" i="24"/>
  <c r="T127" i="24"/>
  <c r="S127" i="24"/>
  <c r="R127" i="24"/>
  <c r="O127" i="24"/>
  <c r="J127" i="24"/>
  <c r="I127" i="24"/>
  <c r="H127" i="24"/>
  <c r="E127" i="24"/>
  <c r="X121" i="24"/>
  <c r="N121" i="24"/>
  <c r="D121" i="24"/>
  <c r="AD117" i="24"/>
  <c r="AB117" i="24"/>
  <c r="Y117" i="24"/>
  <c r="T117" i="24"/>
  <c r="R117" i="24"/>
  <c r="O117" i="24"/>
  <c r="J117" i="24"/>
  <c r="H117" i="24"/>
  <c r="E117" i="24"/>
  <c r="AD116" i="24"/>
  <c r="AB116" i="24"/>
  <c r="Y116" i="24"/>
  <c r="T116" i="24"/>
  <c r="R116" i="24"/>
  <c r="O116" i="24"/>
  <c r="J116" i="24"/>
  <c r="H116" i="24"/>
  <c r="E116" i="24"/>
  <c r="AD115" i="24"/>
  <c r="AB115" i="24"/>
  <c r="Y115" i="24"/>
  <c r="T115" i="24"/>
  <c r="R115" i="24"/>
  <c r="O115" i="24"/>
  <c r="J115" i="24"/>
  <c r="H115" i="24"/>
  <c r="E115" i="24"/>
  <c r="AD114" i="24"/>
  <c r="AB114" i="24"/>
  <c r="Y114" i="24"/>
  <c r="T114" i="24"/>
  <c r="R114" i="24"/>
  <c r="O114" i="24"/>
  <c r="J114" i="24"/>
  <c r="H114" i="24"/>
  <c r="E114" i="24"/>
  <c r="AD113" i="24"/>
  <c r="AB113" i="24"/>
  <c r="Y113" i="24"/>
  <c r="T113" i="24"/>
  <c r="R113" i="24"/>
  <c r="O113" i="24"/>
  <c r="J113" i="24"/>
  <c r="H113" i="24"/>
  <c r="E113" i="24"/>
  <c r="AD112" i="24"/>
  <c r="AC112" i="24"/>
  <c r="T112" i="24"/>
  <c r="S112" i="24" s="1"/>
  <c r="J112" i="24"/>
  <c r="I112" i="24"/>
  <c r="AD111" i="24"/>
  <c r="AB111" i="24"/>
  <c r="Y111" i="24"/>
  <c r="T111" i="24"/>
  <c r="R111" i="24"/>
  <c r="O111" i="24"/>
  <c r="J111" i="24"/>
  <c r="H111" i="24"/>
  <c r="E111" i="24"/>
  <c r="AD110" i="24"/>
  <c r="AB110" i="24"/>
  <c r="Y110" i="24"/>
  <c r="T110" i="24"/>
  <c r="R110" i="24"/>
  <c r="O110" i="24"/>
  <c r="J110" i="24"/>
  <c r="H110" i="24"/>
  <c r="E110" i="24"/>
  <c r="AD109" i="24"/>
  <c r="AB109" i="24"/>
  <c r="Y109" i="24"/>
  <c r="T109" i="24"/>
  <c r="R109" i="24"/>
  <c r="O109" i="24"/>
  <c r="J109" i="24"/>
  <c r="H109" i="24"/>
  <c r="E109" i="24"/>
  <c r="AD108" i="24"/>
  <c r="AB108" i="24"/>
  <c r="Y108" i="24"/>
  <c r="T108" i="24"/>
  <c r="R108" i="24"/>
  <c r="O108" i="24"/>
  <c r="J108" i="24"/>
  <c r="H108" i="24"/>
  <c r="E108" i="24"/>
  <c r="AD107" i="24"/>
  <c r="AB107" i="24"/>
  <c r="Y107" i="24"/>
  <c r="T107" i="24"/>
  <c r="R107" i="24"/>
  <c r="O107" i="24"/>
  <c r="J107" i="24"/>
  <c r="H107" i="24"/>
  <c r="E107" i="24"/>
  <c r="J106" i="24"/>
  <c r="I106" i="24" s="1"/>
  <c r="AD105" i="24"/>
  <c r="AB105" i="24"/>
  <c r="Y105" i="24"/>
  <c r="T105" i="24"/>
  <c r="R105" i="24"/>
  <c r="O105" i="24"/>
  <c r="J105" i="24"/>
  <c r="H105" i="24"/>
  <c r="E105" i="24"/>
  <c r="AD104" i="24"/>
  <c r="AB104" i="24"/>
  <c r="Y104" i="24"/>
  <c r="T104" i="24"/>
  <c r="R104" i="24"/>
  <c r="O104" i="24"/>
  <c r="J104" i="24"/>
  <c r="H104" i="24"/>
  <c r="E104" i="24"/>
  <c r="AD103" i="24"/>
  <c r="AB103" i="24"/>
  <c r="Y103" i="24"/>
  <c r="T103" i="24"/>
  <c r="R103" i="24"/>
  <c r="O103" i="24"/>
  <c r="J103" i="24"/>
  <c r="H103" i="24"/>
  <c r="E103" i="24"/>
  <c r="AD102" i="24"/>
  <c r="AB102" i="24"/>
  <c r="Y102" i="24"/>
  <c r="T102" i="24"/>
  <c r="R102" i="24"/>
  <c r="O102" i="24"/>
  <c r="J102" i="24"/>
  <c r="H102" i="24"/>
  <c r="E102" i="24"/>
  <c r="AD101" i="24"/>
  <c r="AB101" i="24"/>
  <c r="Y101" i="24"/>
  <c r="T101" i="24"/>
  <c r="R101" i="24"/>
  <c r="O101" i="24"/>
  <c r="J101" i="24"/>
  <c r="H101" i="24"/>
  <c r="E101" i="24"/>
  <c r="AD100" i="24"/>
  <c r="AC100" i="24"/>
  <c r="T100" i="24"/>
  <c r="S100" i="24" s="1"/>
  <c r="J100" i="24"/>
  <c r="I100" i="24"/>
  <c r="AD99" i="24"/>
  <c r="AB99" i="24"/>
  <c r="Y99" i="24"/>
  <c r="T99" i="24"/>
  <c r="R99" i="24"/>
  <c r="O99" i="24"/>
  <c r="J99" i="24"/>
  <c r="H99" i="24"/>
  <c r="E99" i="24"/>
  <c r="AD98" i="24"/>
  <c r="AB98" i="24"/>
  <c r="Y98" i="24"/>
  <c r="T98" i="24"/>
  <c r="R98" i="24"/>
  <c r="O98" i="24"/>
  <c r="J98" i="24"/>
  <c r="H98" i="24"/>
  <c r="E98" i="24"/>
  <c r="AD97" i="24"/>
  <c r="AB97" i="24"/>
  <c r="Y97" i="24"/>
  <c r="T97" i="24"/>
  <c r="R97" i="24"/>
  <c r="O97" i="24"/>
  <c r="J97" i="24"/>
  <c r="H97" i="24"/>
  <c r="E97" i="24"/>
  <c r="AD96" i="24"/>
  <c r="AB96" i="24"/>
  <c r="Y96" i="24"/>
  <c r="T96" i="24"/>
  <c r="R96" i="24"/>
  <c r="O96" i="24"/>
  <c r="J96" i="24"/>
  <c r="H96" i="24"/>
  <c r="E96" i="24"/>
  <c r="AD95" i="24"/>
  <c r="AB95" i="24"/>
  <c r="Y95" i="24"/>
  <c r="T95" i="24"/>
  <c r="R95" i="24"/>
  <c r="O95" i="24"/>
  <c r="J95" i="24"/>
  <c r="H95" i="24"/>
  <c r="E95" i="24"/>
  <c r="X89" i="24"/>
  <c r="N89" i="24"/>
  <c r="D89" i="24"/>
  <c r="AB74" i="24"/>
  <c r="AD72" i="24"/>
  <c r="AB72" i="24"/>
  <c r="Y72" i="24"/>
  <c r="T72" i="24"/>
  <c r="O72" i="24"/>
  <c r="J72" i="24"/>
  <c r="I72" i="24"/>
  <c r="X65" i="24"/>
  <c r="N65" i="24"/>
  <c r="D65" i="24"/>
  <c r="X62" i="24"/>
  <c r="N62" i="24"/>
  <c r="J62" i="24"/>
  <c r="D62" i="24"/>
  <c r="I61" i="24"/>
  <c r="AD60" i="24"/>
  <c r="AB60" i="24"/>
  <c r="Y60" i="24"/>
  <c r="T60" i="24"/>
  <c r="R60" i="24"/>
  <c r="O60" i="24"/>
  <c r="J60" i="24"/>
  <c r="H60" i="24"/>
  <c r="E60" i="24"/>
  <c r="AB59" i="24"/>
  <c r="Y59" i="24"/>
  <c r="X59" i="24"/>
  <c r="S59" i="24"/>
  <c r="R59" i="24"/>
  <c r="O59" i="24"/>
  <c r="J59" i="24"/>
  <c r="H59" i="24"/>
  <c r="AD58" i="24"/>
  <c r="Y58" i="24"/>
  <c r="T58" i="24"/>
  <c r="O58" i="24"/>
  <c r="J58" i="24"/>
  <c r="AD57" i="24"/>
  <c r="AB57" i="24"/>
  <c r="Y57" i="24"/>
  <c r="T57" i="24"/>
  <c r="R57" i="24"/>
  <c r="O57" i="24"/>
  <c r="J57" i="24"/>
  <c r="H57" i="24"/>
  <c r="E57" i="24"/>
  <c r="AD56" i="24"/>
  <c r="AB56" i="24"/>
  <c r="Y56" i="24"/>
  <c r="T56" i="24"/>
  <c r="R56" i="24"/>
  <c r="O56" i="24"/>
  <c r="J56" i="24"/>
  <c r="H56" i="24"/>
  <c r="E56" i="24"/>
  <c r="AD55" i="24"/>
  <c r="AB55" i="24"/>
  <c r="Y55" i="24"/>
  <c r="T55" i="24"/>
  <c r="R55" i="24"/>
  <c r="O55" i="24"/>
  <c r="J55" i="24"/>
  <c r="H55" i="24"/>
  <c r="X49" i="24"/>
  <c r="N49" i="24"/>
  <c r="D49" i="24"/>
  <c r="AD46" i="24"/>
  <c r="AB46" i="24"/>
  <c r="Y46" i="24"/>
  <c r="T46" i="24"/>
  <c r="R46" i="24"/>
  <c r="O46" i="24"/>
  <c r="J46" i="24"/>
  <c r="I46" i="24" s="1"/>
  <c r="H46" i="24"/>
  <c r="E46" i="24"/>
  <c r="AD45" i="24"/>
  <c r="AB45" i="24"/>
  <c r="Y45" i="24"/>
  <c r="T45" i="24"/>
  <c r="R45" i="24"/>
  <c r="O45" i="24"/>
  <c r="J45" i="24"/>
  <c r="E45" i="24"/>
  <c r="AD44" i="24"/>
  <c r="AC44" i="24"/>
  <c r="AB44" i="24"/>
  <c r="Y44" i="24"/>
  <c r="T44" i="24"/>
  <c r="S44" i="24"/>
  <c r="R44" i="24"/>
  <c r="O44" i="24"/>
  <c r="J44" i="24"/>
  <c r="I44" i="24"/>
  <c r="E44" i="24"/>
  <c r="AD43" i="24"/>
  <c r="Y43" i="24"/>
  <c r="T43" i="24"/>
  <c r="O43" i="24"/>
  <c r="J43" i="24"/>
  <c r="I43" i="24"/>
  <c r="E43" i="24"/>
  <c r="AD42" i="24"/>
  <c r="AB42" i="24"/>
  <c r="Y42" i="24"/>
  <c r="T42" i="24"/>
  <c r="R42" i="24"/>
  <c r="O42" i="24"/>
  <c r="J42" i="24"/>
  <c r="I42" i="24"/>
  <c r="E42" i="24"/>
  <c r="AD41" i="24"/>
  <c r="AB41" i="24"/>
  <c r="Y41" i="24"/>
  <c r="T41" i="24"/>
  <c r="R41" i="24"/>
  <c r="O41" i="24"/>
  <c r="J41" i="24"/>
  <c r="E41" i="24"/>
  <c r="AD40" i="24"/>
  <c r="Y40" i="24"/>
  <c r="T40" i="24"/>
  <c r="O40" i="24"/>
  <c r="J40" i="24"/>
  <c r="I40" i="24"/>
  <c r="H40" i="24"/>
  <c r="E40" i="24"/>
  <c r="AD39" i="24"/>
  <c r="AC39" i="24"/>
  <c r="AB39" i="24"/>
  <c r="Y39" i="24"/>
  <c r="T39" i="24"/>
  <c r="S39" i="24"/>
  <c r="R39" i="24"/>
  <c r="O39" i="24"/>
  <c r="J39" i="24"/>
  <c r="I39" i="24"/>
  <c r="H39" i="24"/>
  <c r="E39" i="24"/>
  <c r="AD38" i="24"/>
  <c r="AC38" i="24"/>
  <c r="AB38" i="24"/>
  <c r="Y38" i="24"/>
  <c r="T38" i="24"/>
  <c r="S38" i="24"/>
  <c r="R38" i="24"/>
  <c r="O38" i="24"/>
  <c r="J38" i="24"/>
  <c r="I38" i="24"/>
  <c r="E38" i="24"/>
  <c r="AD37" i="24"/>
  <c r="AB37" i="24"/>
  <c r="Y37" i="24"/>
  <c r="T37" i="24"/>
  <c r="R37" i="24"/>
  <c r="O37" i="24"/>
  <c r="J37" i="24"/>
  <c r="I37" i="24"/>
  <c r="E37" i="24"/>
  <c r="AD36" i="24"/>
  <c r="AB36" i="24"/>
  <c r="Y36" i="24"/>
  <c r="T36" i="24"/>
  <c r="R36" i="24"/>
  <c r="O36" i="24"/>
  <c r="J36" i="24"/>
  <c r="H36" i="24"/>
  <c r="E36" i="24"/>
  <c r="AD35" i="24"/>
  <c r="Y35" i="24"/>
  <c r="T35" i="24"/>
  <c r="O35" i="24"/>
  <c r="J35" i="24"/>
  <c r="H35" i="24"/>
  <c r="E35" i="24"/>
  <c r="AD34" i="24"/>
  <c r="AB34" i="24"/>
  <c r="Y34" i="24"/>
  <c r="T34" i="24"/>
  <c r="R34" i="24"/>
  <c r="O34" i="24"/>
  <c r="J34" i="24"/>
  <c r="H34" i="24"/>
  <c r="E34" i="24"/>
  <c r="AD33" i="24"/>
  <c r="AB33" i="24"/>
  <c r="Y33" i="24"/>
  <c r="T33" i="24"/>
  <c r="R33" i="24"/>
  <c r="O33" i="24"/>
  <c r="J33" i="24"/>
  <c r="H33" i="24"/>
  <c r="E33" i="24"/>
  <c r="X27" i="24"/>
  <c r="N27" i="24"/>
  <c r="D27" i="24"/>
  <c r="V23" i="24"/>
  <c r="Z20" i="24"/>
  <c r="X20" i="24"/>
  <c r="V20" i="24"/>
  <c r="R20" i="24"/>
  <c r="P20" i="24"/>
  <c r="N20" i="24"/>
  <c r="D20" i="24"/>
  <c r="AF17" i="24"/>
  <c r="Z17" i="24"/>
  <c r="X17" i="24"/>
  <c r="V17" i="24"/>
  <c r="R17" i="24"/>
  <c r="P17" i="24"/>
  <c r="N17" i="24"/>
  <c r="D17" i="24"/>
  <c r="S129" i="24" l="1"/>
  <c r="AC130" i="24"/>
  <c r="I132" i="24"/>
  <c r="S133" i="24"/>
  <c r="AC134" i="24"/>
  <c r="I136" i="24"/>
  <c r="S137" i="24"/>
  <c r="AC138" i="24"/>
  <c r="AC139" i="24"/>
  <c r="I113" i="24"/>
  <c r="S113" i="24"/>
  <c r="AC113" i="24"/>
  <c r="I114" i="24"/>
  <c r="S114" i="24"/>
  <c r="AC114" i="24"/>
  <c r="I115" i="24"/>
  <c r="S115" i="24"/>
  <c r="AC115" i="24"/>
  <c r="I116" i="24"/>
  <c r="S116" i="24"/>
  <c r="AC116" i="24"/>
  <c r="I117" i="24"/>
  <c r="S117" i="24"/>
  <c r="AC117" i="24"/>
  <c r="I129" i="24"/>
  <c r="S130" i="24"/>
  <c r="AC131" i="24"/>
  <c r="I133" i="24"/>
  <c r="S134" i="24"/>
  <c r="AC135" i="24"/>
  <c r="I137" i="24"/>
  <c r="S138" i="24"/>
  <c r="S139" i="24"/>
  <c r="H58" i="24"/>
  <c r="S60" i="24"/>
  <c r="AC60" i="24"/>
  <c r="I101" i="24"/>
  <c r="S101" i="24"/>
  <c r="I102" i="24"/>
  <c r="AC102" i="24"/>
  <c r="S103" i="24"/>
  <c r="I104" i="24"/>
  <c r="S104" i="24"/>
  <c r="I105" i="24"/>
  <c r="S105" i="24"/>
  <c r="I33" i="24"/>
  <c r="S33" i="24"/>
  <c r="AC33" i="24"/>
  <c r="I34" i="24"/>
  <c r="S34" i="24"/>
  <c r="AC34" i="24"/>
  <c r="I35" i="24"/>
  <c r="S35" i="24"/>
  <c r="I36" i="24"/>
  <c r="S36" i="24"/>
  <c r="AC36" i="24"/>
  <c r="S42" i="24"/>
  <c r="AC42" i="24"/>
  <c r="I55" i="24"/>
  <c r="S55" i="24"/>
  <c r="AC55" i="24"/>
  <c r="I56" i="24"/>
  <c r="S56" i="24"/>
  <c r="AC56" i="24"/>
  <c r="I57" i="24"/>
  <c r="S57" i="24"/>
  <c r="AC57" i="24"/>
  <c r="Y62" i="24"/>
  <c r="AD128" i="24"/>
  <c r="I130" i="24"/>
  <c r="S131" i="24"/>
  <c r="AC132" i="24"/>
  <c r="I134" i="24"/>
  <c r="S135" i="24"/>
  <c r="AC136" i="24"/>
  <c r="I138" i="24"/>
  <c r="R35" i="24"/>
  <c r="AB35" i="24"/>
  <c r="S37" i="24"/>
  <c r="AC37" i="24"/>
  <c r="R58" i="24"/>
  <c r="AB58" i="24"/>
  <c r="I60" i="24"/>
  <c r="AC101" i="24"/>
  <c r="S102" i="24"/>
  <c r="I103" i="24"/>
  <c r="AC103" i="24"/>
  <c r="AC104" i="24"/>
  <c r="AC105" i="24"/>
  <c r="I41" i="24"/>
  <c r="S41" i="24"/>
  <c r="AC41" i="24"/>
  <c r="I45" i="24"/>
  <c r="S45" i="24"/>
  <c r="AC45" i="24"/>
  <c r="S46" i="24"/>
  <c r="AC46" i="24"/>
  <c r="O62" i="24"/>
  <c r="AB62" i="24"/>
  <c r="S72" i="24"/>
  <c r="AC72" i="24"/>
  <c r="I95" i="24"/>
  <c r="S95" i="24"/>
  <c r="AC95" i="24"/>
  <c r="I96" i="24"/>
  <c r="S96" i="24"/>
  <c r="AC96" i="24"/>
  <c r="I97" i="24"/>
  <c r="S97" i="24"/>
  <c r="AC97" i="24"/>
  <c r="I98" i="24"/>
  <c r="S98" i="24"/>
  <c r="AC98" i="24"/>
  <c r="I99" i="24"/>
  <c r="S99" i="24"/>
  <c r="AC99" i="24"/>
  <c r="I107" i="24"/>
  <c r="S107" i="24"/>
  <c r="AC107" i="24"/>
  <c r="I108" i="24"/>
  <c r="S108" i="24"/>
  <c r="AC108" i="24"/>
  <c r="I109" i="24"/>
  <c r="S109" i="24"/>
  <c r="AC109" i="24"/>
  <c r="I110" i="24"/>
  <c r="S110" i="24"/>
  <c r="AC110" i="24"/>
  <c r="I111" i="24"/>
  <c r="S111" i="24"/>
  <c r="AC111" i="24"/>
  <c r="AC129" i="24"/>
  <c r="I131" i="24"/>
  <c r="S132" i="24"/>
  <c r="AC133" i="24"/>
  <c r="I135" i="24"/>
  <c r="S136" i="24"/>
  <c r="AC137" i="24"/>
  <c r="S140" i="24"/>
  <c r="AC140" i="24"/>
  <c r="I141" i="24"/>
  <c r="S141" i="24"/>
  <c r="AC141" i="24"/>
  <c r="AC59" i="24" l="1"/>
  <c r="AC58" i="24"/>
  <c r="AB40" i="24"/>
  <c r="S58" i="24"/>
  <c r="R40" i="24"/>
  <c r="AC128" i="24"/>
  <c r="AC35" i="24"/>
  <c r="I58" i="24"/>
  <c r="S62" i="24" l="1"/>
  <c r="R43" i="24"/>
  <c r="S40" i="24"/>
  <c r="AC62" i="24"/>
  <c r="AB43" i="24"/>
  <c r="AC40" i="24"/>
  <c r="D159" i="18"/>
  <c r="D135" i="18"/>
  <c r="D90" i="18"/>
  <c r="D66" i="18"/>
  <c r="D50" i="18"/>
  <c r="D28" i="18"/>
  <c r="S43" i="24" l="1"/>
  <c r="AC43" i="24"/>
  <c r="H55" i="19" l="1"/>
  <c r="H60" i="19"/>
  <c r="H59" i="19"/>
  <c r="D59" i="19" l="1"/>
  <c r="X144" i="19"/>
  <c r="N144" i="19"/>
  <c r="D144" i="19"/>
  <c r="AD140" i="19"/>
  <c r="AC140" i="19" s="1"/>
  <c r="AB140" i="19"/>
  <c r="Y140" i="19"/>
  <c r="T140" i="19"/>
  <c r="R140" i="19"/>
  <c r="O140" i="19"/>
  <c r="J140" i="19"/>
  <c r="I140" i="19" s="1"/>
  <c r="H140" i="19"/>
  <c r="AD139" i="19"/>
  <c r="AC139" i="19" s="1"/>
  <c r="AB139" i="19"/>
  <c r="Y139" i="19"/>
  <c r="T139" i="19"/>
  <c r="R139" i="19"/>
  <c r="S139" i="19" s="1"/>
  <c r="O139" i="19"/>
  <c r="J139" i="19"/>
  <c r="H139" i="19"/>
  <c r="AD138" i="19"/>
  <c r="AC138" i="19" s="1"/>
  <c r="AB138" i="19"/>
  <c r="Y138" i="19"/>
  <c r="T138" i="19"/>
  <c r="R138" i="19"/>
  <c r="O138" i="19"/>
  <c r="J138" i="19"/>
  <c r="H138" i="19"/>
  <c r="AD137" i="19"/>
  <c r="AC137" i="19" s="1"/>
  <c r="AB137" i="19"/>
  <c r="Y137" i="19"/>
  <c r="T137" i="19"/>
  <c r="R137" i="19"/>
  <c r="O137" i="19"/>
  <c r="J137" i="19"/>
  <c r="I137" i="19" s="1"/>
  <c r="H137" i="19"/>
  <c r="AD136" i="19"/>
  <c r="AB136" i="19"/>
  <c r="Y136" i="19"/>
  <c r="T136" i="19"/>
  <c r="R136" i="19"/>
  <c r="O136" i="19"/>
  <c r="J136" i="19"/>
  <c r="I136" i="19" s="1"/>
  <c r="H136" i="19"/>
  <c r="AD135" i="19"/>
  <c r="AC135" i="19" s="1"/>
  <c r="AB135" i="19"/>
  <c r="Y135" i="19"/>
  <c r="T135" i="19"/>
  <c r="S135" i="19" s="1"/>
  <c r="R135" i="19"/>
  <c r="O135" i="19"/>
  <c r="J135" i="19"/>
  <c r="I135" i="19" s="1"/>
  <c r="H135" i="19"/>
  <c r="AD134" i="19"/>
  <c r="AB134" i="19"/>
  <c r="Y134" i="19"/>
  <c r="T134" i="19"/>
  <c r="S134" i="19" s="1"/>
  <c r="R134" i="19"/>
  <c r="O134" i="19"/>
  <c r="J134" i="19"/>
  <c r="H134" i="19"/>
  <c r="AD133" i="19"/>
  <c r="AC133" i="19" s="1"/>
  <c r="AB133" i="19"/>
  <c r="Y133" i="19"/>
  <c r="T133" i="19"/>
  <c r="S133" i="19" s="1"/>
  <c r="R133" i="19"/>
  <c r="O133" i="19"/>
  <c r="J133" i="19"/>
  <c r="H133" i="19"/>
  <c r="AD132" i="19"/>
  <c r="AC132" i="19" s="1"/>
  <c r="AB132" i="19"/>
  <c r="Y132" i="19"/>
  <c r="T132" i="19"/>
  <c r="S132" i="19" s="1"/>
  <c r="R132" i="19"/>
  <c r="O132" i="19"/>
  <c r="J132" i="19"/>
  <c r="H132" i="19"/>
  <c r="AD131" i="19"/>
  <c r="AC131" i="19" s="1"/>
  <c r="AB131" i="19"/>
  <c r="Y131" i="19"/>
  <c r="T131" i="19"/>
  <c r="S131" i="19" s="1"/>
  <c r="R131" i="19"/>
  <c r="O131" i="19"/>
  <c r="J131" i="19"/>
  <c r="H131" i="19"/>
  <c r="AD130" i="19"/>
  <c r="AC130" i="19" s="1"/>
  <c r="AB130" i="19"/>
  <c r="Y130" i="19"/>
  <c r="T130" i="19"/>
  <c r="R130" i="19"/>
  <c r="O130" i="19"/>
  <c r="J130" i="19"/>
  <c r="H130" i="19"/>
  <c r="AD129" i="19"/>
  <c r="AC129" i="19" s="1"/>
  <c r="AB129" i="19"/>
  <c r="Y129" i="19"/>
  <c r="T129" i="19"/>
  <c r="S129" i="19" s="1"/>
  <c r="R129" i="19"/>
  <c r="O129" i="19"/>
  <c r="J129" i="19"/>
  <c r="H129" i="19"/>
  <c r="AD128" i="19"/>
  <c r="AB128" i="19"/>
  <c r="Y128" i="19"/>
  <c r="T128" i="19"/>
  <c r="R128" i="19"/>
  <c r="O128" i="19"/>
  <c r="J128" i="19"/>
  <c r="H128" i="19"/>
  <c r="AD127" i="19"/>
  <c r="AC127" i="19" s="1"/>
  <c r="AB127" i="19"/>
  <c r="Y127" i="19"/>
  <c r="T127" i="19"/>
  <c r="S127" i="19" s="1"/>
  <c r="R127" i="19"/>
  <c r="O127" i="19"/>
  <c r="J127" i="19"/>
  <c r="I127" i="19" s="1"/>
  <c r="H127" i="19"/>
  <c r="AD126" i="19"/>
  <c r="AC126" i="19" s="1"/>
  <c r="AB126" i="19"/>
  <c r="Y126" i="19"/>
  <c r="T126" i="19"/>
  <c r="R126" i="19"/>
  <c r="O126" i="19"/>
  <c r="J126" i="19"/>
  <c r="H126" i="19"/>
  <c r="X120" i="19"/>
  <c r="N120" i="19"/>
  <c r="D120" i="19"/>
  <c r="AD116" i="19"/>
  <c r="AC116" i="19" s="1"/>
  <c r="T116" i="19"/>
  <c r="O116" i="19"/>
  <c r="J116" i="19"/>
  <c r="I116" i="19" s="1"/>
  <c r="H116" i="19"/>
  <c r="AD115" i="19"/>
  <c r="AC115" i="19" s="1"/>
  <c r="T115" i="19"/>
  <c r="S115" i="19" s="1"/>
  <c r="R115" i="19"/>
  <c r="O115" i="19"/>
  <c r="J115" i="19"/>
  <c r="I115" i="19" s="1"/>
  <c r="H115" i="19"/>
  <c r="AD114" i="19"/>
  <c r="AC114" i="19" s="1"/>
  <c r="T114" i="19"/>
  <c r="R114" i="19"/>
  <c r="O114" i="19"/>
  <c r="J114" i="19"/>
  <c r="I114" i="19" s="1"/>
  <c r="H114" i="19"/>
  <c r="AD113" i="19"/>
  <c r="AC113" i="19" s="1"/>
  <c r="T113" i="19"/>
  <c r="R113" i="19"/>
  <c r="O113" i="19"/>
  <c r="J113" i="19"/>
  <c r="I113" i="19" s="1"/>
  <c r="H113" i="19"/>
  <c r="AD112" i="19"/>
  <c r="AC112" i="19" s="1"/>
  <c r="T112" i="19"/>
  <c r="S112" i="19" s="1"/>
  <c r="R112" i="19"/>
  <c r="O112" i="19"/>
  <c r="J112" i="19"/>
  <c r="I112" i="19" s="1"/>
  <c r="H112" i="19"/>
  <c r="AD110" i="19"/>
  <c r="AC110" i="19" s="1"/>
  <c r="T110" i="19"/>
  <c r="O110" i="19"/>
  <c r="J110" i="19"/>
  <c r="I110" i="19" s="1"/>
  <c r="H110" i="19"/>
  <c r="AD109" i="19"/>
  <c r="AC109" i="19" s="1"/>
  <c r="T109" i="19"/>
  <c r="S109" i="19" s="1"/>
  <c r="R109" i="19"/>
  <c r="O109" i="19"/>
  <c r="J109" i="19"/>
  <c r="H109" i="19"/>
  <c r="AD108" i="19"/>
  <c r="AC108" i="19" s="1"/>
  <c r="T108" i="19"/>
  <c r="R108" i="19"/>
  <c r="O108" i="19"/>
  <c r="J108" i="19"/>
  <c r="H108" i="19"/>
  <c r="AD107" i="19"/>
  <c r="AC107" i="19" s="1"/>
  <c r="T107" i="19"/>
  <c r="R107" i="19"/>
  <c r="O107" i="19"/>
  <c r="J107" i="19"/>
  <c r="I107" i="19" s="1"/>
  <c r="H107" i="19"/>
  <c r="AD106" i="19"/>
  <c r="AC106" i="19" s="1"/>
  <c r="T106" i="19"/>
  <c r="R106" i="19"/>
  <c r="O106" i="19"/>
  <c r="J106" i="19"/>
  <c r="I106" i="19" s="1"/>
  <c r="H106" i="19"/>
  <c r="AD104" i="19"/>
  <c r="AC104" i="19" s="1"/>
  <c r="T104" i="19"/>
  <c r="S104" i="19" s="1"/>
  <c r="R104" i="19"/>
  <c r="O104" i="19"/>
  <c r="J104" i="19"/>
  <c r="I104" i="19" s="1"/>
  <c r="H104" i="19"/>
  <c r="AD103" i="19"/>
  <c r="AC103" i="19" s="1"/>
  <c r="T103" i="19"/>
  <c r="R103" i="19"/>
  <c r="O103" i="19"/>
  <c r="J103" i="19"/>
  <c r="H103" i="19"/>
  <c r="AD102" i="19"/>
  <c r="AC102" i="19" s="1"/>
  <c r="T102" i="19"/>
  <c r="S102" i="19" s="1"/>
  <c r="R102" i="19"/>
  <c r="O102" i="19"/>
  <c r="J102" i="19"/>
  <c r="I102" i="19" s="1"/>
  <c r="H102" i="19"/>
  <c r="AD101" i="19"/>
  <c r="AC101" i="19" s="1"/>
  <c r="T101" i="19"/>
  <c r="S101" i="19" s="1"/>
  <c r="R101" i="19"/>
  <c r="O101" i="19"/>
  <c r="J101" i="19"/>
  <c r="H101" i="19"/>
  <c r="AD100" i="19"/>
  <c r="AC100" i="19" s="1"/>
  <c r="T100" i="19"/>
  <c r="S100" i="19" s="1"/>
  <c r="R100" i="19"/>
  <c r="O100" i="19"/>
  <c r="J100" i="19"/>
  <c r="I100" i="19" s="1"/>
  <c r="H100" i="19"/>
  <c r="AD98" i="19"/>
  <c r="AC98" i="19" s="1"/>
  <c r="T98" i="19"/>
  <c r="O98" i="19"/>
  <c r="J98" i="19"/>
  <c r="H98" i="19"/>
  <c r="I98" i="19" s="1"/>
  <c r="AD97" i="19"/>
  <c r="AC97" i="19" s="1"/>
  <c r="T97" i="19"/>
  <c r="R97" i="19"/>
  <c r="O97" i="19"/>
  <c r="J97" i="19"/>
  <c r="H97" i="19"/>
  <c r="AD96" i="19"/>
  <c r="AC96" i="19" s="1"/>
  <c r="T96" i="19"/>
  <c r="S96" i="19"/>
  <c r="R96" i="19"/>
  <c r="O96" i="19"/>
  <c r="J96" i="19"/>
  <c r="I96" i="19"/>
  <c r="H96" i="19"/>
  <c r="AD95" i="19"/>
  <c r="AC95" i="19" s="1"/>
  <c r="T95" i="19"/>
  <c r="R95" i="19"/>
  <c r="O95" i="19"/>
  <c r="J95" i="19"/>
  <c r="I95" i="19" s="1"/>
  <c r="H95" i="19"/>
  <c r="AD94" i="19"/>
  <c r="AC94" i="19" s="1"/>
  <c r="T94" i="19"/>
  <c r="R94" i="19"/>
  <c r="O94" i="19"/>
  <c r="J94" i="19"/>
  <c r="I94" i="19" s="1"/>
  <c r="H94" i="19"/>
  <c r="X88" i="19"/>
  <c r="N88" i="19"/>
  <c r="D88" i="19"/>
  <c r="V84" i="19"/>
  <c r="D84" i="19"/>
  <c r="L74" i="19"/>
  <c r="AD72" i="19"/>
  <c r="AB72" i="19"/>
  <c r="Y72" i="19"/>
  <c r="T72" i="19"/>
  <c r="R72" i="19"/>
  <c r="J72" i="19"/>
  <c r="H72" i="19"/>
  <c r="X65" i="19"/>
  <c r="N65" i="19"/>
  <c r="D65" i="19"/>
  <c r="D62" i="19"/>
  <c r="E59" i="19" s="1"/>
  <c r="AD60" i="19"/>
  <c r="AB60" i="19"/>
  <c r="Y60" i="19"/>
  <c r="T60" i="19"/>
  <c r="S60" i="19" s="1"/>
  <c r="R60" i="19"/>
  <c r="O60" i="19"/>
  <c r="J60" i="19"/>
  <c r="E60" i="19"/>
  <c r="AD59" i="19"/>
  <c r="AC59" i="19"/>
  <c r="AB59" i="19"/>
  <c r="Z59" i="19"/>
  <c r="Y59" i="19"/>
  <c r="V59" i="19"/>
  <c r="T59" i="19"/>
  <c r="R59" i="19"/>
  <c r="O59" i="19"/>
  <c r="J59" i="19"/>
  <c r="AD58" i="19"/>
  <c r="AC58" i="19" s="1"/>
  <c r="Y58" i="19"/>
  <c r="Y62" i="19" s="1"/>
  <c r="T58" i="19"/>
  <c r="S58" i="19" s="1"/>
  <c r="R58" i="19"/>
  <c r="O58" i="19"/>
  <c r="J58" i="19"/>
  <c r="I58" i="19" s="1"/>
  <c r="H58" i="19"/>
  <c r="H62" i="19" s="1"/>
  <c r="I59" i="19" s="1"/>
  <c r="E58" i="19"/>
  <c r="AD57" i="19"/>
  <c r="AC57" i="19" s="1"/>
  <c r="AB57" i="19"/>
  <c r="Y57" i="19"/>
  <c r="T57" i="19"/>
  <c r="S57" i="19" s="1"/>
  <c r="R57" i="19"/>
  <c r="O57" i="19"/>
  <c r="J57" i="19"/>
  <c r="I57" i="19" s="1"/>
  <c r="H57" i="19"/>
  <c r="E57" i="19"/>
  <c r="AD56" i="19"/>
  <c r="AC56" i="19" s="1"/>
  <c r="AB56" i="19"/>
  <c r="Y56" i="19"/>
  <c r="T56" i="19"/>
  <c r="S56" i="19" s="1"/>
  <c r="R56" i="19"/>
  <c r="O56" i="19"/>
  <c r="J56" i="19"/>
  <c r="I56" i="19" s="1"/>
  <c r="H56" i="19"/>
  <c r="E56" i="19"/>
  <c r="AD55" i="19"/>
  <c r="AC55" i="19" s="1"/>
  <c r="AB55" i="19"/>
  <c r="Y55" i="19"/>
  <c r="T55" i="19"/>
  <c r="S55" i="19" s="1"/>
  <c r="R55" i="19"/>
  <c r="O55" i="19"/>
  <c r="J55" i="19"/>
  <c r="I55" i="19" s="1"/>
  <c r="E55" i="19"/>
  <c r="X49" i="19"/>
  <c r="N49" i="19"/>
  <c r="D49" i="19"/>
  <c r="AD46" i="19"/>
  <c r="AC46" i="19" s="1"/>
  <c r="AB46" i="19"/>
  <c r="Y46" i="19"/>
  <c r="T46" i="19"/>
  <c r="R46" i="19"/>
  <c r="O46" i="19"/>
  <c r="J46" i="19"/>
  <c r="I46" i="19" s="1"/>
  <c r="H46" i="19"/>
  <c r="AD45" i="19"/>
  <c r="AC45" i="19" s="1"/>
  <c r="AB45" i="19"/>
  <c r="Y45" i="19"/>
  <c r="T45" i="19"/>
  <c r="S45" i="19" s="1"/>
  <c r="R45" i="19"/>
  <c r="O45" i="19"/>
  <c r="J45" i="19"/>
  <c r="I45" i="19" s="1"/>
  <c r="H45" i="19"/>
  <c r="AD44" i="19"/>
  <c r="AC44" i="19" s="1"/>
  <c r="AB44" i="19"/>
  <c r="Y44" i="19"/>
  <c r="T44" i="19"/>
  <c r="S44" i="19" s="1"/>
  <c r="R44" i="19"/>
  <c r="O44" i="19"/>
  <c r="J44" i="19"/>
  <c r="H44" i="19"/>
  <c r="AD43" i="19"/>
  <c r="AC43" i="19" s="1"/>
  <c r="AB43" i="19"/>
  <c r="Y43" i="19"/>
  <c r="T43" i="19"/>
  <c r="O43" i="19"/>
  <c r="AD42" i="19"/>
  <c r="AC42" i="19"/>
  <c r="AB42" i="19"/>
  <c r="Y42" i="19"/>
  <c r="T42" i="19"/>
  <c r="S42" i="19"/>
  <c r="R42" i="19"/>
  <c r="O42" i="19"/>
  <c r="J42" i="19"/>
  <c r="I42" i="19"/>
  <c r="H42" i="19"/>
  <c r="AD41" i="19"/>
  <c r="AC41" i="19" s="1"/>
  <c r="AB41" i="19"/>
  <c r="Y41" i="19"/>
  <c r="T41" i="19"/>
  <c r="S41" i="19" s="1"/>
  <c r="R41" i="19"/>
  <c r="R43" i="19" s="1"/>
  <c r="S43" i="19" s="1"/>
  <c r="O41" i="19"/>
  <c r="J41" i="19"/>
  <c r="I41" i="19" s="1"/>
  <c r="H41" i="19"/>
  <c r="AD40" i="19"/>
  <c r="AC40" i="19" s="1"/>
  <c r="AB40" i="19"/>
  <c r="Y40" i="19"/>
  <c r="T40" i="19"/>
  <c r="S40" i="19" s="1"/>
  <c r="O40" i="19"/>
  <c r="AD39" i="19"/>
  <c r="AB39" i="19"/>
  <c r="Y39" i="19"/>
  <c r="T39" i="19"/>
  <c r="S39" i="19" s="1"/>
  <c r="R39" i="19"/>
  <c r="O39" i="19"/>
  <c r="J39" i="19"/>
  <c r="H39" i="19"/>
  <c r="AD38" i="19"/>
  <c r="AB38" i="19"/>
  <c r="Y38" i="19"/>
  <c r="T38" i="19"/>
  <c r="S38" i="19" s="1"/>
  <c r="R38" i="19"/>
  <c r="O38" i="19"/>
  <c r="J38" i="19"/>
  <c r="H38" i="19"/>
  <c r="AD37" i="19"/>
  <c r="AB37" i="19"/>
  <c r="Y37" i="19"/>
  <c r="T37" i="19"/>
  <c r="R37" i="19"/>
  <c r="O37" i="19"/>
  <c r="J37" i="19"/>
  <c r="I37" i="19" s="1"/>
  <c r="H37" i="19"/>
  <c r="AD36" i="19"/>
  <c r="AB36" i="19"/>
  <c r="Y36" i="19"/>
  <c r="T36" i="19"/>
  <c r="S36" i="19" s="1"/>
  <c r="R36" i="19"/>
  <c r="O36" i="19"/>
  <c r="J36" i="19"/>
  <c r="I36" i="19" s="1"/>
  <c r="H36" i="19"/>
  <c r="AD35" i="19"/>
  <c r="AB35" i="19"/>
  <c r="Y35" i="19"/>
  <c r="T35" i="19"/>
  <c r="O35" i="19"/>
  <c r="J35" i="19"/>
  <c r="F35" i="19"/>
  <c r="F40" i="19" s="1"/>
  <c r="AD34" i="19"/>
  <c r="AC34" i="19" s="1"/>
  <c r="AB34" i="19"/>
  <c r="Y34" i="19"/>
  <c r="T34" i="19"/>
  <c r="S34" i="19" s="1"/>
  <c r="R34" i="19"/>
  <c r="O34" i="19"/>
  <c r="J34" i="19"/>
  <c r="I34" i="19" s="1"/>
  <c r="H34" i="19"/>
  <c r="AD33" i="19"/>
  <c r="AC33" i="19" s="1"/>
  <c r="AB33" i="19"/>
  <c r="Y33" i="19"/>
  <c r="T33" i="19"/>
  <c r="S33" i="19" s="1"/>
  <c r="R33" i="19"/>
  <c r="R35" i="19" s="1"/>
  <c r="O33" i="19"/>
  <c r="J33" i="19"/>
  <c r="I33" i="19" s="1"/>
  <c r="H33" i="19"/>
  <c r="X27" i="19"/>
  <c r="N27" i="19"/>
  <c r="D27" i="19"/>
  <c r="V20" i="19"/>
  <c r="N20" i="19"/>
  <c r="F20" i="19"/>
  <c r="D20" i="19"/>
  <c r="V17" i="19"/>
  <c r="N17" i="19"/>
  <c r="L17" i="19"/>
  <c r="D17" i="19"/>
  <c r="J62" i="19" l="1"/>
  <c r="AC36" i="19"/>
  <c r="AC37" i="19"/>
  <c r="AC38" i="19"/>
  <c r="AC39" i="19"/>
  <c r="O62" i="19"/>
  <c r="AC60" i="19"/>
  <c r="I101" i="19"/>
  <c r="I103" i="19"/>
  <c r="S106" i="19"/>
  <c r="S108" i="19"/>
  <c r="I109" i="19"/>
  <c r="S113" i="19"/>
  <c r="S126" i="19"/>
  <c r="I128" i="19"/>
  <c r="I129" i="19"/>
  <c r="I131" i="19"/>
  <c r="I133" i="19"/>
  <c r="I134" i="19"/>
  <c r="R98" i="19"/>
  <c r="S98" i="19" s="1"/>
  <c r="I108" i="19"/>
  <c r="I126" i="19"/>
  <c r="H35" i="19"/>
  <c r="I35" i="19" s="1"/>
  <c r="I38" i="19"/>
  <c r="S46" i="19"/>
  <c r="T62" i="19"/>
  <c r="I72" i="19"/>
  <c r="S94" i="19"/>
  <c r="S137" i="19"/>
  <c r="S138" i="19"/>
  <c r="I139" i="19"/>
  <c r="AC35" i="19"/>
  <c r="S37" i="19"/>
  <c r="I39" i="19"/>
  <c r="I44" i="19"/>
  <c r="I60" i="19"/>
  <c r="I62" i="19" s="1"/>
  <c r="AC72" i="19"/>
  <c r="S95" i="19"/>
  <c r="R110" i="19"/>
  <c r="S110" i="19" s="1"/>
  <c r="S107" i="19"/>
  <c r="R116" i="19"/>
  <c r="S114" i="19"/>
  <c r="AC128" i="19"/>
  <c r="S130" i="19"/>
  <c r="I132" i="19"/>
  <c r="AC136" i="19"/>
  <c r="I138" i="19"/>
  <c r="S35" i="19"/>
  <c r="S72" i="19"/>
  <c r="S97" i="19"/>
  <c r="S116" i="19"/>
  <c r="S128" i="19"/>
  <c r="I130" i="19"/>
  <c r="AC134" i="19"/>
  <c r="S136" i="19"/>
  <c r="R62" i="19"/>
  <c r="S59" i="19" s="1"/>
  <c r="S62" i="19" s="1"/>
  <c r="I97" i="19"/>
  <c r="S103" i="19"/>
  <c r="S140" i="19"/>
  <c r="F43" i="19"/>
  <c r="J43" i="19" s="1"/>
  <c r="J40" i="19"/>
  <c r="E62" i="19"/>
  <c r="H40" i="19" l="1"/>
  <c r="H43" i="19" s="1"/>
  <c r="I43" i="19"/>
  <c r="I40" i="19" l="1"/>
  <c r="O73" i="17"/>
  <c r="E73" i="17"/>
  <c r="L113" i="17" l="1"/>
  <c r="L112" i="17"/>
  <c r="L111" i="17"/>
  <c r="L110" i="17"/>
  <c r="L109" i="17"/>
  <c r="J147" i="17" l="1"/>
  <c r="J146" i="17"/>
  <c r="J145" i="17"/>
  <c r="J144" i="17"/>
  <c r="J143" i="17"/>
  <c r="J142" i="17"/>
  <c r="J141" i="17"/>
  <c r="J140" i="17"/>
  <c r="J139" i="17"/>
  <c r="J138" i="17"/>
  <c r="J137" i="17"/>
  <c r="J136" i="17"/>
  <c r="J135" i="17"/>
  <c r="J134" i="17"/>
  <c r="J133" i="17"/>
  <c r="J121" i="17"/>
  <c r="J119" i="17"/>
  <c r="J118" i="17"/>
  <c r="J117" i="17"/>
  <c r="J116" i="17"/>
  <c r="J115" i="17"/>
  <c r="J113" i="17"/>
  <c r="J112" i="17"/>
  <c r="J111" i="17"/>
  <c r="J110" i="17"/>
  <c r="J109" i="17"/>
  <c r="J107" i="17"/>
  <c r="J106" i="17"/>
  <c r="J105" i="17"/>
  <c r="J104" i="17"/>
  <c r="J103" i="17"/>
  <c r="J101" i="17"/>
  <c r="J100" i="17"/>
  <c r="J99" i="17"/>
  <c r="J98" i="17"/>
  <c r="J97" i="17"/>
  <c r="J73" i="17"/>
  <c r="I73" i="17" s="1"/>
  <c r="J63" i="17"/>
  <c r="I63" i="17"/>
  <c r="J59" i="17"/>
  <c r="I59" i="17"/>
  <c r="J58" i="17"/>
  <c r="J57" i="17"/>
  <c r="J56" i="17"/>
  <c r="J55" i="17"/>
  <c r="J54" i="17"/>
  <c r="J45" i="17"/>
  <c r="J44" i="17"/>
  <c r="J43" i="17"/>
  <c r="J42" i="17"/>
  <c r="J41" i="17"/>
  <c r="J40" i="17"/>
  <c r="J39" i="17"/>
  <c r="J38" i="17"/>
  <c r="J37" i="17"/>
  <c r="J36" i="17"/>
  <c r="J35" i="17"/>
  <c r="J34" i="17"/>
  <c r="J33" i="17"/>
  <c r="J32" i="17"/>
  <c r="H170" i="17" l="1"/>
  <c r="H168" i="17"/>
  <c r="H167" i="17"/>
  <c r="H147" i="17" l="1"/>
  <c r="I147" i="17" s="1"/>
  <c r="H146" i="17"/>
  <c r="I146" i="17" s="1"/>
  <c r="H145" i="17"/>
  <c r="I145" i="17" s="1"/>
  <c r="H144" i="17"/>
  <c r="I144" i="17" s="1"/>
  <c r="H143" i="17"/>
  <c r="I143" i="17" s="1"/>
  <c r="H142" i="17"/>
  <c r="I142" i="17" s="1"/>
  <c r="H141" i="17"/>
  <c r="I141" i="17" s="1"/>
  <c r="H140" i="17"/>
  <c r="I140" i="17" s="1"/>
  <c r="H139" i="17"/>
  <c r="I139" i="17" s="1"/>
  <c r="H138" i="17"/>
  <c r="I138" i="17" s="1"/>
  <c r="H137" i="17"/>
  <c r="I137" i="17" s="1"/>
  <c r="H136" i="17"/>
  <c r="I136" i="17" s="1"/>
  <c r="H135" i="17"/>
  <c r="I135" i="17" s="1"/>
  <c r="H134" i="17"/>
  <c r="I134" i="17" s="1"/>
  <c r="H133" i="17"/>
  <c r="I133" i="17" s="1"/>
  <c r="H121" i="17"/>
  <c r="I121" i="17" s="1"/>
  <c r="H113" i="17"/>
  <c r="I113" i="17" s="1"/>
  <c r="H112" i="17"/>
  <c r="I112" i="17" s="1"/>
  <c r="H111" i="17"/>
  <c r="I111" i="17" s="1"/>
  <c r="H110" i="17"/>
  <c r="I110" i="17" s="1"/>
  <c r="H109" i="17"/>
  <c r="I109" i="17" s="1"/>
  <c r="H107" i="17" l="1"/>
  <c r="I107" i="17" s="1"/>
  <c r="H106" i="17"/>
  <c r="I106" i="17" s="1"/>
  <c r="H105" i="17"/>
  <c r="I105" i="17" s="1"/>
  <c r="H104" i="17"/>
  <c r="I104" i="17" s="1"/>
  <c r="H103" i="17"/>
  <c r="I103" i="17" s="1"/>
  <c r="H115" i="17"/>
  <c r="I115" i="17" s="1"/>
  <c r="H119" i="17"/>
  <c r="I119" i="17" s="1"/>
  <c r="H118" i="17"/>
  <c r="I118" i="17" s="1"/>
  <c r="H117" i="17"/>
  <c r="I117" i="17" s="1"/>
  <c r="H116" i="17"/>
  <c r="I116" i="17" s="1"/>
  <c r="H101" i="17"/>
  <c r="I101" i="17" s="1"/>
  <c r="H100" i="17"/>
  <c r="I100" i="17" s="1"/>
  <c r="H99" i="17"/>
  <c r="I99" i="17" s="1"/>
  <c r="H98" i="17"/>
  <c r="I98" i="17" s="1"/>
  <c r="H97" i="17"/>
  <c r="I97" i="17" s="1"/>
  <c r="H59" i="17"/>
  <c r="H58" i="17"/>
  <c r="I58" i="17" s="1"/>
  <c r="H57" i="17"/>
  <c r="I57" i="17" s="1"/>
  <c r="H56" i="17"/>
  <c r="I56" i="17" s="1"/>
  <c r="H55" i="17"/>
  <c r="I55" i="17" s="1"/>
  <c r="H54" i="17"/>
  <c r="I54" i="17" s="1"/>
  <c r="H45" i="17"/>
  <c r="I45" i="17" s="1"/>
  <c r="H44" i="17"/>
  <c r="I44" i="17" s="1"/>
  <c r="H43" i="17"/>
  <c r="I43" i="17" s="1"/>
  <c r="H42" i="17"/>
  <c r="I42" i="17" s="1"/>
  <c r="H41" i="17"/>
  <c r="I41" i="17" s="1"/>
  <c r="H40" i="17"/>
  <c r="I40" i="17" s="1"/>
  <c r="H39" i="17"/>
  <c r="I39" i="17" s="1"/>
  <c r="H38" i="17"/>
  <c r="I38" i="17" s="1"/>
  <c r="H37" i="17"/>
  <c r="I37" i="17" s="1"/>
  <c r="H36" i="17"/>
  <c r="I36" i="17" s="1"/>
  <c r="H35" i="17"/>
  <c r="I35" i="17" s="1"/>
  <c r="H34" i="17"/>
  <c r="I34" i="17" s="1"/>
  <c r="H33" i="17"/>
  <c r="I33" i="17" s="1"/>
  <c r="H32" i="17"/>
  <c r="I32" i="17" s="1"/>
  <c r="E170" i="17" l="1"/>
  <c r="E169" i="17"/>
  <c r="E168" i="17"/>
  <c r="E167" i="17"/>
  <c r="E166" i="17"/>
  <c r="E164" i="17"/>
  <c r="E163" i="17"/>
  <c r="E161" i="17"/>
  <c r="E159" i="17"/>
  <c r="O159" i="17"/>
  <c r="R159" i="17"/>
  <c r="E147" i="17" l="1"/>
  <c r="E146" i="17"/>
  <c r="E145" i="17"/>
  <c r="E144" i="17"/>
  <c r="E143" i="17"/>
  <c r="E142" i="17"/>
  <c r="E141" i="17"/>
  <c r="E140" i="17"/>
  <c r="E139" i="17"/>
  <c r="E138" i="17"/>
  <c r="E137" i="17"/>
  <c r="E136" i="17"/>
  <c r="E135" i="17"/>
  <c r="E134" i="17"/>
  <c r="E133" i="17"/>
  <c r="E121" i="17"/>
  <c r="E119" i="17"/>
  <c r="E118" i="17"/>
  <c r="E117" i="17"/>
  <c r="E116" i="17"/>
  <c r="E115" i="17"/>
  <c r="E113" i="17"/>
  <c r="E112" i="17"/>
  <c r="E111" i="17"/>
  <c r="E110" i="17"/>
  <c r="E109" i="17"/>
  <c r="E107" i="17"/>
  <c r="E106" i="17"/>
  <c r="E105" i="17"/>
  <c r="E104" i="17"/>
  <c r="E103" i="17"/>
  <c r="E101" i="17"/>
  <c r="E100" i="17"/>
  <c r="E99" i="17"/>
  <c r="E98" i="17"/>
  <c r="E97" i="17"/>
  <c r="E59" i="17"/>
  <c r="E58" i="17"/>
  <c r="E57" i="17"/>
  <c r="E56" i="17"/>
  <c r="E55" i="17"/>
  <c r="E54" i="17"/>
  <c r="E45" i="17"/>
  <c r="E44" i="17"/>
  <c r="E43" i="17"/>
  <c r="E42" i="17"/>
  <c r="E41" i="17"/>
  <c r="E40" i="17"/>
  <c r="E39" i="17"/>
  <c r="E38" i="17"/>
  <c r="E37" i="17"/>
  <c r="E36" i="17"/>
  <c r="E35" i="17"/>
  <c r="E34" i="17"/>
  <c r="E33" i="17"/>
  <c r="E32" i="17"/>
  <c r="E63" i="17" l="1"/>
  <c r="D152" i="17"/>
  <c r="D127" i="17"/>
  <c r="D91" i="17"/>
  <c r="D66" i="17"/>
  <c r="D48" i="17"/>
  <c r="D26" i="17"/>
  <c r="T147" i="17" l="1"/>
  <c r="T145" i="17"/>
  <c r="T144" i="17"/>
  <c r="T143" i="17"/>
  <c r="T142" i="17"/>
  <c r="T141" i="17"/>
  <c r="T140" i="17"/>
  <c r="T139" i="17"/>
  <c r="T137" i="17"/>
  <c r="T136" i="17"/>
  <c r="T135" i="17"/>
  <c r="T134" i="17"/>
  <c r="T133" i="17"/>
  <c r="V119" i="17"/>
  <c r="V86" i="17"/>
  <c r="T73" i="17"/>
  <c r="T118" i="17"/>
  <c r="T117" i="17"/>
  <c r="T116" i="17"/>
  <c r="T112" i="17"/>
  <c r="T111" i="17"/>
  <c r="T110" i="17"/>
  <c r="T109" i="17"/>
  <c r="T106" i="17"/>
  <c r="T105" i="17"/>
  <c r="T104" i="17"/>
  <c r="T101" i="17"/>
  <c r="T100" i="17"/>
  <c r="T99" i="17"/>
  <c r="T98" i="17"/>
  <c r="T63" i="17"/>
  <c r="S63" i="17"/>
  <c r="T59" i="17"/>
  <c r="T58" i="17"/>
  <c r="T57" i="17"/>
  <c r="T56" i="17"/>
  <c r="T55" i="17"/>
  <c r="T54" i="17"/>
  <c r="T45" i="17"/>
  <c r="T44" i="17"/>
  <c r="T43" i="17"/>
  <c r="T42" i="17"/>
  <c r="T41" i="17"/>
  <c r="T40" i="17"/>
  <c r="T39" i="17"/>
  <c r="T38" i="17"/>
  <c r="T37" i="17"/>
  <c r="T36" i="17"/>
  <c r="T35" i="17"/>
  <c r="T34" i="17"/>
  <c r="T33" i="17"/>
  <c r="T32" i="17"/>
  <c r="P121" i="17" l="1"/>
  <c r="T121" i="17" s="1"/>
  <c r="R83" i="17"/>
  <c r="R72" i="17"/>
  <c r="R54" i="17"/>
  <c r="S54" i="17" s="1"/>
  <c r="R59" i="17"/>
  <c r="R56" i="17"/>
  <c r="S56" i="17" s="1"/>
  <c r="R58" i="17"/>
  <c r="S58" i="17" s="1"/>
  <c r="R63" i="17" l="1"/>
  <c r="S59" i="17" s="1"/>
  <c r="R139" i="17"/>
  <c r="R145" i="17"/>
  <c r="S145" i="17" s="1"/>
  <c r="R144" i="17"/>
  <c r="S144" i="17" s="1"/>
  <c r="R143" i="17"/>
  <c r="S143" i="17" s="1"/>
  <c r="R142" i="17"/>
  <c r="S142" i="17" s="1"/>
  <c r="R141" i="17"/>
  <c r="S141" i="17" s="1"/>
  <c r="R140" i="17"/>
  <c r="S140" i="17" s="1"/>
  <c r="R137" i="17"/>
  <c r="S137" i="17" s="1"/>
  <c r="R136" i="17"/>
  <c r="S136" i="17" s="1"/>
  <c r="R135" i="17"/>
  <c r="S135" i="17" s="1"/>
  <c r="R134" i="17"/>
  <c r="S134" i="17" s="1"/>
  <c r="R133" i="17"/>
  <c r="S133" i="17" s="1"/>
  <c r="R146" i="17" l="1"/>
  <c r="R138" i="17"/>
  <c r="R147" i="17"/>
  <c r="S147" i="17" s="1"/>
  <c r="S139" i="17"/>
  <c r="R57" i="17"/>
  <c r="S57" i="17" s="1"/>
  <c r="R55" i="17"/>
  <c r="S55" i="17" s="1"/>
  <c r="R170" i="17" l="1"/>
  <c r="R168" i="17"/>
  <c r="R167" i="17"/>
  <c r="R118" i="17" l="1"/>
  <c r="S118" i="17" s="1"/>
  <c r="R117" i="17"/>
  <c r="S117" i="17" s="1"/>
  <c r="R116" i="17"/>
  <c r="S116" i="17" s="1"/>
  <c r="R112" i="17"/>
  <c r="S112" i="17" s="1"/>
  <c r="R111" i="17"/>
  <c r="S111" i="17" s="1"/>
  <c r="R110" i="17"/>
  <c r="S110" i="17" s="1"/>
  <c r="R109" i="17"/>
  <c r="S109" i="17" s="1"/>
  <c r="R106" i="17"/>
  <c r="S106" i="17" s="1"/>
  <c r="R105" i="17"/>
  <c r="S105" i="17" s="1"/>
  <c r="R104" i="17"/>
  <c r="S104" i="17" s="1"/>
  <c r="R101" i="17"/>
  <c r="S101" i="17" s="1"/>
  <c r="R100" i="17"/>
  <c r="S100" i="17" s="1"/>
  <c r="R99" i="17"/>
  <c r="S99" i="17" s="1"/>
  <c r="R98" i="17"/>
  <c r="S98" i="17" s="1"/>
  <c r="R45" i="17" l="1"/>
  <c r="R44" i="17"/>
  <c r="S44" i="17" s="1"/>
  <c r="R43" i="17"/>
  <c r="S43" i="17" s="1"/>
  <c r="R42" i="17"/>
  <c r="S42" i="17" s="1"/>
  <c r="R41" i="17"/>
  <c r="S41" i="17" s="1"/>
  <c r="R40" i="17"/>
  <c r="S40" i="17" s="1"/>
  <c r="R39" i="17"/>
  <c r="S39" i="17" s="1"/>
  <c r="R38" i="17"/>
  <c r="S38" i="17" s="1"/>
  <c r="R37" i="17"/>
  <c r="S37" i="17" s="1"/>
  <c r="R36" i="17"/>
  <c r="S36" i="17" s="1"/>
  <c r="R35" i="17"/>
  <c r="S35" i="17" s="1"/>
  <c r="R34" i="17"/>
  <c r="S34" i="17" s="1"/>
  <c r="R33" i="17"/>
  <c r="S33" i="17" s="1"/>
  <c r="R32" i="17"/>
  <c r="R20" i="17"/>
  <c r="R21" i="17" s="1"/>
  <c r="R19" i="17"/>
  <c r="R16" i="17"/>
  <c r="R113" i="17"/>
  <c r="P97" i="17"/>
  <c r="T97" i="17" s="1"/>
  <c r="R73" i="17"/>
  <c r="S73" i="17" s="1"/>
  <c r="R115" i="17" l="1"/>
  <c r="R119" i="17" s="1"/>
  <c r="R97" i="17"/>
  <c r="S97" i="17" s="1"/>
  <c r="S32" i="17"/>
  <c r="R103" i="17"/>
  <c r="R107" i="17" s="1"/>
  <c r="R121" i="17"/>
  <c r="S121" i="17" s="1"/>
  <c r="S45" i="17"/>
  <c r="R87" i="17"/>
  <c r="R84" i="17"/>
  <c r="O170" i="17" l="1"/>
  <c r="O168" i="17" l="1"/>
  <c r="O167" i="17"/>
  <c r="O169" i="17"/>
  <c r="O166" i="17"/>
  <c r="O164" i="17"/>
  <c r="O163" i="17"/>
  <c r="O161" i="17"/>
  <c r="O147" i="17"/>
  <c r="O145" i="17"/>
  <c r="O144" i="17"/>
  <c r="O143" i="17"/>
  <c r="O142" i="17"/>
  <c r="O141" i="17"/>
  <c r="O140" i="17"/>
  <c r="O139" i="17"/>
  <c r="O137" i="17"/>
  <c r="O136" i="17"/>
  <c r="O135" i="17"/>
  <c r="O134" i="17"/>
  <c r="O133" i="17"/>
  <c r="O121" i="17"/>
  <c r="O118" i="17"/>
  <c r="O117" i="17"/>
  <c r="O116" i="17"/>
  <c r="O112" i="17"/>
  <c r="O111" i="17"/>
  <c r="O110" i="17"/>
  <c r="O109" i="17"/>
  <c r="O106" i="17"/>
  <c r="O105" i="17"/>
  <c r="O104" i="17"/>
  <c r="O101" i="17"/>
  <c r="O100" i="17"/>
  <c r="O99" i="17"/>
  <c r="O98" i="17"/>
  <c r="O97" i="17"/>
  <c r="O59" i="17"/>
  <c r="O58" i="17"/>
  <c r="O63" i="17" s="1"/>
  <c r="O57" i="17"/>
  <c r="O56" i="17"/>
  <c r="O55" i="17"/>
  <c r="O54" i="17"/>
  <c r="P146" i="17"/>
  <c r="T146" i="17" s="1"/>
  <c r="S146" i="17" s="1"/>
  <c r="P138" i="17"/>
  <c r="T138" i="17" s="1"/>
  <c r="S138" i="17" s="1"/>
  <c r="P115" i="17"/>
  <c r="T115" i="17" s="1"/>
  <c r="S115" i="17" s="1"/>
  <c r="P119" i="17"/>
  <c r="T119" i="17" s="1"/>
  <c r="S119" i="17" s="1"/>
  <c r="P113" i="17"/>
  <c r="T113" i="17" s="1"/>
  <c r="S113" i="17" s="1"/>
  <c r="P103" i="17"/>
  <c r="T103" i="17" s="1"/>
  <c r="S103" i="17" s="1"/>
  <c r="O45" i="17"/>
  <c r="O44" i="17"/>
  <c r="O43" i="17"/>
  <c r="O42" i="17"/>
  <c r="O41" i="17"/>
  <c r="O40" i="17"/>
  <c r="O39" i="17"/>
  <c r="O38" i="17"/>
  <c r="O37" i="17"/>
  <c r="O36" i="17"/>
  <c r="O35" i="17"/>
  <c r="O34" i="17"/>
  <c r="O33" i="17"/>
  <c r="O32" i="17"/>
  <c r="N152" i="17"/>
  <c r="N127" i="17"/>
  <c r="N91" i="17"/>
  <c r="N66" i="17"/>
  <c r="N48" i="17"/>
  <c r="N26" i="17"/>
  <c r="AD147" i="17"/>
  <c r="AD146" i="17"/>
  <c r="AD145" i="17"/>
  <c r="AD144" i="17"/>
  <c r="AD143" i="17"/>
  <c r="AD142" i="17"/>
  <c r="AD141" i="17"/>
  <c r="AD140" i="17"/>
  <c r="AD139" i="17"/>
  <c r="AD138" i="17"/>
  <c r="AD137" i="17"/>
  <c r="AD136" i="17"/>
  <c r="AD135" i="17"/>
  <c r="AD134" i="17"/>
  <c r="AD133" i="17"/>
  <c r="AD121" i="17"/>
  <c r="AD119" i="17"/>
  <c r="AD118" i="17"/>
  <c r="AD117" i="17"/>
  <c r="AD116" i="17"/>
  <c r="AD115" i="17"/>
  <c r="AD107" i="17"/>
  <c r="AD106" i="17"/>
  <c r="AD105" i="17"/>
  <c r="AD104" i="17"/>
  <c r="AD103" i="17"/>
  <c r="AD101" i="17"/>
  <c r="AD100" i="17"/>
  <c r="AD99" i="17"/>
  <c r="AD98" i="17"/>
  <c r="AD97" i="17"/>
  <c r="AD73" i="17"/>
  <c r="AD63" i="17"/>
  <c r="AN63" i="17"/>
  <c r="AC63" i="17"/>
  <c r="AM63" i="17"/>
  <c r="AD59" i="17"/>
  <c r="AN59" i="17"/>
  <c r="AC59" i="17"/>
  <c r="AD58" i="17"/>
  <c r="AD57" i="17"/>
  <c r="AD56" i="17"/>
  <c r="AD55" i="17"/>
  <c r="AD54" i="17"/>
  <c r="AD45" i="17"/>
  <c r="AD44" i="17"/>
  <c r="AD43" i="17"/>
  <c r="AD42" i="17"/>
  <c r="AD41" i="17"/>
  <c r="AD40" i="17"/>
  <c r="AD39" i="17"/>
  <c r="AD38" i="17"/>
  <c r="AD37" i="17"/>
  <c r="AD36" i="17"/>
  <c r="AD35" i="17"/>
  <c r="AD34" i="17"/>
  <c r="AD33" i="17"/>
  <c r="AD32" i="17"/>
  <c r="AB58" i="17"/>
  <c r="AB57" i="17"/>
  <c r="AC57" i="17" s="1"/>
  <c r="AB56" i="17"/>
  <c r="AB55" i="17"/>
  <c r="AB54" i="17"/>
  <c r="AB59" i="17"/>
  <c r="AB147" i="17"/>
  <c r="AB146" i="17"/>
  <c r="AB145" i="17"/>
  <c r="AB144" i="17"/>
  <c r="AB143" i="17"/>
  <c r="AB142" i="17"/>
  <c r="AB141" i="17"/>
  <c r="AB140" i="17"/>
  <c r="AB139" i="17"/>
  <c r="AB138" i="17"/>
  <c r="AB137" i="17"/>
  <c r="AB136" i="17"/>
  <c r="AB135" i="17"/>
  <c r="AB134" i="17"/>
  <c r="AB121" i="17"/>
  <c r="AB119" i="17"/>
  <c r="AB118" i="17"/>
  <c r="AB117" i="17"/>
  <c r="AB116" i="17"/>
  <c r="AB115" i="17"/>
  <c r="AB133" i="17" s="1"/>
  <c r="AB107" i="17"/>
  <c r="AB106" i="17"/>
  <c r="AB105" i="17"/>
  <c r="AB104" i="17"/>
  <c r="AB103" i="17"/>
  <c r="AB101" i="17"/>
  <c r="AB100" i="17"/>
  <c r="AB99" i="17"/>
  <c r="AB97" i="17"/>
  <c r="AB98" i="17"/>
  <c r="AB73" i="17"/>
  <c r="AB44" i="17"/>
  <c r="AB43" i="17"/>
  <c r="AB41" i="17"/>
  <c r="AC41" i="17" s="1"/>
  <c r="AB40" i="17"/>
  <c r="AB38" i="17"/>
  <c r="AB37" i="17"/>
  <c r="AC37" i="17" s="1"/>
  <c r="AB35" i="17"/>
  <c r="AB33" i="17"/>
  <c r="AC33" i="17" s="1"/>
  <c r="AB32" i="17"/>
  <c r="Y61" i="17"/>
  <c r="AN60" i="17"/>
  <c r="AM60" i="17" s="1"/>
  <c r="Y58" i="17"/>
  <c r="Y63" i="17" s="1"/>
  <c r="Y57" i="17"/>
  <c r="Y56" i="17"/>
  <c r="Y55" i="17"/>
  <c r="Y54" i="17"/>
  <c r="Y73" i="17"/>
  <c r="Y147" i="17"/>
  <c r="Y146" i="17"/>
  <c r="Y145" i="17"/>
  <c r="Y144" i="17"/>
  <c r="Y143" i="17"/>
  <c r="Y142" i="17"/>
  <c r="Y141" i="17"/>
  <c r="Y140" i="17"/>
  <c r="Y139" i="17"/>
  <c r="Y138" i="17"/>
  <c r="Y137" i="17"/>
  <c r="Y136" i="17"/>
  <c r="Y135" i="17"/>
  <c r="Y134" i="17"/>
  <c r="Y133" i="17"/>
  <c r="Y121" i="17"/>
  <c r="Y119" i="17"/>
  <c r="Y118" i="17"/>
  <c r="Y117" i="17"/>
  <c r="Y116" i="17"/>
  <c r="Y115" i="17"/>
  <c r="Y107" i="17"/>
  <c r="Y106" i="17"/>
  <c r="Y105" i="17"/>
  <c r="Y104" i="17"/>
  <c r="Y103" i="17"/>
  <c r="Y100" i="17"/>
  <c r="Y99" i="17"/>
  <c r="Y98" i="17"/>
  <c r="Y97" i="17"/>
  <c r="Y34" i="17"/>
  <c r="Y35" i="17"/>
  <c r="Y36" i="17"/>
  <c r="Y37" i="17"/>
  <c r="Y38" i="17"/>
  <c r="Y39" i="17"/>
  <c r="Y40" i="17"/>
  <c r="Y41" i="17"/>
  <c r="Y42" i="17"/>
  <c r="Y43" i="17"/>
  <c r="Y44" i="17"/>
  <c r="Y45" i="17"/>
  <c r="Y33" i="17"/>
  <c r="Y32" i="17"/>
  <c r="X101" i="17"/>
  <c r="Y101" i="17" s="1"/>
  <c r="X152" i="17"/>
  <c r="X127" i="17"/>
  <c r="X91" i="17"/>
  <c r="X66" i="17"/>
  <c r="X48" i="17"/>
  <c r="X26" i="17"/>
  <c r="AM59" i="17"/>
  <c r="AN58" i="17"/>
  <c r="AN57" i="17"/>
  <c r="AN56" i="17"/>
  <c r="AN55" i="17"/>
  <c r="AN54" i="17"/>
  <c r="AV118" i="17"/>
  <c r="AV119" i="17"/>
  <c r="AX147" i="17"/>
  <c r="AX145" i="17"/>
  <c r="AL59" i="17"/>
  <c r="AL58" i="17"/>
  <c r="AI55" i="17"/>
  <c r="AL57" i="17"/>
  <c r="AL56" i="17"/>
  <c r="AL55" i="17"/>
  <c r="AL54" i="17"/>
  <c r="AS115" i="17"/>
  <c r="AN73" i="17"/>
  <c r="AL73" i="17"/>
  <c r="AI98" i="17"/>
  <c r="AI99" i="17"/>
  <c r="AI100" i="17"/>
  <c r="AI101" i="17"/>
  <c r="AI103" i="17"/>
  <c r="AI104" i="17"/>
  <c r="AI105" i="17"/>
  <c r="AI106" i="17"/>
  <c r="AI107" i="17"/>
  <c r="AI109" i="17"/>
  <c r="AI110" i="17"/>
  <c r="AI111" i="17"/>
  <c r="AI112" i="17"/>
  <c r="AI113" i="17"/>
  <c r="AI115" i="17"/>
  <c r="AI116" i="17"/>
  <c r="AI117" i="17"/>
  <c r="AI118" i="17"/>
  <c r="AI119" i="17"/>
  <c r="AI121" i="17"/>
  <c r="AI97" i="17"/>
  <c r="AH152" i="17"/>
  <c r="AH127" i="17"/>
  <c r="AH91" i="17"/>
  <c r="AH66" i="17"/>
  <c r="AH48" i="17"/>
  <c r="AH26" i="17"/>
  <c r="BH144" i="17"/>
  <c r="BF144" i="17"/>
  <c r="AX144" i="17"/>
  <c r="AV144" i="17"/>
  <c r="BH143" i="17"/>
  <c r="BF143" i="17"/>
  <c r="AX143" i="17"/>
  <c r="AV143" i="17"/>
  <c r="AX146" i="17"/>
  <c r="AX142" i="17"/>
  <c r="AX141" i="17"/>
  <c r="AX140" i="17"/>
  <c r="AW140" i="17" s="1"/>
  <c r="AX139" i="17"/>
  <c r="AX138" i="17"/>
  <c r="AX137" i="17"/>
  <c r="AX136" i="17"/>
  <c r="AX135" i="17"/>
  <c r="AX134" i="17"/>
  <c r="AX133" i="17"/>
  <c r="AZ113" i="17"/>
  <c r="AX113" i="17" s="1"/>
  <c r="AW113" i="17" s="1"/>
  <c r="AZ112" i="17"/>
  <c r="AX112" i="17" s="1"/>
  <c r="AW112" i="17" s="1"/>
  <c r="AZ111" i="17"/>
  <c r="AX111" i="17" s="1"/>
  <c r="AW111" i="17" s="1"/>
  <c r="AZ110" i="17"/>
  <c r="AX110" i="17" s="1"/>
  <c r="AW110" i="17" s="1"/>
  <c r="AX121" i="17"/>
  <c r="AX120" i="17"/>
  <c r="AX119" i="17"/>
  <c r="AX118" i="17"/>
  <c r="AX117" i="17"/>
  <c r="AX116" i="17"/>
  <c r="AX115" i="17"/>
  <c r="AX109" i="17"/>
  <c r="AW109" i="17" s="1"/>
  <c r="AX107" i="17"/>
  <c r="AX106" i="17"/>
  <c r="AX105" i="17"/>
  <c r="AX104" i="17"/>
  <c r="AX103" i="17"/>
  <c r="AX101" i="17"/>
  <c r="AX100" i="17"/>
  <c r="AX99" i="17"/>
  <c r="AX98" i="17"/>
  <c r="AX97" i="17"/>
  <c r="AX73" i="17"/>
  <c r="AX63" i="17"/>
  <c r="AW63" i="17"/>
  <c r="AX59" i="17"/>
  <c r="AW59" i="17"/>
  <c r="AX58" i="17"/>
  <c r="AW58" i="17" s="1"/>
  <c r="AX57" i="17"/>
  <c r="AW57" i="17" s="1"/>
  <c r="AX56" i="17"/>
  <c r="AW56" i="17" s="1"/>
  <c r="AX55" i="17"/>
  <c r="AW55" i="17" s="1"/>
  <c r="AX54" i="17"/>
  <c r="AW54" i="17" s="1"/>
  <c r="AX45" i="17"/>
  <c r="AX44" i="17"/>
  <c r="AX43" i="17"/>
  <c r="AX42" i="17"/>
  <c r="AX41" i="17"/>
  <c r="AX40" i="17"/>
  <c r="AX39" i="17"/>
  <c r="AX38" i="17"/>
  <c r="AX37" i="17"/>
  <c r="AW37" i="17" s="1"/>
  <c r="AX36" i="17"/>
  <c r="AX35" i="17"/>
  <c r="AX34" i="17"/>
  <c r="AX33" i="17"/>
  <c r="AX32" i="17"/>
  <c r="AW32" i="17" s="1"/>
  <c r="AV38" i="17"/>
  <c r="AV73" i="17"/>
  <c r="AV146" i="17"/>
  <c r="AW146" i="17"/>
  <c r="AV142" i="17"/>
  <c r="AV141" i="17"/>
  <c r="AV139" i="17"/>
  <c r="AW139" i="17"/>
  <c r="AV138" i="17"/>
  <c r="AV137" i="17"/>
  <c r="AW137" i="17" s="1"/>
  <c r="AV136" i="17"/>
  <c r="AW136" i="17" s="1"/>
  <c r="AV135" i="17"/>
  <c r="AW135" i="17" s="1"/>
  <c r="AV134" i="17"/>
  <c r="AV133" i="17"/>
  <c r="AV121" i="17"/>
  <c r="AW118" i="17"/>
  <c r="AV117" i="17"/>
  <c r="AV116" i="17"/>
  <c r="AV115" i="17"/>
  <c r="AV107" i="17"/>
  <c r="AV106" i="17"/>
  <c r="AV105" i="17"/>
  <c r="AV104" i="17"/>
  <c r="AW104" i="17" s="1"/>
  <c r="AV103" i="17"/>
  <c r="AV101" i="17"/>
  <c r="AV100" i="17"/>
  <c r="AV99" i="17"/>
  <c r="AV98" i="17"/>
  <c r="AV97" i="17"/>
  <c r="AV45" i="17"/>
  <c r="AV44" i="17"/>
  <c r="AV43" i="17"/>
  <c r="AV42" i="17"/>
  <c r="AV41" i="17"/>
  <c r="AV40" i="17"/>
  <c r="AV39" i="17"/>
  <c r="AV36" i="17"/>
  <c r="AV35" i="17"/>
  <c r="AV34" i="17"/>
  <c r="AV33" i="17"/>
  <c r="AS59" i="17"/>
  <c r="AS58" i="17"/>
  <c r="AS57" i="17"/>
  <c r="AS56" i="17"/>
  <c r="AS55" i="17"/>
  <c r="AS54" i="17"/>
  <c r="AS121" i="17"/>
  <c r="AS117" i="17"/>
  <c r="AS118" i="17"/>
  <c r="AS119" i="17"/>
  <c r="AS116" i="17"/>
  <c r="AS111" i="17"/>
  <c r="AS112" i="17"/>
  <c r="AS113" i="17"/>
  <c r="AS110" i="17"/>
  <c r="AS109" i="17"/>
  <c r="AS105" i="17"/>
  <c r="AS106" i="17"/>
  <c r="AS107" i="17"/>
  <c r="AS104" i="17"/>
  <c r="AS103" i="17"/>
  <c r="AS99" i="17"/>
  <c r="AS100" i="17"/>
  <c r="AS101" i="17"/>
  <c r="AS98" i="17"/>
  <c r="AS97" i="17"/>
  <c r="AR26" i="17"/>
  <c r="BS164" i="17"/>
  <c r="BO164" i="17"/>
  <c r="BG32" i="17"/>
  <c r="BH97" i="17"/>
  <c r="BH98" i="17"/>
  <c r="BH99" i="17"/>
  <c r="BH100" i="17"/>
  <c r="BH101" i="17"/>
  <c r="BH103" i="17"/>
  <c r="BH104" i="17"/>
  <c r="BH105" i="17"/>
  <c r="BH106" i="17"/>
  <c r="BH107" i="17"/>
  <c r="BH109" i="17"/>
  <c r="BH110" i="17"/>
  <c r="BH111" i="17"/>
  <c r="BH112" i="17"/>
  <c r="BH113" i="17"/>
  <c r="BH115" i="17"/>
  <c r="BH116" i="17"/>
  <c r="BH117" i="17"/>
  <c r="BH118" i="17"/>
  <c r="BH119" i="17"/>
  <c r="BH121" i="17"/>
  <c r="BH134" i="17"/>
  <c r="BH135" i="17"/>
  <c r="BH136" i="17"/>
  <c r="BH137" i="17"/>
  <c r="BH138" i="17"/>
  <c r="BH139" i="17"/>
  <c r="BH140" i="17"/>
  <c r="BH141" i="17"/>
  <c r="BH142" i="17"/>
  <c r="BH146" i="17"/>
  <c r="BH147" i="17"/>
  <c r="BH133" i="17"/>
  <c r="BH73" i="17"/>
  <c r="BG73" i="17" s="1"/>
  <c r="BH58" i="17"/>
  <c r="BG58" i="17" s="1"/>
  <c r="BH57" i="17"/>
  <c r="BG57" i="17" s="1"/>
  <c r="BH56" i="17"/>
  <c r="BG56" i="17" s="1"/>
  <c r="BH55" i="17"/>
  <c r="BG55" i="17" s="1"/>
  <c r="BH54" i="17"/>
  <c r="BG54" i="17" s="1"/>
  <c r="BH33" i="17"/>
  <c r="BH34" i="17"/>
  <c r="BH35" i="17"/>
  <c r="BH36" i="17"/>
  <c r="BH37" i="17"/>
  <c r="BH38" i="17"/>
  <c r="BH39" i="17"/>
  <c r="BH40" i="17"/>
  <c r="BH41" i="17"/>
  <c r="BH42" i="17"/>
  <c r="BH43" i="17"/>
  <c r="BH44" i="17"/>
  <c r="BH45" i="17"/>
  <c r="BH32" i="17"/>
  <c r="BF168" i="17"/>
  <c r="BF147" i="17"/>
  <c r="BF146" i="17"/>
  <c r="BF142" i="17"/>
  <c r="BF141" i="17"/>
  <c r="BF140" i="17"/>
  <c r="BG140" i="17" s="1"/>
  <c r="BF139" i="17"/>
  <c r="BF138" i="17"/>
  <c r="BF137" i="17"/>
  <c r="BF136" i="17"/>
  <c r="BF135" i="17"/>
  <c r="BF134" i="17"/>
  <c r="BF133" i="17"/>
  <c r="BF121" i="17"/>
  <c r="BF119" i="17"/>
  <c r="BF118" i="17"/>
  <c r="BF117" i="17"/>
  <c r="BF116" i="17"/>
  <c r="BF115" i="17"/>
  <c r="BF113" i="17"/>
  <c r="BF112" i="17"/>
  <c r="BF111" i="17"/>
  <c r="BG111" i="17" s="1"/>
  <c r="BF45" i="17"/>
  <c r="BF44" i="17"/>
  <c r="BF43" i="17"/>
  <c r="BF42" i="17"/>
  <c r="BF41" i="17"/>
  <c r="BF40" i="17"/>
  <c r="BF39" i="17"/>
  <c r="BF38" i="17"/>
  <c r="BF37" i="17"/>
  <c r="BF36" i="17"/>
  <c r="BF35" i="17"/>
  <c r="BF34" i="17"/>
  <c r="BG34" i="17" s="1"/>
  <c r="BF33" i="17"/>
  <c r="BF32" i="17"/>
  <c r="BF110" i="17"/>
  <c r="BF109" i="17"/>
  <c r="BF107" i="17"/>
  <c r="BF106" i="17"/>
  <c r="BF105" i="17"/>
  <c r="BF104" i="17"/>
  <c r="BG104" i="17" s="1"/>
  <c r="BF103" i="17"/>
  <c r="BF101" i="17"/>
  <c r="BF100" i="17"/>
  <c r="BF99" i="17"/>
  <c r="BG99" i="17" s="1"/>
  <c r="BF98" i="17"/>
  <c r="BF97" i="17"/>
  <c r="BD164" i="17"/>
  <c r="AW44" i="17" l="1"/>
  <c r="AM56" i="17"/>
  <c r="AC97" i="17"/>
  <c r="AW43" i="17"/>
  <c r="BG138" i="17"/>
  <c r="BG35" i="17"/>
  <c r="BG36" i="17"/>
  <c r="BG113" i="17"/>
  <c r="BG134" i="17"/>
  <c r="AW35" i="17"/>
  <c r="AW100" i="17"/>
  <c r="AW105" i="17"/>
  <c r="AW73" i="17"/>
  <c r="AC38" i="17"/>
  <c r="BG42" i="17"/>
  <c r="BG45" i="17"/>
  <c r="AM55" i="17"/>
  <c r="BG110" i="17"/>
  <c r="AW45" i="17"/>
  <c r="AW42" i="17"/>
  <c r="AW117" i="17"/>
  <c r="AC35" i="17"/>
  <c r="AC55" i="17"/>
  <c r="AC32" i="17"/>
  <c r="AC40" i="17"/>
  <c r="AC44" i="17"/>
  <c r="BG144" i="17"/>
  <c r="AC58" i="17"/>
  <c r="BG133" i="17"/>
  <c r="BG137" i="17"/>
  <c r="BG141" i="17"/>
  <c r="BG43" i="17"/>
  <c r="BG39" i="17"/>
  <c r="BG139" i="17"/>
  <c r="BG135" i="17"/>
  <c r="AW106" i="17"/>
  <c r="AM57" i="17"/>
  <c r="AC43" i="17"/>
  <c r="AC56" i="17"/>
  <c r="BG98" i="17"/>
  <c r="BG103" i="17"/>
  <c r="BG37" i="17"/>
  <c r="BG142" i="17"/>
  <c r="BU164" i="17"/>
  <c r="AW36" i="17"/>
  <c r="AW134" i="17"/>
  <c r="AW138" i="17"/>
  <c r="AM54" i="17"/>
  <c r="Y111" i="17"/>
  <c r="Z111" i="17" s="1"/>
  <c r="AB111" i="17" s="1"/>
  <c r="Y110" i="17"/>
  <c r="Z110" i="17" s="1"/>
  <c r="AB34" i="17"/>
  <c r="AB36" i="17" s="1"/>
  <c r="AC137" i="17"/>
  <c r="AC141" i="17"/>
  <c r="AC145" i="17"/>
  <c r="AW103" i="17"/>
  <c r="AW107" i="17"/>
  <c r="AW119" i="17"/>
  <c r="AC54" i="17"/>
  <c r="BG100" i="17"/>
  <c r="BG121" i="17"/>
  <c r="BG33" i="17"/>
  <c r="BG119" i="17"/>
  <c r="BG115" i="17"/>
  <c r="BG101" i="17"/>
  <c r="BG97" i="17"/>
  <c r="AW40" i="17"/>
  <c r="AW97" i="17"/>
  <c r="AW101" i="17"/>
  <c r="Y109" i="17"/>
  <c r="Z109" i="17" s="1"/>
  <c r="AD109" i="17" s="1"/>
  <c r="Y113" i="17"/>
  <c r="Z113" i="17" s="1"/>
  <c r="Y112" i="17"/>
  <c r="Z112" i="17" s="1"/>
  <c r="AB112" i="17" s="1"/>
  <c r="AC73" i="17"/>
  <c r="BG106" i="17"/>
  <c r="AC106" i="17"/>
  <c r="BG38" i="17"/>
  <c r="BG118" i="17"/>
  <c r="BG105" i="17"/>
  <c r="AW38" i="17"/>
  <c r="AW99" i="17"/>
  <c r="AW121" i="17"/>
  <c r="AW141" i="17"/>
  <c r="AW143" i="17"/>
  <c r="AW144" i="17"/>
  <c r="AM73" i="17"/>
  <c r="AC98" i="17"/>
  <c r="AC103" i="17"/>
  <c r="AC107" i="17"/>
  <c r="AC118" i="17"/>
  <c r="AC134" i="17"/>
  <c r="AC138" i="17"/>
  <c r="AC142" i="17"/>
  <c r="AC146" i="17"/>
  <c r="AW34" i="17"/>
  <c r="AM58" i="17"/>
  <c r="AC117" i="17"/>
  <c r="BG41" i="17"/>
  <c r="BG147" i="17"/>
  <c r="BG117" i="17"/>
  <c r="BG112" i="17"/>
  <c r="BG109" i="17"/>
  <c r="AW39" i="17"/>
  <c r="AW115" i="17"/>
  <c r="AW142" i="17"/>
  <c r="AC99" i="17"/>
  <c r="AC104" i="17"/>
  <c r="AC115" i="17"/>
  <c r="AC119" i="17"/>
  <c r="AC135" i="17"/>
  <c r="AC139" i="17"/>
  <c r="AC143" i="17"/>
  <c r="AC147" i="17"/>
  <c r="AC101" i="17"/>
  <c r="BG44" i="17"/>
  <c r="BG40" i="17"/>
  <c r="BG146" i="17"/>
  <c r="BG136" i="17"/>
  <c r="BG116" i="17"/>
  <c r="BG107" i="17"/>
  <c r="AW41" i="17"/>
  <c r="AW98" i="17"/>
  <c r="AW33" i="17"/>
  <c r="AW116" i="17"/>
  <c r="AW133" i="17"/>
  <c r="BG143" i="17"/>
  <c r="AC100" i="17"/>
  <c r="AC105" i="17"/>
  <c r="AC116" i="17"/>
  <c r="AC121" i="17"/>
  <c r="AC136" i="17"/>
  <c r="AC140" i="17"/>
  <c r="AC144" i="17"/>
  <c r="O115" i="17"/>
  <c r="AD111" i="17"/>
  <c r="AB110" i="17"/>
  <c r="AD110" i="17"/>
  <c r="AD113" i="17"/>
  <c r="AB113" i="17"/>
  <c r="AC133" i="17"/>
  <c r="O103" i="17"/>
  <c r="P107" i="17"/>
  <c r="O113" i="17"/>
  <c r="O138" i="17"/>
  <c r="O146" i="17"/>
  <c r="O119" i="17"/>
  <c r="AD112" i="17" l="1"/>
  <c r="AC112" i="17" s="1"/>
  <c r="AC34" i="17"/>
  <c r="AB109" i="17"/>
  <c r="AC109" i="17" s="1"/>
  <c r="AC110" i="17"/>
  <c r="AC113" i="17"/>
  <c r="AC111" i="17"/>
  <c r="T107" i="17"/>
  <c r="S107" i="17" s="1"/>
  <c r="O107" i="17"/>
  <c r="AB39" i="17"/>
  <c r="AC36" i="17"/>
  <c r="AC39" i="17" l="1"/>
  <c r="AB42" i="17"/>
  <c r="AC42" i="17" l="1"/>
  <c r="AB45" i="17"/>
  <c r="AC45" i="17" s="1"/>
</calcChain>
</file>

<file path=xl/sharedStrings.xml><?xml version="1.0" encoding="utf-8"?>
<sst xmlns="http://schemas.openxmlformats.org/spreadsheetml/2006/main" count="2325" uniqueCount="236">
  <si>
    <t>【貸借対照表】</t>
    <rPh sb="1" eb="3">
      <t>タイシャク</t>
    </rPh>
    <rPh sb="3" eb="6">
      <t>タイショウヒョウ</t>
    </rPh>
    <phoneticPr fontId="3"/>
  </si>
  <si>
    <t>（単位：億円）</t>
    <rPh sb="1" eb="3">
      <t>タンイ</t>
    </rPh>
    <rPh sb="4" eb="6">
      <t>オクエン</t>
    </rPh>
    <phoneticPr fontId="3"/>
  </si>
  <si>
    <t>上期末</t>
    <rPh sb="0" eb="2">
      <t>カミキ</t>
    </rPh>
    <rPh sb="2" eb="3">
      <t>マツ</t>
    </rPh>
    <phoneticPr fontId="0"/>
  </si>
  <si>
    <t>下期末</t>
    <rPh sb="0" eb="2">
      <t>シモキ</t>
    </rPh>
    <rPh sb="2" eb="3">
      <t>マツ</t>
    </rPh>
    <phoneticPr fontId="0"/>
  </si>
  <si>
    <t>通期末</t>
    <rPh sb="0" eb="2">
      <t>ツウキ</t>
    </rPh>
    <rPh sb="2" eb="3">
      <t>マツ</t>
    </rPh>
    <phoneticPr fontId="0"/>
  </si>
  <si>
    <t>第1四半期末</t>
    <rPh sb="0" eb="1">
      <t>ダイ</t>
    </rPh>
    <rPh sb="2" eb="3">
      <t>シ</t>
    </rPh>
    <rPh sb="3" eb="5">
      <t>ハンキ</t>
    </rPh>
    <rPh sb="5" eb="6">
      <t>マツ</t>
    </rPh>
    <phoneticPr fontId="0"/>
  </si>
  <si>
    <t>第2四半期末</t>
    <rPh sb="0" eb="1">
      <t>ダイ</t>
    </rPh>
    <rPh sb="2" eb="3">
      <t>シ</t>
    </rPh>
    <rPh sb="3" eb="5">
      <t>ハンキ</t>
    </rPh>
    <rPh sb="5" eb="6">
      <t>マツ</t>
    </rPh>
    <phoneticPr fontId="0"/>
  </si>
  <si>
    <t>第3四半期</t>
    <rPh sb="0" eb="1">
      <t>ダイ</t>
    </rPh>
    <rPh sb="2" eb="3">
      <t>シ</t>
    </rPh>
    <rPh sb="3" eb="5">
      <t>ハンキ</t>
    </rPh>
    <phoneticPr fontId="0"/>
  </si>
  <si>
    <t>第4四半期</t>
    <rPh sb="0" eb="1">
      <t>ダイ</t>
    </rPh>
    <rPh sb="2" eb="3">
      <t>シ</t>
    </rPh>
    <rPh sb="3" eb="5">
      <t>ハンキ</t>
    </rPh>
    <phoneticPr fontId="0"/>
  </si>
  <si>
    <t>第4四半期末</t>
    <rPh sb="0" eb="1">
      <t>ダイ</t>
    </rPh>
    <rPh sb="2" eb="3">
      <t>シ</t>
    </rPh>
    <rPh sb="3" eb="5">
      <t>ハンキ</t>
    </rPh>
    <rPh sb="5" eb="6">
      <t>マツ</t>
    </rPh>
    <phoneticPr fontId="0"/>
  </si>
  <si>
    <t>6月末</t>
    <rPh sb="1" eb="2">
      <t>ガツ</t>
    </rPh>
    <rPh sb="2" eb="3">
      <t>マツ</t>
    </rPh>
    <phoneticPr fontId="3"/>
  </si>
  <si>
    <t>9月末</t>
    <rPh sb="1" eb="3">
      <t>ガツマツ</t>
    </rPh>
    <phoneticPr fontId="3"/>
  </si>
  <si>
    <t>10月－12月</t>
    <rPh sb="2" eb="3">
      <t>ガツ</t>
    </rPh>
    <rPh sb="6" eb="7">
      <t>ガツ</t>
    </rPh>
    <phoneticPr fontId="3"/>
  </si>
  <si>
    <t>翌年1月－3月</t>
    <rPh sb="0" eb="2">
      <t>ヨクネン</t>
    </rPh>
    <rPh sb="3" eb="4">
      <t>ゲツ</t>
    </rPh>
    <rPh sb="6" eb="7">
      <t>ガツ</t>
    </rPh>
    <phoneticPr fontId="3"/>
  </si>
  <si>
    <t>翌3月末</t>
    <rPh sb="0" eb="1">
      <t>ヨク</t>
    </rPh>
    <rPh sb="2" eb="3">
      <t>ガツ</t>
    </rPh>
    <rPh sb="3" eb="4">
      <t>マツ</t>
    </rPh>
    <phoneticPr fontId="3"/>
  </si>
  <si>
    <t>翌3月末</t>
    <rPh sb="0" eb="1">
      <t>ヨク</t>
    </rPh>
    <rPh sb="2" eb="4">
      <t>ガツマツ</t>
    </rPh>
    <phoneticPr fontId="3"/>
  </si>
  <si>
    <t>総資産</t>
    <rPh sb="0" eb="3">
      <t>ソウシサン</t>
    </rPh>
    <phoneticPr fontId="3"/>
  </si>
  <si>
    <t>　流動資産</t>
    <rPh sb="1" eb="3">
      <t>リュウドウ</t>
    </rPh>
    <rPh sb="3" eb="5">
      <t>シサン</t>
    </rPh>
    <phoneticPr fontId="0"/>
  </si>
  <si>
    <t>　固定資産</t>
    <rPh sb="1" eb="3">
      <t>コテイ</t>
    </rPh>
    <rPh sb="3" eb="5">
      <t>シサン</t>
    </rPh>
    <phoneticPr fontId="0"/>
  </si>
  <si>
    <t>　　有形固定資産</t>
    <rPh sb="2" eb="4">
      <t>ユウケイ</t>
    </rPh>
    <rPh sb="4" eb="6">
      <t>コテイ</t>
    </rPh>
    <rPh sb="6" eb="8">
      <t>シサン</t>
    </rPh>
    <phoneticPr fontId="0"/>
  </si>
  <si>
    <t>　　無形固定資産</t>
    <rPh sb="2" eb="4">
      <t>ムケイ</t>
    </rPh>
    <rPh sb="4" eb="6">
      <t>コテイ</t>
    </rPh>
    <rPh sb="6" eb="8">
      <t>シサン</t>
    </rPh>
    <phoneticPr fontId="3"/>
  </si>
  <si>
    <t>　　投資その他の資産</t>
    <rPh sb="2" eb="4">
      <t>トウシ</t>
    </rPh>
    <rPh sb="6" eb="7">
      <t>タ</t>
    </rPh>
    <rPh sb="8" eb="10">
      <t>シサン</t>
    </rPh>
    <phoneticPr fontId="3"/>
  </si>
  <si>
    <t>負債</t>
    <rPh sb="0" eb="2">
      <t>フサイ</t>
    </rPh>
    <phoneticPr fontId="3"/>
  </si>
  <si>
    <t>　　流動負債</t>
    <rPh sb="2" eb="4">
      <t>リュウドウ</t>
    </rPh>
    <rPh sb="4" eb="6">
      <t>フサイ</t>
    </rPh>
    <phoneticPr fontId="3"/>
  </si>
  <si>
    <t>　　固定負債</t>
    <rPh sb="2" eb="4">
      <t>コテイ</t>
    </rPh>
    <rPh sb="4" eb="6">
      <t>フサイ</t>
    </rPh>
    <phoneticPr fontId="3"/>
  </si>
  <si>
    <t>純資産</t>
    <rPh sb="0" eb="3">
      <t>ジュンシサン</t>
    </rPh>
    <phoneticPr fontId="3"/>
  </si>
  <si>
    <t>　　株主資本</t>
    <rPh sb="2" eb="4">
      <t>カブヌシ</t>
    </rPh>
    <rPh sb="4" eb="6">
      <t>シホン</t>
    </rPh>
    <phoneticPr fontId="3"/>
  </si>
  <si>
    <t>【損益計算書】</t>
    <rPh sb="1" eb="3">
      <t>ソンエキ</t>
    </rPh>
    <rPh sb="3" eb="6">
      <t>ケイサンショ</t>
    </rPh>
    <phoneticPr fontId="3"/>
  </si>
  <si>
    <t>上期</t>
    <rPh sb="0" eb="2">
      <t>カミキ</t>
    </rPh>
    <phoneticPr fontId="0"/>
  </si>
  <si>
    <t>下期</t>
    <rPh sb="0" eb="2">
      <t>シモキ</t>
    </rPh>
    <phoneticPr fontId="0"/>
  </si>
  <si>
    <t>通期</t>
    <rPh sb="0" eb="2">
      <t>ツウキ</t>
    </rPh>
    <phoneticPr fontId="0"/>
  </si>
  <si>
    <t>第1四半期</t>
    <rPh sb="0" eb="1">
      <t>ダイ</t>
    </rPh>
    <rPh sb="2" eb="3">
      <t>シ</t>
    </rPh>
    <rPh sb="3" eb="5">
      <t>ハンキ</t>
    </rPh>
    <phoneticPr fontId="0"/>
  </si>
  <si>
    <t>第2四半期</t>
    <rPh sb="0" eb="1">
      <t>ダイ</t>
    </rPh>
    <rPh sb="2" eb="3">
      <t>シ</t>
    </rPh>
    <rPh sb="3" eb="5">
      <t>ハンキ</t>
    </rPh>
    <phoneticPr fontId="0"/>
  </si>
  <si>
    <t>第2四半期累計</t>
    <rPh sb="0" eb="1">
      <t>ダイ</t>
    </rPh>
    <rPh sb="2" eb="3">
      <t>シ</t>
    </rPh>
    <rPh sb="3" eb="5">
      <t>ハンキ</t>
    </rPh>
    <rPh sb="5" eb="7">
      <t>ルイケイ</t>
    </rPh>
    <phoneticPr fontId="0"/>
  </si>
  <si>
    <t>4月－6月</t>
    <rPh sb="1" eb="2">
      <t>ゲツ</t>
    </rPh>
    <rPh sb="4" eb="5">
      <t>ガツ</t>
    </rPh>
    <phoneticPr fontId="3"/>
  </si>
  <si>
    <t>7月－9月</t>
    <rPh sb="1" eb="2">
      <t>ゲツ</t>
    </rPh>
    <rPh sb="4" eb="5">
      <t>ガツ</t>
    </rPh>
    <phoneticPr fontId="3"/>
  </si>
  <si>
    <t>4月－9月</t>
    <rPh sb="1" eb="2">
      <t>ゲツ</t>
    </rPh>
    <rPh sb="4" eb="5">
      <t>ガツ</t>
    </rPh>
    <phoneticPr fontId="3"/>
  </si>
  <si>
    <t>10月－翌3月</t>
    <rPh sb="2" eb="3">
      <t>ガツ</t>
    </rPh>
    <rPh sb="4" eb="5">
      <t>ヨク</t>
    </rPh>
    <rPh sb="6" eb="7">
      <t>ガツ</t>
    </rPh>
    <phoneticPr fontId="3"/>
  </si>
  <si>
    <t>4月－翌3月</t>
    <rPh sb="1" eb="2">
      <t>ガツ</t>
    </rPh>
    <rPh sb="3" eb="4">
      <t>ヨク</t>
    </rPh>
    <rPh sb="5" eb="6">
      <t>ガツ</t>
    </rPh>
    <phoneticPr fontId="3"/>
  </si>
  <si>
    <t>売上高</t>
  </si>
  <si>
    <t>　売上原価</t>
    <rPh sb="1" eb="3">
      <t>ウリア</t>
    </rPh>
    <rPh sb="3" eb="5">
      <t>ゲンカ</t>
    </rPh>
    <phoneticPr fontId="0"/>
  </si>
  <si>
    <t>売上総利益</t>
    <rPh sb="0" eb="2">
      <t>ウリア</t>
    </rPh>
    <rPh sb="2" eb="5">
      <t>ソウリエキ</t>
    </rPh>
    <phoneticPr fontId="0"/>
  </si>
  <si>
    <t>　販売費及び一般管理費</t>
    <rPh sb="1" eb="4">
      <t>ハンバイヒ</t>
    </rPh>
    <rPh sb="4" eb="5">
      <t>オヨ</t>
    </rPh>
    <rPh sb="6" eb="8">
      <t>イッパン</t>
    </rPh>
    <rPh sb="8" eb="11">
      <t>カンリヒ</t>
    </rPh>
    <phoneticPr fontId="0"/>
  </si>
  <si>
    <t>営業利益</t>
    <rPh sb="0" eb="2">
      <t>エイギョウ</t>
    </rPh>
    <rPh sb="2" eb="4">
      <t>リエキ</t>
    </rPh>
    <phoneticPr fontId="0"/>
  </si>
  <si>
    <t>　営業外収益</t>
    <rPh sb="1" eb="4">
      <t>エイギョウガイ</t>
    </rPh>
    <rPh sb="4" eb="6">
      <t>シュウエキ</t>
    </rPh>
    <phoneticPr fontId="3"/>
  </si>
  <si>
    <t>　営業外費用</t>
    <rPh sb="1" eb="4">
      <t>エイギョウガイ</t>
    </rPh>
    <rPh sb="4" eb="6">
      <t>ヒヨウ</t>
    </rPh>
    <phoneticPr fontId="3"/>
  </si>
  <si>
    <t>経常利益</t>
    <rPh sb="0" eb="2">
      <t>ケイジョウ</t>
    </rPh>
    <rPh sb="2" eb="4">
      <t>リエキ</t>
    </rPh>
    <phoneticPr fontId="3"/>
  </si>
  <si>
    <t>　特別利益</t>
    <rPh sb="1" eb="3">
      <t>トクベツ</t>
    </rPh>
    <rPh sb="3" eb="5">
      <t>リエキ</t>
    </rPh>
    <phoneticPr fontId="3"/>
  </si>
  <si>
    <t>　特別損失</t>
    <rPh sb="1" eb="3">
      <t>トクベツ</t>
    </rPh>
    <rPh sb="3" eb="5">
      <t>ソンシツ</t>
    </rPh>
    <phoneticPr fontId="3"/>
  </si>
  <si>
    <t>税金等調整前四半期純利益</t>
    <phoneticPr fontId="3"/>
  </si>
  <si>
    <t>【キャッシュ・フロー計算書】</t>
    <rPh sb="10" eb="13">
      <t>ケイサンショ</t>
    </rPh>
    <phoneticPr fontId="3"/>
  </si>
  <si>
    <t>営業活動によるキャッシュ・フロー</t>
    <rPh sb="0" eb="2">
      <t>エイギョウ</t>
    </rPh>
    <rPh sb="2" eb="4">
      <t>カツドウ</t>
    </rPh>
    <phoneticPr fontId="3"/>
  </si>
  <si>
    <t>投資活動によるキャッシュ・フロー</t>
    <rPh sb="0" eb="2">
      <t>トウシ</t>
    </rPh>
    <rPh sb="2" eb="4">
      <t>カツドウ</t>
    </rPh>
    <phoneticPr fontId="3"/>
  </si>
  <si>
    <t>財務活動によるキャッシュ・フロー</t>
    <rPh sb="0" eb="2">
      <t>ザイム</t>
    </rPh>
    <rPh sb="2" eb="4">
      <t>カツドウ</t>
    </rPh>
    <phoneticPr fontId="3"/>
  </si>
  <si>
    <t>現金及び現金同等物に係る換算差額</t>
    <rPh sb="0" eb="2">
      <t>ゲンキン</t>
    </rPh>
    <rPh sb="2" eb="3">
      <t>オヨ</t>
    </rPh>
    <rPh sb="4" eb="6">
      <t>ゲンキン</t>
    </rPh>
    <rPh sb="6" eb="8">
      <t>ドウトウ</t>
    </rPh>
    <rPh sb="8" eb="9">
      <t>ブツ</t>
    </rPh>
    <rPh sb="10" eb="11">
      <t>カカ</t>
    </rPh>
    <rPh sb="12" eb="14">
      <t>カンサン</t>
    </rPh>
    <rPh sb="14" eb="16">
      <t>サガク</t>
    </rPh>
    <phoneticPr fontId="0"/>
  </si>
  <si>
    <t>現金及び現金同等物の増減額</t>
    <rPh sb="0" eb="2">
      <t>ゲンキン</t>
    </rPh>
    <rPh sb="2" eb="3">
      <t>オヨ</t>
    </rPh>
    <rPh sb="4" eb="6">
      <t>ゲンキン</t>
    </rPh>
    <rPh sb="6" eb="8">
      <t>ドウトウ</t>
    </rPh>
    <rPh sb="8" eb="9">
      <t>ブツ</t>
    </rPh>
    <rPh sb="10" eb="13">
      <t>ゾウゲンガク</t>
    </rPh>
    <phoneticPr fontId="0"/>
  </si>
  <si>
    <t>現金及び現金同等物の期首残高</t>
    <rPh sb="0" eb="2">
      <t>ゲンキン</t>
    </rPh>
    <rPh sb="2" eb="3">
      <t>オヨ</t>
    </rPh>
    <rPh sb="4" eb="6">
      <t>ゲンキン</t>
    </rPh>
    <rPh sb="6" eb="8">
      <t>ドウトウ</t>
    </rPh>
    <rPh sb="8" eb="9">
      <t>ブツ</t>
    </rPh>
    <rPh sb="10" eb="12">
      <t>キシュ</t>
    </rPh>
    <rPh sb="12" eb="14">
      <t>ザンダカ</t>
    </rPh>
    <phoneticPr fontId="0"/>
  </si>
  <si>
    <t>　株式移転・合併に伴う現金及び現金同等物の増減額</t>
    <rPh sb="1" eb="3">
      <t>カブシキ</t>
    </rPh>
    <rPh sb="3" eb="5">
      <t>イテン</t>
    </rPh>
    <rPh sb="6" eb="8">
      <t>ガッペイ</t>
    </rPh>
    <rPh sb="9" eb="10">
      <t>トモナ</t>
    </rPh>
    <phoneticPr fontId="0"/>
  </si>
  <si>
    <t>現金及び現金同等物の四半期末残高</t>
    <rPh sb="0" eb="2">
      <t>ゲンキン</t>
    </rPh>
    <rPh sb="2" eb="3">
      <t>オヨ</t>
    </rPh>
    <rPh sb="4" eb="6">
      <t>ゲンキン</t>
    </rPh>
    <rPh sb="6" eb="8">
      <t>ドウトウ</t>
    </rPh>
    <rPh sb="8" eb="9">
      <t>ブツ</t>
    </rPh>
    <rPh sb="10" eb="11">
      <t>シ</t>
    </rPh>
    <rPh sb="11" eb="13">
      <t>ハンキ</t>
    </rPh>
    <rPh sb="13" eb="14">
      <t>スエ</t>
    </rPh>
    <rPh sb="14" eb="16">
      <t>ザンダカ</t>
    </rPh>
    <phoneticPr fontId="0"/>
  </si>
  <si>
    <t>【一株当たり情報】</t>
    <rPh sb="1" eb="3">
      <t>ヒトカブ</t>
    </rPh>
    <rPh sb="3" eb="4">
      <t>ア</t>
    </rPh>
    <rPh sb="6" eb="8">
      <t>ジョウホウ</t>
    </rPh>
    <phoneticPr fontId="3"/>
  </si>
  <si>
    <t>一株当たり純資産（円）＜各期末＞</t>
    <rPh sb="0" eb="2">
      <t>ヒトカブ</t>
    </rPh>
    <rPh sb="2" eb="3">
      <t>ア</t>
    </rPh>
    <rPh sb="5" eb="8">
      <t>ジュンシサン</t>
    </rPh>
    <rPh sb="9" eb="10">
      <t>エン</t>
    </rPh>
    <rPh sb="12" eb="13">
      <t>カク</t>
    </rPh>
    <rPh sb="13" eb="15">
      <t>キマツ</t>
    </rPh>
    <phoneticPr fontId="3"/>
  </si>
  <si>
    <t>一株当たり純利益（円）</t>
    <rPh sb="0" eb="2">
      <t>ヒトカブ</t>
    </rPh>
    <rPh sb="2" eb="3">
      <t>ア</t>
    </rPh>
    <rPh sb="5" eb="8">
      <t>ジュンリエキ</t>
    </rPh>
    <phoneticPr fontId="0"/>
  </si>
  <si>
    <t>一株当たり配当金（円）</t>
    <rPh sb="0" eb="2">
      <t>ヒトカブ</t>
    </rPh>
    <rPh sb="2" eb="3">
      <t>ア</t>
    </rPh>
    <rPh sb="5" eb="8">
      <t>ハイトウキン</t>
    </rPh>
    <phoneticPr fontId="0"/>
  </si>
  <si>
    <t>発行済株式数（千株）</t>
    <rPh sb="0" eb="2">
      <t>ハッコウ</t>
    </rPh>
    <rPh sb="2" eb="3">
      <t>ズ</t>
    </rPh>
    <rPh sb="3" eb="6">
      <t>カブシキスウ</t>
    </rPh>
    <rPh sb="7" eb="9">
      <t>センカブ</t>
    </rPh>
    <phoneticPr fontId="0"/>
  </si>
  <si>
    <t>　期末発行済株式数（自己株式を含む）</t>
    <rPh sb="1" eb="3">
      <t>キマツ</t>
    </rPh>
    <rPh sb="3" eb="5">
      <t>ハッコウ</t>
    </rPh>
    <rPh sb="5" eb="6">
      <t>ズ</t>
    </rPh>
    <rPh sb="6" eb="9">
      <t>カブシキスウ</t>
    </rPh>
    <rPh sb="10" eb="12">
      <t>ジコ</t>
    </rPh>
    <rPh sb="12" eb="13">
      <t>カブ</t>
    </rPh>
    <rPh sb="13" eb="14">
      <t>シキ</t>
    </rPh>
    <rPh sb="15" eb="16">
      <t>フク</t>
    </rPh>
    <phoneticPr fontId="0"/>
  </si>
  <si>
    <t>　期末自己株式数</t>
    <rPh sb="1" eb="3">
      <t>キマツ</t>
    </rPh>
    <rPh sb="3" eb="5">
      <t>ジコ</t>
    </rPh>
    <rPh sb="5" eb="8">
      <t>カブシキスウ</t>
    </rPh>
    <phoneticPr fontId="0"/>
  </si>
  <si>
    <t>　期中平均株式数</t>
    <rPh sb="1" eb="3">
      <t>キチュウ</t>
    </rPh>
    <rPh sb="3" eb="5">
      <t>ヘイキン</t>
    </rPh>
    <rPh sb="5" eb="8">
      <t>カブシキスウ</t>
    </rPh>
    <phoneticPr fontId="0"/>
  </si>
  <si>
    <t>【主な経営指標】</t>
    <rPh sb="1" eb="2">
      <t>オモ</t>
    </rPh>
    <rPh sb="3" eb="5">
      <t>ケイエイ</t>
    </rPh>
    <rPh sb="5" eb="7">
      <t>シヒョウ</t>
    </rPh>
    <phoneticPr fontId="3"/>
  </si>
  <si>
    <t>自己資本（億円）</t>
    <rPh sb="0" eb="2">
      <t>ジコ</t>
    </rPh>
    <rPh sb="2" eb="4">
      <t>シホン</t>
    </rPh>
    <rPh sb="5" eb="7">
      <t>オクエン</t>
    </rPh>
    <phoneticPr fontId="3"/>
  </si>
  <si>
    <t>　自己資本比率(％）</t>
    <rPh sb="1" eb="3">
      <t>ジコ</t>
    </rPh>
    <rPh sb="3" eb="5">
      <t>シホン</t>
    </rPh>
    <rPh sb="5" eb="7">
      <t>ヒリツ</t>
    </rPh>
    <phoneticPr fontId="3"/>
  </si>
  <si>
    <t>有利子負債（億円）</t>
    <rPh sb="0" eb="1">
      <t>ユウ</t>
    </rPh>
    <rPh sb="1" eb="3">
      <t>リシ</t>
    </rPh>
    <rPh sb="3" eb="5">
      <t>フサイ</t>
    </rPh>
    <rPh sb="6" eb="8">
      <t>オクエン</t>
    </rPh>
    <phoneticPr fontId="3"/>
  </si>
  <si>
    <t>　純有利子負債（億円）</t>
    <rPh sb="1" eb="2">
      <t>ジュン</t>
    </rPh>
    <rPh sb="2" eb="3">
      <t>ユウ</t>
    </rPh>
    <rPh sb="3" eb="5">
      <t>リシ</t>
    </rPh>
    <rPh sb="5" eb="7">
      <t>フサイ</t>
    </rPh>
    <rPh sb="8" eb="10">
      <t>オクエン</t>
    </rPh>
    <phoneticPr fontId="3"/>
  </si>
  <si>
    <t>ネットＤ／Ｅレシオ（倍）</t>
    <rPh sb="10" eb="11">
      <t>バイ</t>
    </rPh>
    <phoneticPr fontId="3"/>
  </si>
  <si>
    <t>【セグメントデータ（ＩＲ情報）】</t>
    <rPh sb="12" eb="14">
      <t>ジョウホウ</t>
    </rPh>
    <phoneticPr fontId="3"/>
  </si>
  <si>
    <t>　金属事業</t>
    <phoneticPr fontId="3"/>
  </si>
  <si>
    <t>営業利益</t>
  </si>
  <si>
    <t>営業外利益</t>
    <rPh sb="0" eb="3">
      <t>エイギョウガイ</t>
    </rPh>
    <rPh sb="3" eb="5">
      <t>リエキ</t>
    </rPh>
    <phoneticPr fontId="0"/>
  </si>
  <si>
    <t>経常利益</t>
  </si>
  <si>
    <t>【経常利益詳細ブレイクダウン】</t>
    <rPh sb="1" eb="3">
      <t>ケイジョウ</t>
    </rPh>
    <rPh sb="3" eb="5">
      <t>リエキ</t>
    </rPh>
    <rPh sb="5" eb="7">
      <t>ショウサイ</t>
    </rPh>
    <phoneticPr fontId="3"/>
  </si>
  <si>
    <t>経常利益（億円）</t>
    <rPh sb="5" eb="7">
      <t>オクエン</t>
    </rPh>
    <phoneticPr fontId="3"/>
  </si>
  <si>
    <t>　（在庫評価影響を除く実質経常利益）</t>
    <rPh sb="2" eb="4">
      <t>ザイコ</t>
    </rPh>
    <rPh sb="4" eb="6">
      <t>ヒョウカ</t>
    </rPh>
    <rPh sb="6" eb="8">
      <t>エイキョウ</t>
    </rPh>
    <rPh sb="9" eb="10">
      <t>ノゾ</t>
    </rPh>
    <rPh sb="11" eb="13">
      <t>ジッシツ</t>
    </rPh>
    <rPh sb="13" eb="15">
      <t>ケイジョウ</t>
    </rPh>
    <rPh sb="15" eb="17">
      <t>リエキ</t>
    </rPh>
    <phoneticPr fontId="3"/>
  </si>
  <si>
    <t>　　石油</t>
    <phoneticPr fontId="3"/>
  </si>
  <si>
    <t>　　石油化学</t>
    <rPh sb="2" eb="4">
      <t>セキユ</t>
    </rPh>
    <rPh sb="4" eb="6">
      <t>カガク</t>
    </rPh>
    <phoneticPr fontId="0"/>
  </si>
  <si>
    <t>　　在庫影響</t>
    <rPh sb="4" eb="6">
      <t>エイキョウ</t>
    </rPh>
    <phoneticPr fontId="0"/>
  </si>
  <si>
    <r>
      <t>■</t>
    </r>
    <r>
      <rPr>
        <sz val="11"/>
        <rFont val="ＭＳ Ｐゴシック"/>
        <family val="3"/>
        <charset val="128"/>
      </rPr>
      <t>金属事業</t>
    </r>
    <phoneticPr fontId="3"/>
  </si>
  <si>
    <t>　　銅資源開発</t>
    <rPh sb="2" eb="3">
      <t>ドウ</t>
    </rPh>
    <phoneticPr fontId="0"/>
  </si>
  <si>
    <t>　　環境リサイクル</t>
    <rPh sb="2" eb="4">
      <t>カンキョウ</t>
    </rPh>
    <phoneticPr fontId="0"/>
  </si>
  <si>
    <t>　　電材加工</t>
    <rPh sb="2" eb="3">
      <t>デン</t>
    </rPh>
    <rPh sb="3" eb="4">
      <t>ザイ</t>
    </rPh>
    <rPh sb="4" eb="6">
      <t>カコウ</t>
    </rPh>
    <phoneticPr fontId="0"/>
  </si>
  <si>
    <t>-</t>
  </si>
  <si>
    <t>【前提条件】</t>
    <rPh sb="1" eb="3">
      <t>ゼンテイ</t>
    </rPh>
    <rPh sb="3" eb="5">
      <t>ジョウケン</t>
    </rPh>
    <phoneticPr fontId="3"/>
  </si>
  <si>
    <r>
      <t>■</t>
    </r>
    <r>
      <rPr>
        <sz val="11"/>
        <rFont val="ＭＳ Ｐゴシック"/>
        <family val="3"/>
        <charset val="128"/>
      </rPr>
      <t>共　通</t>
    </r>
    <phoneticPr fontId="3"/>
  </si>
  <si>
    <t>　為替レート（円/ドル）</t>
    <phoneticPr fontId="3"/>
  </si>
  <si>
    <r>
      <t>■</t>
    </r>
    <r>
      <rPr>
        <sz val="11"/>
        <rFont val="ＭＳ Ｐゴシック"/>
        <family val="3"/>
        <charset val="128"/>
      </rPr>
      <t>金属事業</t>
    </r>
    <phoneticPr fontId="3"/>
  </si>
  <si>
    <t>　PPC銅販売量（千トン/期・年）</t>
    <phoneticPr fontId="3"/>
  </si>
  <si>
    <t>　環境リサイクル金回収量（トン/期・年）</t>
    <rPh sb="1" eb="3">
      <t>カンキョウ</t>
    </rPh>
    <rPh sb="9" eb="11">
      <t>カイシュウ</t>
    </rPh>
    <rPh sb="11" eb="12">
      <t>リョウ</t>
    </rPh>
    <rPh sb="16" eb="17">
      <t>キ</t>
    </rPh>
    <rPh sb="18" eb="19">
      <t>ネン</t>
    </rPh>
    <phoneticPr fontId="0"/>
  </si>
  <si>
    <t>　精密圧延品生産品販売量（千トン/月）</t>
    <rPh sb="1" eb="3">
      <t>セイミツ</t>
    </rPh>
    <rPh sb="3" eb="5">
      <t>アツエン</t>
    </rPh>
    <rPh sb="5" eb="6">
      <t>ヒン</t>
    </rPh>
    <rPh sb="6" eb="9">
      <t>セイサンヒン</t>
    </rPh>
    <phoneticPr fontId="0"/>
  </si>
  <si>
    <t>　　銅製錬</t>
    <phoneticPr fontId="3"/>
  </si>
  <si>
    <t>ＪＸホールディングス（5020）＜連結業績ヒストリカルデータ＞</t>
    <rPh sb="17" eb="19">
      <t>レンケツ</t>
    </rPh>
    <rPh sb="19" eb="21">
      <t>ギョウセキ</t>
    </rPh>
    <phoneticPr fontId="3"/>
  </si>
  <si>
    <t>12月末</t>
    <rPh sb="2" eb="4">
      <t>ガツマツ</t>
    </rPh>
    <phoneticPr fontId="3"/>
  </si>
  <si>
    <t>3月末</t>
    <rPh sb="1" eb="3">
      <t>ガツマツ</t>
    </rPh>
    <phoneticPr fontId="3"/>
  </si>
  <si>
    <t>2010年度　（2010年4月-2011年3月）</t>
  </si>
  <si>
    <t>2011年度　（2011年4月-2012年3月）</t>
    <phoneticPr fontId="3"/>
  </si>
  <si>
    <t>　ブレント原油価格&lt;暦年&gt;　　（ドル/バーレル）</t>
    <rPh sb="5" eb="7">
      <t>ゲンユ</t>
    </rPh>
    <rPh sb="7" eb="9">
      <t>カカク</t>
    </rPh>
    <rPh sb="10" eb="12">
      <t>レキネン</t>
    </rPh>
    <phoneticPr fontId="0"/>
  </si>
  <si>
    <t>　新規連結に伴う現金及び現金同等物の増減額</t>
    <rPh sb="1" eb="3">
      <t>シンキ</t>
    </rPh>
    <rPh sb="3" eb="5">
      <t>レンケツ</t>
    </rPh>
    <rPh sb="6" eb="7">
      <t>トモナ</t>
    </rPh>
    <rPh sb="8" eb="10">
      <t>ゲンキン</t>
    </rPh>
    <rPh sb="10" eb="11">
      <t>オヨ</t>
    </rPh>
    <rPh sb="12" eb="14">
      <t>ゲンキン</t>
    </rPh>
    <rPh sb="14" eb="16">
      <t>ドウトウ</t>
    </rPh>
    <rPh sb="16" eb="17">
      <t>ブツ</t>
    </rPh>
    <rPh sb="18" eb="21">
      <t>ゾウゲンガク</t>
    </rPh>
    <phoneticPr fontId="3"/>
  </si>
  <si>
    <t>-</t>
    <phoneticPr fontId="3"/>
  </si>
  <si>
    <t>　銅価格LME&lt;暦年&gt;（セント/ポンド）</t>
    <rPh sb="2" eb="4">
      <t>カカク</t>
    </rPh>
    <rPh sb="8" eb="10">
      <t>レキネン</t>
    </rPh>
    <phoneticPr fontId="0"/>
  </si>
  <si>
    <t>2012年度　（2012年4月-2013年3月）</t>
    <rPh sb="4" eb="5">
      <t>ネン</t>
    </rPh>
    <phoneticPr fontId="3"/>
  </si>
  <si>
    <t>－</t>
    <phoneticPr fontId="3"/>
  </si>
  <si>
    <t>-</t>
    <phoneticPr fontId="3"/>
  </si>
  <si>
    <t>　その他</t>
    <rPh sb="3" eb="4">
      <t>タ</t>
    </rPh>
    <phoneticPr fontId="3"/>
  </si>
  <si>
    <t>　銅鉱山権益生産量 （千トン/期・年）</t>
    <rPh sb="1" eb="2">
      <t>ドウ</t>
    </rPh>
    <rPh sb="2" eb="4">
      <t>コウザン</t>
    </rPh>
    <rPh sb="4" eb="6">
      <t>ケンエキ</t>
    </rPh>
    <rPh sb="6" eb="8">
      <t>セイサン</t>
    </rPh>
    <rPh sb="8" eb="9">
      <t>リョウ</t>
    </rPh>
    <phoneticPr fontId="0"/>
  </si>
  <si>
    <t>　エネルギー事業</t>
    <rPh sb="6" eb="8">
      <t>ジギョウ</t>
    </rPh>
    <phoneticPr fontId="0"/>
  </si>
  <si>
    <t>　石油・天然ガス開発事業</t>
    <rPh sb="4" eb="6">
      <t>テンネン</t>
    </rPh>
    <phoneticPr fontId="3"/>
  </si>
  <si>
    <r>
      <t>■</t>
    </r>
    <r>
      <rPr>
        <sz val="11"/>
        <rFont val="ＭＳ Ｐゴシック"/>
        <family val="3"/>
        <charset val="128"/>
      </rPr>
      <t>エネルギー事業</t>
    </r>
    <rPh sb="6" eb="8">
      <t>ジギョウ</t>
    </rPh>
    <phoneticPr fontId="0"/>
  </si>
  <si>
    <r>
      <t>■</t>
    </r>
    <r>
      <rPr>
        <sz val="11"/>
        <rFont val="ＭＳ Ｐゴシック"/>
        <family val="3"/>
        <charset val="128"/>
      </rPr>
      <t>石油・天然ガス開発事業</t>
    </r>
    <rPh sb="4" eb="6">
      <t>テンネン</t>
    </rPh>
    <phoneticPr fontId="3"/>
  </si>
  <si>
    <r>
      <t>■</t>
    </r>
    <r>
      <rPr>
        <sz val="11"/>
        <rFont val="ＭＳ Ｐゴシック"/>
        <family val="3"/>
        <charset val="128"/>
      </rPr>
      <t>その他</t>
    </r>
    <rPh sb="3" eb="4">
      <t>ホカ</t>
    </rPh>
    <phoneticPr fontId="0"/>
  </si>
  <si>
    <t>2013年度　（2013年4月-2014年3月）</t>
    <rPh sb="4" eb="5">
      <t>ネン</t>
    </rPh>
    <phoneticPr fontId="3"/>
  </si>
  <si>
    <t>　金属事業</t>
    <phoneticPr fontId="3"/>
  </si>
  <si>
    <t xml:space="preserve">　金属事業 </t>
    <phoneticPr fontId="3"/>
  </si>
  <si>
    <t>　その他</t>
    <rPh sb="3" eb="4">
      <t>タ</t>
    </rPh>
    <phoneticPr fontId="0"/>
  </si>
  <si>
    <t>*1. 2013年度より、チタン事業を「その他」から「金属事業」に移管。</t>
    <rPh sb="8" eb="9">
      <t>ネン</t>
    </rPh>
    <rPh sb="9" eb="10">
      <t>ド</t>
    </rPh>
    <rPh sb="16" eb="18">
      <t>ジギョウ</t>
    </rPh>
    <rPh sb="22" eb="23">
      <t>タ</t>
    </rPh>
    <rPh sb="27" eb="29">
      <t>キンゾク</t>
    </rPh>
    <rPh sb="29" eb="31">
      <t>ジギョウ</t>
    </rPh>
    <rPh sb="33" eb="35">
      <t>イカン</t>
    </rPh>
    <phoneticPr fontId="3"/>
  </si>
  <si>
    <t>*2. 「その他」には「消去又は全社」を含む。</t>
    <phoneticPr fontId="3"/>
  </si>
  <si>
    <t>　　チタン*</t>
    <phoneticPr fontId="3"/>
  </si>
  <si>
    <t>　　その他の包括利益累計額</t>
    <rPh sb="4" eb="5">
      <t>タ</t>
    </rPh>
    <rPh sb="6" eb="8">
      <t>ホウカツ</t>
    </rPh>
    <rPh sb="8" eb="10">
      <t>リエキ</t>
    </rPh>
    <rPh sb="10" eb="12">
      <t>ルイケイ</t>
    </rPh>
    <rPh sb="12" eb="13">
      <t>ガク</t>
    </rPh>
    <phoneticPr fontId="3"/>
  </si>
  <si>
    <t>2014年度　（2014年4月-2015年3月）</t>
    <rPh sb="4" eb="5">
      <t>ネン</t>
    </rPh>
    <phoneticPr fontId="3"/>
  </si>
  <si>
    <t>2015年度　（2015年4月-2016年3月）</t>
    <rPh sb="4" eb="5">
      <t>ネン</t>
    </rPh>
    <phoneticPr fontId="3"/>
  </si>
  <si>
    <t>　　非支配株主持分</t>
    <rPh sb="2" eb="3">
      <t>ヒ</t>
    </rPh>
    <rPh sb="3" eb="5">
      <t>シハイ</t>
    </rPh>
    <rPh sb="5" eb="7">
      <t>カブヌシ</t>
    </rPh>
    <rPh sb="7" eb="9">
      <t>モチブン</t>
    </rPh>
    <phoneticPr fontId="3"/>
  </si>
  <si>
    <t>法人税等</t>
  </si>
  <si>
    <t>非支配株主に帰属する当期純利益</t>
    <rPh sb="0" eb="1">
      <t>ヒ</t>
    </rPh>
    <rPh sb="1" eb="3">
      <t>シハイ</t>
    </rPh>
    <rPh sb="3" eb="5">
      <t>カブヌシ</t>
    </rPh>
    <rPh sb="6" eb="8">
      <t>キゾク</t>
    </rPh>
    <rPh sb="10" eb="12">
      <t>トウキ</t>
    </rPh>
    <rPh sb="12" eb="15">
      <t>ジュンリエキ</t>
    </rPh>
    <phoneticPr fontId="3"/>
  </si>
  <si>
    <t>親会社株主に帰属する当期純利益</t>
    <rPh sb="0" eb="1">
      <t>オヤ</t>
    </rPh>
    <rPh sb="1" eb="3">
      <t>カイシャ</t>
    </rPh>
    <rPh sb="3" eb="5">
      <t>カブヌシ</t>
    </rPh>
    <rPh sb="6" eb="8">
      <t>キゾク</t>
    </rPh>
    <rPh sb="10" eb="12">
      <t>トウキ</t>
    </rPh>
    <rPh sb="12" eb="15">
      <t>ジュンリエキ</t>
    </rPh>
    <phoneticPr fontId="3"/>
  </si>
  <si>
    <t>2016年度　（2016年4月-2017年3月）</t>
    <rPh sb="4" eb="5">
      <t>ネン</t>
    </rPh>
    <phoneticPr fontId="3"/>
  </si>
  <si>
    <t>* 「金属事業」のチタンの経常利益は、2013年度以前は「その他」に含む。</t>
    <rPh sb="3" eb="5">
      <t>キンゾク</t>
    </rPh>
    <rPh sb="5" eb="7">
      <t>ジギョウ</t>
    </rPh>
    <rPh sb="13" eb="15">
      <t>ケイジョウ</t>
    </rPh>
    <rPh sb="15" eb="17">
      <t>リエキ</t>
    </rPh>
    <rPh sb="23" eb="24">
      <t>ネン</t>
    </rPh>
    <rPh sb="24" eb="25">
      <t>ド</t>
    </rPh>
    <rPh sb="25" eb="27">
      <t>イゼン</t>
    </rPh>
    <rPh sb="31" eb="32">
      <t>タ</t>
    </rPh>
    <rPh sb="34" eb="35">
      <t>フク</t>
    </rPh>
    <phoneticPr fontId="3"/>
  </si>
  <si>
    <t>-</t>
    <phoneticPr fontId="3"/>
  </si>
  <si>
    <t>　原油FOB&lt;ドバイスポット&gt; （ドル/バーレル） *1</t>
    <phoneticPr fontId="3"/>
  </si>
  <si>
    <t>　原油相当販売数量 （千バーレル／日） *2</t>
    <rPh sb="5" eb="7">
      <t>ハンバイ</t>
    </rPh>
    <rPh sb="7" eb="9">
      <t>スウリョウ</t>
    </rPh>
    <rPh sb="11" eb="12">
      <t>セン</t>
    </rPh>
    <rPh sb="17" eb="18">
      <t>ニチ</t>
    </rPh>
    <phoneticPr fontId="0"/>
  </si>
  <si>
    <t>*1 到着ベース</t>
    <rPh sb="3" eb="5">
      <t>トウチャク</t>
    </rPh>
    <phoneticPr fontId="3"/>
  </si>
  <si>
    <t>*2 2016年度IFRSベース</t>
    <rPh sb="7" eb="9">
      <t>ネンド</t>
    </rPh>
    <phoneticPr fontId="3"/>
  </si>
  <si>
    <t>ＪＸＴＧホールディングス（5020）＜連結業績ヒストリカルデータ＞</t>
    <rPh sb="19" eb="21">
      <t>レンケツ</t>
    </rPh>
    <rPh sb="21" eb="23">
      <t>ギョウセキ</t>
    </rPh>
    <phoneticPr fontId="3"/>
  </si>
  <si>
    <t>資産</t>
    <rPh sb="0" eb="2">
      <t>シサン</t>
    </rPh>
    <phoneticPr fontId="3"/>
  </si>
  <si>
    <t>　非流動資産</t>
    <rPh sb="1" eb="2">
      <t>ヒ</t>
    </rPh>
    <rPh sb="2" eb="4">
      <t>リュウドウ</t>
    </rPh>
    <rPh sb="4" eb="6">
      <t>シサン</t>
    </rPh>
    <phoneticPr fontId="0"/>
  </si>
  <si>
    <t>　　のれん</t>
    <phoneticPr fontId="3"/>
  </si>
  <si>
    <t>　　無形資産</t>
    <rPh sb="2" eb="4">
      <t>ムケイ</t>
    </rPh>
    <rPh sb="4" eb="6">
      <t>シサン</t>
    </rPh>
    <phoneticPr fontId="3"/>
  </si>
  <si>
    <t>　　その他</t>
    <rPh sb="4" eb="5">
      <t>タ</t>
    </rPh>
    <phoneticPr fontId="3"/>
  </si>
  <si>
    <t>　　有利子負債</t>
    <rPh sb="2" eb="3">
      <t>ユウ</t>
    </rPh>
    <rPh sb="3" eb="5">
      <t>リシ</t>
    </rPh>
    <rPh sb="5" eb="7">
      <t>フサイ</t>
    </rPh>
    <phoneticPr fontId="3"/>
  </si>
  <si>
    <t>　　その他負債</t>
    <rPh sb="4" eb="5">
      <t>タ</t>
    </rPh>
    <rPh sb="5" eb="7">
      <t>フサイ</t>
    </rPh>
    <phoneticPr fontId="3"/>
  </si>
  <si>
    <t>資本</t>
    <rPh sb="0" eb="2">
      <t>シホン</t>
    </rPh>
    <phoneticPr fontId="3"/>
  </si>
  <si>
    <t>　　親会社の所有者に帰属する持分合計</t>
    <rPh sb="2" eb="5">
      <t>オヤガイシャ</t>
    </rPh>
    <rPh sb="6" eb="9">
      <t>ショユウシャ</t>
    </rPh>
    <rPh sb="10" eb="12">
      <t>キゾク</t>
    </rPh>
    <rPh sb="14" eb="16">
      <t>モチブン</t>
    </rPh>
    <rPh sb="16" eb="18">
      <t>ゴウケイ</t>
    </rPh>
    <phoneticPr fontId="3"/>
  </si>
  <si>
    <t>　　非支配持分</t>
    <rPh sb="2" eb="3">
      <t>ヒ</t>
    </rPh>
    <rPh sb="3" eb="5">
      <t>シハイ</t>
    </rPh>
    <rPh sb="5" eb="7">
      <t>モチブン</t>
    </rPh>
    <phoneticPr fontId="3"/>
  </si>
  <si>
    <t>2017年度　（2017年4月-2018年3月）</t>
    <rPh sb="4" eb="5">
      <t>ネン</t>
    </rPh>
    <phoneticPr fontId="3"/>
  </si>
  <si>
    <t>親会社の所有者に帰属する持分（億円）</t>
    <rPh sb="0" eb="1">
      <t>オヤ</t>
    </rPh>
    <rPh sb="1" eb="3">
      <t>カイシャ</t>
    </rPh>
    <rPh sb="4" eb="7">
      <t>ショユウシャ</t>
    </rPh>
    <rPh sb="8" eb="10">
      <t>キゾク</t>
    </rPh>
    <rPh sb="12" eb="14">
      <t>モチブン</t>
    </rPh>
    <rPh sb="15" eb="17">
      <t>オクエン</t>
    </rPh>
    <phoneticPr fontId="3"/>
  </si>
  <si>
    <t>　親会社所有者帰属持分比率(％）</t>
    <rPh sb="1" eb="2">
      <t>オヤ</t>
    </rPh>
    <rPh sb="2" eb="4">
      <t>カイシャ</t>
    </rPh>
    <rPh sb="4" eb="7">
      <t>ショユウシャ</t>
    </rPh>
    <rPh sb="7" eb="9">
      <t>キゾク</t>
    </rPh>
    <rPh sb="9" eb="11">
      <t>モチブン</t>
    </rPh>
    <rPh sb="11" eb="13">
      <t>ヒリツ</t>
    </rPh>
    <phoneticPr fontId="3"/>
  </si>
  <si>
    <t>純有利子負債（億円）</t>
    <rPh sb="0" eb="1">
      <t>ジュン</t>
    </rPh>
    <rPh sb="1" eb="2">
      <t>ユウ</t>
    </rPh>
    <rPh sb="2" eb="4">
      <t>リシ</t>
    </rPh>
    <rPh sb="4" eb="6">
      <t>フサイ</t>
    </rPh>
    <rPh sb="7" eb="9">
      <t>オクエン</t>
    </rPh>
    <phoneticPr fontId="3"/>
  </si>
  <si>
    <t>　ネットＤ／Ｅレシオ（倍）</t>
    <rPh sb="11" eb="12">
      <t>バイ</t>
    </rPh>
    <phoneticPr fontId="3"/>
  </si>
  <si>
    <t>金融利益</t>
    <rPh sb="0" eb="2">
      <t>キンユウ</t>
    </rPh>
    <rPh sb="2" eb="4">
      <t>リエキ</t>
    </rPh>
    <rPh sb="3" eb="4">
      <t>エイリ</t>
    </rPh>
    <phoneticPr fontId="0"/>
  </si>
  <si>
    <t>営業利益（億円）</t>
    <rPh sb="0" eb="2">
      <t>エイギョウ</t>
    </rPh>
    <rPh sb="5" eb="7">
      <t>オクエン</t>
    </rPh>
    <phoneticPr fontId="3"/>
  </si>
  <si>
    <t>　（在庫評価影響を除く実質営業利益）</t>
    <rPh sb="2" eb="4">
      <t>ザイコ</t>
    </rPh>
    <rPh sb="4" eb="6">
      <t>ヒョウカ</t>
    </rPh>
    <rPh sb="6" eb="8">
      <t>エイキョウ</t>
    </rPh>
    <rPh sb="9" eb="10">
      <t>ノゾ</t>
    </rPh>
    <rPh sb="11" eb="13">
      <t>ジッシツ</t>
    </rPh>
    <rPh sb="13" eb="15">
      <t>エイギョウ</t>
    </rPh>
    <rPh sb="15" eb="17">
      <t>リエキ</t>
    </rPh>
    <phoneticPr fontId="3"/>
  </si>
  <si>
    <t>【営業利益詳細ブレイクダウン】</t>
    <rPh sb="1" eb="3">
      <t>エイギョウ</t>
    </rPh>
    <rPh sb="3" eb="5">
      <t>リエキ</t>
    </rPh>
    <rPh sb="5" eb="7">
      <t>ショウサイ</t>
    </rPh>
    <phoneticPr fontId="3"/>
  </si>
  <si>
    <t>　持分法による投資利益</t>
    <rPh sb="1" eb="4">
      <t>モチブンポウ</t>
    </rPh>
    <rPh sb="7" eb="9">
      <t>トウシ</t>
    </rPh>
    <rPh sb="9" eb="11">
      <t>リエキ</t>
    </rPh>
    <phoneticPr fontId="0"/>
  </si>
  <si>
    <t>　金融収益</t>
    <rPh sb="1" eb="3">
      <t>キンユウ</t>
    </rPh>
    <rPh sb="3" eb="5">
      <t>シュウエキ</t>
    </rPh>
    <phoneticPr fontId="3"/>
  </si>
  <si>
    <t>　金融費用</t>
    <rPh sb="1" eb="3">
      <t>キンユウ</t>
    </rPh>
    <rPh sb="3" eb="5">
      <t>ヒヨウ</t>
    </rPh>
    <phoneticPr fontId="3"/>
  </si>
  <si>
    <t>税引前利益</t>
    <rPh sb="0" eb="2">
      <t>ゼイビキ</t>
    </rPh>
    <rPh sb="2" eb="3">
      <t>マエ</t>
    </rPh>
    <rPh sb="3" eb="5">
      <t>リエキ</t>
    </rPh>
    <phoneticPr fontId="3"/>
  </si>
  <si>
    <t>法人所得税費用</t>
    <rPh sb="2" eb="4">
      <t>ショトク</t>
    </rPh>
    <rPh sb="5" eb="7">
      <t>ヒヨウ</t>
    </rPh>
    <phoneticPr fontId="3"/>
  </si>
  <si>
    <t>親会社の所有者に帰属する当期利益</t>
    <rPh sb="0" eb="3">
      <t>オヤガイシャ</t>
    </rPh>
    <rPh sb="4" eb="7">
      <t>ショユウシャ</t>
    </rPh>
    <rPh sb="8" eb="10">
      <t>キゾク</t>
    </rPh>
    <rPh sb="12" eb="14">
      <t>トウキ</t>
    </rPh>
    <rPh sb="14" eb="16">
      <t>リエキ</t>
    </rPh>
    <phoneticPr fontId="3"/>
  </si>
  <si>
    <t>非支配持分</t>
    <rPh sb="0" eb="1">
      <t>ヒ</t>
    </rPh>
    <rPh sb="1" eb="3">
      <t>シハイ</t>
    </rPh>
    <rPh sb="3" eb="5">
      <t>モチブン</t>
    </rPh>
    <phoneticPr fontId="3"/>
  </si>
  <si>
    <t>　ブレント原油価格&lt;年度&gt;　　（ドル/バーレル）</t>
    <rPh sb="5" eb="7">
      <t>ゲンユ</t>
    </rPh>
    <rPh sb="7" eb="9">
      <t>カカク</t>
    </rPh>
    <rPh sb="10" eb="12">
      <t>ネンド</t>
    </rPh>
    <phoneticPr fontId="0"/>
  </si>
  <si>
    <t>　銅価格LME&lt;年度&gt;（セント/ポンド）</t>
    <rPh sb="2" eb="4">
      <t>カカク</t>
    </rPh>
    <rPh sb="8" eb="10">
      <t>ネンド</t>
    </rPh>
    <phoneticPr fontId="0"/>
  </si>
  <si>
    <t>親会社の所有者に帰属する当期利益</t>
    <rPh sb="0" eb="1">
      <t>オヤ</t>
    </rPh>
    <rPh sb="1" eb="3">
      <t>カイシャ</t>
    </rPh>
    <rPh sb="4" eb="7">
      <t>ショユウシャ</t>
    </rPh>
    <rPh sb="8" eb="10">
      <t>キゾク</t>
    </rPh>
    <rPh sb="12" eb="14">
      <t>トウキ</t>
    </rPh>
    <rPh sb="14" eb="16">
      <t>リエキ</t>
    </rPh>
    <phoneticPr fontId="3"/>
  </si>
  <si>
    <t>現金及び現金同等物に係る為替変動による影響</t>
    <rPh sb="0" eb="2">
      <t>ゲンキン</t>
    </rPh>
    <rPh sb="2" eb="3">
      <t>オヨ</t>
    </rPh>
    <rPh sb="4" eb="6">
      <t>ゲンキン</t>
    </rPh>
    <rPh sb="6" eb="8">
      <t>ドウトウ</t>
    </rPh>
    <rPh sb="8" eb="9">
      <t>ブツ</t>
    </rPh>
    <rPh sb="10" eb="11">
      <t>カカ</t>
    </rPh>
    <rPh sb="12" eb="14">
      <t>カワセ</t>
    </rPh>
    <rPh sb="14" eb="16">
      <t>ヘンドウ</t>
    </rPh>
    <rPh sb="19" eb="21">
      <t>エイキョウ</t>
    </rPh>
    <phoneticPr fontId="0"/>
  </si>
  <si>
    <t>一株当たり親会社の所有者帰属持分（円）＜各期末＞</t>
    <rPh sb="0" eb="2">
      <t>ヒトカブ</t>
    </rPh>
    <rPh sb="2" eb="3">
      <t>ア</t>
    </rPh>
    <rPh sb="5" eb="8">
      <t>オヤガイシャ</t>
    </rPh>
    <rPh sb="9" eb="12">
      <t>ショユウシャ</t>
    </rPh>
    <rPh sb="12" eb="14">
      <t>キゾク</t>
    </rPh>
    <rPh sb="14" eb="16">
      <t>モチブン</t>
    </rPh>
    <rPh sb="17" eb="18">
      <t>エン</t>
    </rPh>
    <rPh sb="20" eb="21">
      <t>カク</t>
    </rPh>
    <rPh sb="21" eb="23">
      <t>キマツ</t>
    </rPh>
    <phoneticPr fontId="3"/>
  </si>
  <si>
    <t>　その他の収益</t>
    <rPh sb="3" eb="4">
      <t>タ</t>
    </rPh>
    <rPh sb="5" eb="7">
      <t>シュウエキ</t>
    </rPh>
    <phoneticPr fontId="0"/>
  </si>
  <si>
    <t>　その他の費用</t>
    <rPh sb="3" eb="4">
      <t>タ</t>
    </rPh>
    <rPh sb="5" eb="7">
      <t>ヒヨウ</t>
    </rPh>
    <phoneticPr fontId="0"/>
  </si>
  <si>
    <t>第3四半期累計</t>
    <rPh sb="0" eb="1">
      <t>ダイ</t>
    </rPh>
    <rPh sb="2" eb="3">
      <t>シ</t>
    </rPh>
    <rPh sb="3" eb="5">
      <t>ハンキ</t>
    </rPh>
    <rPh sb="5" eb="7">
      <t>ルイケイ</t>
    </rPh>
    <phoneticPr fontId="0"/>
  </si>
  <si>
    <t>売却目的保有資産に含まれる現金及び現金同等物</t>
    <rPh sb="0" eb="2">
      <t>バイキャク</t>
    </rPh>
    <rPh sb="2" eb="4">
      <t>モクテキ</t>
    </rPh>
    <rPh sb="4" eb="6">
      <t>ホユウ</t>
    </rPh>
    <rPh sb="6" eb="8">
      <t>シサン</t>
    </rPh>
    <rPh sb="9" eb="10">
      <t>フク</t>
    </rPh>
    <rPh sb="13" eb="15">
      <t>ゲンキン</t>
    </rPh>
    <rPh sb="15" eb="16">
      <t>オヨ</t>
    </rPh>
    <rPh sb="17" eb="19">
      <t>ゲンキン</t>
    </rPh>
    <rPh sb="19" eb="21">
      <t>ドウトウ</t>
    </rPh>
    <rPh sb="21" eb="22">
      <t>ブツ</t>
    </rPh>
    <phoneticPr fontId="3"/>
  </si>
  <si>
    <t>2018年度　（2018年4月-2019年3月）</t>
    <rPh sb="4" eb="5">
      <t>ネン</t>
    </rPh>
    <phoneticPr fontId="3"/>
  </si>
  <si>
    <t>2019年度　（2019年4月-2020年3月）</t>
    <rPh sb="4" eb="5">
      <t>ネン</t>
    </rPh>
    <phoneticPr fontId="3"/>
  </si>
  <si>
    <t xml:space="preserve">　ドバイ原油価格&lt;年度&gt;（ドル/バーレル） </t>
    <rPh sb="4" eb="6">
      <t>ゲンユ</t>
    </rPh>
    <rPh sb="6" eb="8">
      <t>カカク</t>
    </rPh>
    <phoneticPr fontId="3"/>
  </si>
  <si>
    <t>　原油相当販売数量 （千バーレル／日） *1</t>
    <rPh sb="5" eb="7">
      <t>ハンバイ</t>
    </rPh>
    <rPh sb="7" eb="9">
      <t>スウリョウ</t>
    </rPh>
    <rPh sb="11" eb="12">
      <t>セン</t>
    </rPh>
    <rPh sb="17" eb="18">
      <t>ニチ</t>
    </rPh>
    <phoneticPr fontId="0"/>
  </si>
  <si>
    <t>*1 IFRSベース</t>
    <phoneticPr fontId="3"/>
  </si>
  <si>
    <t>2020年度　（2020年4月-2021年3月）</t>
    <rPh sb="4" eb="5">
      <t>ネン</t>
    </rPh>
    <phoneticPr fontId="3"/>
  </si>
  <si>
    <t>ＥＮＥＯＳホールディングス（5020）＜連結業績ヒストリカルデータ＞</t>
    <rPh sb="20" eb="22">
      <t>レンケツ</t>
    </rPh>
    <rPh sb="22" eb="24">
      <t>ギョウセキ</t>
    </rPh>
    <phoneticPr fontId="3"/>
  </si>
  <si>
    <t>　　機能材・薄膜他</t>
    <rPh sb="2" eb="4">
      <t>キノウ</t>
    </rPh>
    <rPh sb="4" eb="5">
      <t>ザイ</t>
    </rPh>
    <rPh sb="6" eb="8">
      <t>ハクマク</t>
    </rPh>
    <rPh sb="8" eb="9">
      <t>ホカ</t>
    </rPh>
    <phoneticPr fontId="0"/>
  </si>
  <si>
    <t>　　資源</t>
    <rPh sb="2" eb="4">
      <t>シゲン</t>
    </rPh>
    <phoneticPr fontId="3"/>
  </si>
  <si>
    <t>　　製錬・リサイクル</t>
    <rPh sb="2" eb="4">
      <t>セイレン</t>
    </rPh>
    <phoneticPr fontId="0"/>
  </si>
  <si>
    <t>　　事業共通費等</t>
    <rPh sb="2" eb="4">
      <t>ジギョウ</t>
    </rPh>
    <rPh sb="4" eb="6">
      <t>キョウツウ</t>
    </rPh>
    <rPh sb="6" eb="7">
      <t>ヒ</t>
    </rPh>
    <rPh sb="7" eb="8">
      <t>トウ</t>
    </rPh>
    <phoneticPr fontId="0"/>
  </si>
  <si>
    <t>　　石油製品他</t>
    <rPh sb="4" eb="6">
      <t>セイヒン</t>
    </rPh>
    <rPh sb="6" eb="7">
      <t>ホカ</t>
    </rPh>
    <phoneticPr fontId="3"/>
  </si>
  <si>
    <t>　　石油化学製品</t>
    <rPh sb="2" eb="4">
      <t>セキユ</t>
    </rPh>
    <rPh sb="4" eb="6">
      <t>カガク</t>
    </rPh>
    <rPh sb="6" eb="8">
      <t>セイヒン</t>
    </rPh>
    <phoneticPr fontId="0"/>
  </si>
  <si>
    <t>　　電力</t>
    <rPh sb="2" eb="4">
      <t>デンリョク</t>
    </rPh>
    <phoneticPr fontId="0"/>
  </si>
  <si>
    <t>　　素材</t>
    <rPh sb="2" eb="4">
      <t>ソザイ</t>
    </rPh>
    <phoneticPr fontId="0"/>
  </si>
  <si>
    <t>2021年度　（2021年4月-2022年3月）</t>
    <rPh sb="4" eb="5">
      <t>ネン</t>
    </rPh>
    <phoneticPr fontId="3"/>
  </si>
  <si>
    <t>2022年度　（2022年4月-2023年3月）</t>
    <rPh sb="4" eb="5">
      <t>ネン</t>
    </rPh>
    <phoneticPr fontId="3"/>
  </si>
  <si>
    <t>　ネットＤ／Ｅレシオ (ハイブリッド債 資本性調整前)（倍）</t>
    <rPh sb="18" eb="19">
      <t>サイ</t>
    </rPh>
    <rPh sb="20" eb="26">
      <t>シホンセイチョウセイマエ</t>
    </rPh>
    <rPh sb="28" eb="29">
      <t>バイ</t>
    </rPh>
    <phoneticPr fontId="3"/>
  </si>
  <si>
    <t>　ネットＤ／Ｅレシオ (ハイブリッド債 資本性調整後)（倍）※2021年6月～</t>
    <rPh sb="18" eb="19">
      <t>サイ</t>
    </rPh>
    <rPh sb="20" eb="22">
      <t>シホン</t>
    </rPh>
    <rPh sb="22" eb="23">
      <t>セイ</t>
    </rPh>
    <rPh sb="23" eb="26">
      <t>チョウセイゴ</t>
    </rPh>
    <rPh sb="28" eb="29">
      <t>バイ</t>
    </rPh>
    <rPh sb="35" eb="36">
      <t>ネン</t>
    </rPh>
    <rPh sb="37" eb="38">
      <t>ガツ</t>
    </rPh>
    <phoneticPr fontId="3"/>
  </si>
  <si>
    <t>在庫影響除き親会社の所有者に帰属する当期利益</t>
    <rPh sb="0" eb="2">
      <t>ザイコ</t>
    </rPh>
    <rPh sb="2" eb="4">
      <t>エイキョウ</t>
    </rPh>
    <rPh sb="4" eb="5">
      <t>ノゾ</t>
    </rPh>
    <rPh sb="6" eb="9">
      <t>オヤガイシャ</t>
    </rPh>
    <rPh sb="10" eb="13">
      <t>ショユウシャ</t>
    </rPh>
    <rPh sb="14" eb="16">
      <t>キゾク</t>
    </rPh>
    <rPh sb="18" eb="22">
      <t>トウキリエキ</t>
    </rPh>
    <phoneticPr fontId="3"/>
  </si>
  <si>
    <t>　　情報通信材料</t>
    <rPh sb="2" eb="8">
      <t>ジョウホウツウシンザイリョウ</t>
    </rPh>
    <phoneticPr fontId="3"/>
  </si>
  <si>
    <t>　　半導体材料</t>
    <rPh sb="2" eb="5">
      <t>ハンドウタイ</t>
    </rPh>
    <rPh sb="5" eb="7">
      <t>ザイリョウ</t>
    </rPh>
    <phoneticPr fontId="3"/>
  </si>
  <si>
    <t>　　基礎材料</t>
    <rPh sb="2" eb="6">
      <t>キソザイリョウ</t>
    </rPh>
    <phoneticPr fontId="0"/>
  </si>
  <si>
    <t xml:space="preserve">- </t>
    <phoneticPr fontId="3"/>
  </si>
  <si>
    <t>　石油製品ほか</t>
    <rPh sb="1" eb="5">
      <t>セキユセイヒン</t>
    </rPh>
    <phoneticPr fontId="26"/>
  </si>
  <si>
    <t>　機能材</t>
    <rPh sb="1" eb="4">
      <t>キノウザイ</t>
    </rPh>
    <phoneticPr fontId="26"/>
  </si>
  <si>
    <t>　電気</t>
  </si>
  <si>
    <t>　電気</t>
    <phoneticPr fontId="26"/>
  </si>
  <si>
    <t>　再生可能エネルギー</t>
    <rPh sb="1" eb="5">
      <t>サイセイカノウ</t>
    </rPh>
    <phoneticPr fontId="26"/>
  </si>
  <si>
    <t>　石油・天然ガス開発</t>
    <rPh sb="4" eb="6">
      <t>テンネン</t>
    </rPh>
    <phoneticPr fontId="3"/>
  </si>
  <si>
    <t>　金属</t>
  </si>
  <si>
    <t>　　在庫影響</t>
    <rPh sb="2" eb="6">
      <t>ザイコエイキョウ</t>
    </rPh>
    <phoneticPr fontId="3"/>
  </si>
  <si>
    <t>　　在庫影響を除く実質営業利益</t>
    <phoneticPr fontId="3"/>
  </si>
  <si>
    <r>
      <rPr>
        <sz val="11"/>
        <color theme="0" tint="-0.14999847407452621"/>
        <rFont val="ＭＳ Ｐゴシック"/>
        <family val="3"/>
        <charset val="128"/>
      </rPr>
      <t>■</t>
    </r>
    <r>
      <rPr>
        <sz val="11"/>
        <rFont val="ＭＳ Ｐゴシック"/>
        <family val="3"/>
        <charset val="128"/>
      </rPr>
      <t>その他</t>
    </r>
    <rPh sb="3" eb="4">
      <t>ホカ</t>
    </rPh>
    <phoneticPr fontId="0"/>
  </si>
  <si>
    <r>
      <t>■</t>
    </r>
    <r>
      <rPr>
        <sz val="11"/>
        <rFont val="ＭＳ Ｐゴシック"/>
        <family val="3"/>
        <charset val="128"/>
      </rPr>
      <t>石油製品ほか</t>
    </r>
    <rPh sb="1" eb="3">
      <t>セキユ</t>
    </rPh>
    <rPh sb="3" eb="5">
      <t>セイヒン</t>
    </rPh>
    <phoneticPr fontId="0"/>
  </si>
  <si>
    <r>
      <rPr>
        <sz val="11"/>
        <color theme="8" tint="0.59999389629810485"/>
        <rFont val="ＭＳ Ｐゴシック"/>
        <family val="3"/>
        <charset val="128"/>
      </rPr>
      <t>■</t>
    </r>
    <r>
      <rPr>
        <sz val="11"/>
        <rFont val="ＭＳ Ｐゴシック"/>
        <family val="3"/>
        <charset val="128"/>
      </rPr>
      <t>機能材</t>
    </r>
    <phoneticPr fontId="3"/>
  </si>
  <si>
    <r>
      <rPr>
        <sz val="11"/>
        <color rgb="FFFFFF00"/>
        <rFont val="ＭＳ Ｐゴシック"/>
        <family val="3"/>
        <charset val="128"/>
      </rPr>
      <t>■</t>
    </r>
    <r>
      <rPr>
        <sz val="11"/>
        <rFont val="ＭＳ Ｐゴシック"/>
        <family val="3"/>
        <charset val="128"/>
      </rPr>
      <t>電気</t>
    </r>
    <phoneticPr fontId="3"/>
  </si>
  <si>
    <r>
      <rPr>
        <sz val="11"/>
        <color rgb="FF99FF33"/>
        <rFont val="ＭＳ Ｐゴシック"/>
        <family val="3"/>
        <charset val="128"/>
      </rPr>
      <t>■</t>
    </r>
    <r>
      <rPr>
        <sz val="11"/>
        <rFont val="ＭＳ Ｐゴシック"/>
        <family val="3"/>
        <charset val="128"/>
      </rPr>
      <t>再生可能エネルギー</t>
    </r>
    <phoneticPr fontId="3"/>
  </si>
  <si>
    <r>
      <rPr>
        <sz val="11"/>
        <color theme="7" tint="0.59999389629810485"/>
        <rFont val="ＭＳ Ｐゴシック"/>
        <family val="3"/>
        <charset val="128"/>
      </rPr>
      <t>■</t>
    </r>
    <r>
      <rPr>
        <sz val="11"/>
        <rFont val="ＭＳ Ｐゴシック"/>
        <family val="3"/>
        <charset val="128"/>
      </rPr>
      <t>石油・天然ガス開発</t>
    </r>
    <rPh sb="4" eb="6">
      <t>テンネン</t>
    </rPh>
    <phoneticPr fontId="3"/>
  </si>
  <si>
    <r>
      <t>■</t>
    </r>
    <r>
      <rPr>
        <sz val="11"/>
        <rFont val="ＭＳ Ｐゴシック"/>
        <family val="3"/>
        <charset val="128"/>
      </rPr>
      <t>金属</t>
    </r>
    <phoneticPr fontId="3"/>
  </si>
  <si>
    <t>　白油販売数量（万キロリットル）</t>
    <rPh sb="1" eb="7">
      <t>ハクユハンバイスウリョウ</t>
    </rPh>
    <rPh sb="8" eb="9">
      <t>マン</t>
    </rPh>
    <phoneticPr fontId="3"/>
  </si>
  <si>
    <t xml:space="preserve">　原油相当販売数量 （千バーレル／日） </t>
    <rPh sb="5" eb="7">
      <t>ハンバイ</t>
    </rPh>
    <rPh sb="7" eb="9">
      <t>スウリョウ</t>
    </rPh>
    <rPh sb="11" eb="12">
      <t>セン</t>
    </rPh>
    <rPh sb="17" eb="18">
      <t>ニチ</t>
    </rPh>
    <phoneticPr fontId="0"/>
  </si>
  <si>
    <t xml:space="preserve">　ドバイ原油価格（ドル/バーレル） </t>
    <rPh sb="4" eb="6">
      <t>ゲンユ</t>
    </rPh>
    <rPh sb="6" eb="8">
      <t>カカク</t>
    </rPh>
    <phoneticPr fontId="3"/>
  </si>
  <si>
    <t>　銅価格LME（セント/ポンド）</t>
    <rPh sb="2" eb="4">
      <t>カカク</t>
    </rPh>
    <phoneticPr fontId="0"/>
  </si>
  <si>
    <t>　ブレント原油価格　（ドル/バーレル）</t>
    <rPh sb="5" eb="7">
      <t>ゲンユ</t>
    </rPh>
    <rPh sb="7" eb="9">
      <t>カカク</t>
    </rPh>
    <phoneticPr fontId="0"/>
  </si>
  <si>
    <t>　エラストマー販売指数*1　（%）</t>
    <rPh sb="7" eb="11">
      <t>ハンバイシスウ</t>
    </rPh>
    <phoneticPr fontId="3"/>
  </si>
  <si>
    <t>2024年度　（2024年4月-2025年3月）</t>
    <rPh sb="4" eb="5">
      <t>ネン</t>
    </rPh>
    <phoneticPr fontId="3"/>
  </si>
  <si>
    <t>※2023年度よりエネルギー事業および金属事業のサブセグメント変更に伴い、新シートにて更新</t>
    <rPh sb="5" eb="7">
      <t>ネンド</t>
    </rPh>
    <rPh sb="14" eb="16">
      <t>ジギョウ</t>
    </rPh>
    <rPh sb="19" eb="21">
      <t>キンゾク</t>
    </rPh>
    <rPh sb="21" eb="23">
      <t>ジギョウ</t>
    </rPh>
    <rPh sb="31" eb="33">
      <t>ヘンコウ</t>
    </rPh>
    <rPh sb="34" eb="35">
      <t>トモナ</t>
    </rPh>
    <rPh sb="37" eb="38">
      <t>シン</t>
    </rPh>
    <rPh sb="43" eb="45">
      <t>コウシン</t>
    </rPh>
    <phoneticPr fontId="3"/>
  </si>
  <si>
    <t>2023年度　（2023年4月-2024年3月）</t>
    <rPh sb="4" eb="5">
      <t>ネン</t>
    </rPh>
    <phoneticPr fontId="3"/>
  </si>
  <si>
    <t>　　機能材</t>
    <rPh sb="2" eb="5">
      <t>キノウザイ</t>
    </rPh>
    <phoneticPr fontId="0"/>
  </si>
  <si>
    <t>　　電気</t>
    <rPh sb="2" eb="4">
      <t>デンキ</t>
    </rPh>
    <phoneticPr fontId="0"/>
  </si>
  <si>
    <t>　　再エネ</t>
    <rPh sb="2" eb="3">
      <t>サイ</t>
    </rPh>
    <phoneticPr fontId="0"/>
  </si>
  <si>
    <t>*1) 2022年度の販売数量を基準（100%）として、相対的に算定した指数</t>
    <phoneticPr fontId="3"/>
  </si>
  <si>
    <t>-</t>
    <phoneticPr fontId="3"/>
  </si>
  <si>
    <r>
      <rPr>
        <sz val="11"/>
        <color rgb="FFFFFFFF"/>
        <rFont val="ＭＳ Ｐゴシック"/>
        <family val="3"/>
        <charset val="128"/>
      </rPr>
      <t>通期</t>
    </r>
    <r>
      <rPr>
        <sz val="10"/>
        <color rgb="FFFFFFFF"/>
        <rFont val="ＭＳ Ｐゴシック"/>
        <family val="3"/>
        <charset val="128"/>
      </rPr>
      <t xml:space="preserve">
</t>
    </r>
    <r>
      <rPr>
        <sz val="9"/>
        <color rgb="FFFFFFFF"/>
        <rFont val="ＭＳ Ｐゴシック"/>
        <family val="3"/>
        <charset val="128"/>
      </rPr>
      <t>（非継続事業を含む）</t>
    </r>
    <rPh sb="0" eb="2">
      <t>ツウキ</t>
    </rPh>
    <rPh sb="4" eb="5">
      <t>ヒ</t>
    </rPh>
    <rPh sb="5" eb="7">
      <t>ケイゾク</t>
    </rPh>
    <rPh sb="7" eb="9">
      <t>ジギョウ</t>
    </rPh>
    <rPh sb="10" eb="11">
      <t>フク</t>
    </rPh>
    <phoneticPr fontId="0"/>
  </si>
  <si>
    <r>
      <t xml:space="preserve">通期
</t>
    </r>
    <r>
      <rPr>
        <sz val="9"/>
        <color rgb="FFFFFFFF"/>
        <rFont val="ＭＳ Ｐゴシック"/>
        <family val="3"/>
        <charset val="128"/>
      </rPr>
      <t>（非継続事業を含む）</t>
    </r>
    <rPh sb="0" eb="2">
      <t>ツウキ</t>
    </rPh>
    <phoneticPr fontId="0"/>
  </si>
  <si>
    <t xml:space="preserve">通期
</t>
    <rPh sb="0" eb="2">
      <t>ツウキ</t>
    </rPh>
    <phoneticPr fontId="0"/>
  </si>
  <si>
    <t>※ JX金属株式の売却に伴い、JX金属株式会社及び同社子会社の事業を非継続事業に分類しています。これに伴い、売上高、営業利益、金融損益、税引前利益については
　  非継続事業を除いた継続事業の金額を表示しています。</t>
    <phoneticPr fontId="3"/>
  </si>
  <si>
    <t>※24年4月の分社化に伴うセグメント変更に伴い、新シートにて更新。</t>
    <rPh sb="21" eb="22">
      <t>トモナ</t>
    </rPh>
    <rPh sb="24" eb="25">
      <t>シン</t>
    </rPh>
    <rPh sb="30" eb="32">
      <t>コウシン</t>
    </rPh>
    <phoneticPr fontId="3"/>
  </si>
  <si>
    <t>2025年度　（2025年4月-2026年3月）</t>
    <rPh sb="4" eb="5">
      <t>ネン</t>
    </rPh>
    <phoneticPr fontId="3"/>
  </si>
  <si>
    <t>※ JX金属株式の売却に伴い、金属事業は「その他」に区分</t>
    <rPh sb="15" eb="17">
      <t>キンゾク</t>
    </rPh>
    <rPh sb="17" eb="19">
      <t>ジギョウ</t>
    </rPh>
    <rPh sb="23" eb="24">
      <t>タ</t>
    </rPh>
    <rPh sb="26" eb="28">
      <t>クブン</t>
    </rPh>
    <phoneticPr fontId="3"/>
  </si>
  <si>
    <t>*2) 東京エリアおよび関西エリアの平均</t>
    <rPh sb="4" eb="6">
      <t>トウキョウ</t>
    </rPh>
    <rPh sb="12" eb="14">
      <t>カンサイ</t>
    </rPh>
    <rPh sb="18" eb="20">
      <t>ヘイキン</t>
    </rPh>
    <phoneticPr fontId="3"/>
  </si>
  <si>
    <t>　卸電力市場価格（JEPX）*2 （円 / kWh）</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</si>
</sst>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8">
    <numFmt numFmtId="6" formatCode="&quot;¥&quot;#,##0;[Red]&quot;¥&quot;\-#,##0"/>
    <numFmt numFmtId="8" formatCode="&quot;¥&quot;#,##0.00;[Red]&quot;¥&quot;\-#,##0.00"/>
    <numFmt numFmtId="43" formatCode="_ * #,##0.00_ ;_ * \-#,##0.00_ ;_ * &quot;-&quot;??_ ;_ @_ "/>
    <numFmt numFmtId="176" formatCode="0.0%"/>
    <numFmt numFmtId="177" formatCode="#,##0_);[Red]\(#,##0\)"/>
    <numFmt numFmtId="178" formatCode="#,##0.0;&quot;▲ &quot;#,##0.0"/>
    <numFmt numFmtId="179" formatCode="#,##0;&quot;▲ &quot;#,##0"/>
    <numFmt numFmtId="180" formatCode="#,##0.00;&quot;▲ &quot;#,##0.00"/>
    <numFmt numFmtId="181" formatCode="0.00;&quot;▲ &quot;0.00"/>
    <numFmt numFmtId="182" formatCode="0.00_);[Red]\(0.00\)"/>
    <numFmt numFmtId="183" formatCode="#,##0.000;[Red]\-#,##0.000"/>
    <numFmt numFmtId="184" formatCode="0.0"/>
    <numFmt numFmtId="185" formatCode="0.0_);[Red]\(0.0\)"/>
    <numFmt numFmtId="186" formatCode="#,##0.0_);\(#,##0.0\)"/>
    <numFmt numFmtId="187" formatCode="#,##0.0_);[Red]\(#,##0.0\)"/>
    <numFmt numFmtId="188" formatCode="0_);[Red]\(0\)"/>
    <numFmt numFmtId="189" formatCode="0_);\(0\)"/>
    <numFmt numFmtId="190" formatCode="#,##0.0;[Red]\-#,##0.0"/>
    <numFmt numFmtId="191" formatCode="\(0%\)"/>
    <numFmt numFmtId="192" formatCode="_(* #,##0_);_(* \(#,##0\);_(* &quot;-&quot;_);_(@_)"/>
    <numFmt numFmtId="193" formatCode="_(* #,##0.00_);_(* \(#,##0.00\);_(* &quot;-&quot;??_);_(@_)"/>
    <numFmt numFmtId="194" formatCode="_(* #,##0.00_);_(* \(#,##0.00\);_(* &quot;0.00&quot;_);_(@_)"/>
    <numFmt numFmtId="195" formatCode="dd\ mmm\ yy"/>
    <numFmt numFmtId="196" formatCode="_(* #,##0.0_);_(* \(#,##0.0\);_(* &quot;0.0&quot;_);_(@_)"/>
    <numFmt numFmtId="197" formatCode="_(* #,##0.0_);_(* \(#,##0.0\);_(* &quot;&quot;??_);_(@_)"/>
    <numFmt numFmtId="198" formatCode="_(* #,##0.00000_);_(* \(#,##0.00000\);_(* &quot;-&quot;??_);_(@_)"/>
    <numFmt numFmtId="199" formatCode="#,###,###,##0_);\(#,###,###,##0\)_)"/>
    <numFmt numFmtId="200" formatCode="&quot;$&quot;\ #,###,##0.00_);\(&quot;$&quot;\ #,###,##0.00\)_);&quot;&quot;_)"/>
    <numFmt numFmtId="201" formatCode="_(* #,##0.00_);_(* \(#,##0.00\);_(* &quot;&quot;_);_(@_)"/>
    <numFmt numFmtId="202" formatCode="_(* #,##0_);_(* \(#,##0\);_(* &quot;&quot;_);_(@_)"/>
    <numFmt numFmtId="203" formatCode="_(* #,##0.0_);_(* \(#,##0.0\);_(* &quot;&quot;_);_(@_)"/>
    <numFmt numFmtId="204" formatCode="&quot;$&quot;\ #,###,###,##0_);\(&quot;$&quot;\ #,###,###,##0\)_);&quot;&quot;_)"/>
    <numFmt numFmtId="205" formatCode="#,###,###,##0_);\(#,###,###,##0\)_);&quot;&quot;_)"/>
    <numFmt numFmtId="206" formatCode="#,###,##0.0_);\-#,###,##0.0_)"/>
    <numFmt numFmtId="207" formatCode="0.00_)"/>
    <numFmt numFmtId="208" formatCode="0.000_)"/>
    <numFmt numFmtId="209" formatCode="#,###,###,##0_);\-#,###,###,##0_)"/>
    <numFmt numFmtId="210" formatCode="&quot;$&quot;\ #,###,##0_);\(&quot;$&quot;\ #,###,##0\)_)"/>
    <numFmt numFmtId="211" formatCode="&quot;$&quot;\ #,###,##0.00_);\(&quot;$&quot;\ #,###,##0.00\)_)"/>
    <numFmt numFmtId="212" formatCode="#,###,##0.0_);\(#,###,##0.0\)"/>
    <numFmt numFmtId="213" formatCode="#,###,##0.00_);\-#,###,##0.00_)"/>
    <numFmt numFmtId="214" formatCode="#,###,##0.000_)"/>
    <numFmt numFmtId="215" formatCode="_(* 0.000E+0_);_(* \-0.000E+0;_(* &quot;&quot;_);_(@_)"/>
    <numFmt numFmtId="216" formatCode="&quot;$&quot;#,###,##0_)"/>
    <numFmt numFmtId="217" formatCode="#,###,##0.0_)"/>
    <numFmt numFmtId="218" formatCode="#,###,##0.00_);\(#,###,##0.00\)_)"/>
    <numFmt numFmtId="219" formatCode="#,###,##0.0000_)"/>
    <numFmt numFmtId="220" formatCode="#,###,##0.0_);\-#,###,##0.0_);0.0_)"/>
    <numFmt numFmtId="221" formatCode="##0.0"/>
    <numFmt numFmtId="222" formatCode="#,###,##0.0_);\-#,###,##0.0_);&quot;&quot;_)"/>
    <numFmt numFmtId="223" formatCode="0\ &quot;C&quot;"/>
    <numFmt numFmtId="224" formatCode="0\ &quot;kcal/kg&quot;"/>
    <numFmt numFmtId="225" formatCode="0.00\ &quot;kW&quot;"/>
    <numFmt numFmtId="226" formatCode="#,###,###,##0.0_);\-#,###,###,##0.0_)"/>
    <numFmt numFmtId="227" formatCode="General_)"/>
    <numFmt numFmtId="228" formatCode="&quot;(&quot;0.0%&quot;)&quot;"/>
    <numFmt numFmtId="229" formatCode="0.00000"/>
    <numFmt numFmtId="230" formatCode="_-&quot;?&quot;* #,##0_-;\-&quot;?&quot;* #,##0_-;_-&quot;?&quot;* &quot;-&quot;_-;_-@_-"/>
    <numFmt numFmtId="231" formatCode="_-&quot;?&quot;* #,##0.00_-;\-&quot;?&quot;* #,##0.00_-;_-&quot;?&quot;* &quot;-&quot;??_-;_-@_-"/>
    <numFmt numFmtId="232" formatCode="#,##0_);\-#,##0_);_(@_)"/>
    <numFmt numFmtId="233" formatCode="#,##0.0"/>
    <numFmt numFmtId="234" formatCode="_(* #,##0.000_);_(* \(#,##0.000\);_(* &quot;0&quot;_);_(@_)"/>
    <numFmt numFmtId="235" formatCode="\$#,##0.0_);[Red]\(\$#,##0.0\)"/>
    <numFmt numFmtId="236" formatCode="0.000000_);[Red]\(0.000000\)"/>
    <numFmt numFmtId="237" formatCode="#,###,###,##0.0000_);\(#,###,###,##0.0000\);&quot;&quot;_)"/>
    <numFmt numFmtId="238" formatCode="_(* #,##0.0_);_(* \(#,##0.0\);_(* &quot;-&quot;?_);_(@_)"/>
    <numFmt numFmtId="239" formatCode="0.0000000_);[Red]\(0.0000000\)"/>
    <numFmt numFmtId="240" formatCode="0.00000000_);[Red]\(0.00000000\)"/>
    <numFmt numFmtId="241" formatCode="dd\-mmm\-yy"/>
    <numFmt numFmtId="242" formatCode="&quot;¥&quot;#,##0_);[Red]\(&quot;¥&quot;#,##0\)"/>
    <numFmt numFmtId="243" formatCode="#,###,###,##0.0_);\(#,###,###,##0.0\)"/>
    <numFmt numFmtId="244" formatCode="#,##0.0000;[Red]\-#,##0.0000"/>
    <numFmt numFmtId="245" formatCode="\(\%\)"/>
    <numFmt numFmtId="246" formatCode="#,##0.0\ ;\(#,##0.0\)"/>
    <numFmt numFmtId="247" formatCode="_-&quot;$&quot;\ * #,##0_-;\-&quot;$&quot;\ * #,##0_-;_-&quot;$&quot;\ * &quot;-&quot;_-;_-@_-"/>
    <numFmt numFmtId="248" formatCode="_-&quot;$&quot;\ * #,##0.00_-;\-&quot;$&quot;\ * #,##0.00_-;_-&quot;$&quot;\ * &quot;-&quot;??_-;_-@_-"/>
    <numFmt numFmtId="249" formatCode="0.0_)\%;\(0.0\)\%;0.0_)\%;@_)_%"/>
    <numFmt numFmtId="250" formatCode="#,##0.0_)_%;\(#,##0.0\)_%;0.0_)_%;@_)_%"/>
    <numFmt numFmtId="251" formatCode="#,##0.0_);\(#,##0.0\);#,##0.0_);@_)"/>
    <numFmt numFmtId="252" formatCode="&quot;$&quot;_(#,##0.00_);&quot;$&quot;\(#,##0.00\);&quot;$&quot;_(0.00_);@_)"/>
    <numFmt numFmtId="253" formatCode="&quot;£&quot;_(#,##0.00_);&quot;£&quot;\(#,##0.00\);&quot;£&quot;_(0.00_);@_)"/>
    <numFmt numFmtId="254" formatCode="&quot;$&quot;_(#,##0.00_);&quot;$&quot;\(#,##0.00\)"/>
    <numFmt numFmtId="255" formatCode="#,##0.00_);\(#,##0.00\);0.00_);@_)"/>
    <numFmt numFmtId="256" formatCode="\€_(#,##0.00_);\€\(#,##0.00\);\€_(0.00_);@_)"/>
    <numFmt numFmtId="257" formatCode="#,##0_)\x;\(#,##0\)\x;0_)\x;@_)_x"/>
    <numFmt numFmtId="258" formatCode="#,##0.0_)\x;\(#,##0.0\)\x"/>
    <numFmt numFmtId="259" formatCode="#,##0_)_x;\(#,##0\)_x;0_)_x;@_)_x"/>
    <numFmt numFmtId="260" formatCode="#,##0.0_)_x;\(#,##0.0\)_x"/>
    <numFmt numFmtId="261" formatCode="0.0_)\%;\(0.0\)\%"/>
    <numFmt numFmtId="262" formatCode="#,##0.0_)_%;\(#,##0.0\)_%"/>
    <numFmt numFmtId="263" formatCode="0.0;;"/>
    <numFmt numFmtId="264" formatCode="0.000%"/>
    <numFmt numFmtId="265" formatCode="#,##0.00_)____;\(#,##0.00\)____"/>
    <numFmt numFmtId="266" formatCode="#,##0_);[Red]\(#,##0\);&quot; -  &quot;"/>
    <numFmt numFmtId="267" formatCode="#,##0.0_);\(#,##0.0\);\-_)"/>
    <numFmt numFmtId="268" formatCode="&quot;FY&quot;yy"/>
    <numFmt numFmtId="269" formatCode="#,##0;\(#,##0\)"/>
    <numFmt numFmtId="270" formatCode="#,##0.0_);\(#,##0.0\);&quot;--&quot;_)"/>
    <numFmt numFmtId="271" formatCode="#,##0.00_);\(#,##0.00\);&quot;--&quot;_)"/>
    <numFmt numFmtId="272" formatCode="_(&quot;$&quot;* #,##0.00_);_(&quot;$&quot;* \(#,##0.00\);_(&quot;$&quot;* &quot;-&quot;??_);_(@_)"/>
    <numFmt numFmtId="273" formatCode="&quot;$&quot;#,##0\ ;\(&quot;$&quot;#,##0\)"/>
    <numFmt numFmtId="274" formatCode="_-[$€-2]\ * #,##0.00_-;\-[$€-2]\ * #,##0.00_-;_-[$€-2]\ * &quot;-&quot;??_-"/>
    <numFmt numFmtId="275" formatCode="_([$€-2]* #,##0.00_);_([$€-2]* \(#,##0.00\);_([$€-2]* &quot;-&quot;??_)"/>
    <numFmt numFmtId="276" formatCode="_([$€]* #,##0.00_);_([$€]* \(#,##0.00\);_([$€]* &quot;-&quot;??_);_(@_)"/>
    <numFmt numFmtId="277" formatCode="_-[$€]* #,##0.00_-;\-[$€]* #,##0.00_-;_-[$€]* &quot;-&quot;??_-;_-@_-"/>
    <numFmt numFmtId="278" formatCode="#,##0."/>
    <numFmt numFmtId="279" formatCode="#.00"/>
    <numFmt numFmtId="280" formatCode="_(* #,##0_);_(* \(#,##0\);_(* &quot;-&quot;??_);_(@_)"/>
    <numFmt numFmtId="281" formatCode="#,##0.000_);\(#,##0.000\)"/>
    <numFmt numFmtId="282" formatCode="#,##0.0;\(#,##0.0\)"/>
    <numFmt numFmtId="283" formatCode="0%;\(0%\)"/>
    <numFmt numFmtId="284" formatCode="0.0%;\(0.0%\)"/>
    <numFmt numFmtId="285" formatCode="0.00%;\(0.00%\)"/>
    <numFmt numFmtId="286" formatCode="#,##0.00;\(#,##0.00\)"/>
    <numFmt numFmtId="287" formatCode="0.000"/>
    <numFmt numFmtId="288" formatCode="_-* #,##0_-;\-* #,##0_-;_-* &quot;-&quot;_-;_-@_-"/>
    <numFmt numFmtId="289" formatCode="_-* #,##0.00\ _P_t_a_-;\-* #,##0.00\ _P_t_a_-;_-* &quot;-&quot;??\ _P_t_a_-;_-@_-"/>
    <numFmt numFmtId="290" formatCode="&quot;$&quot;#,##0.00\ ;\(&quot;$&quot;#,##0.00\)"/>
    <numFmt numFmtId="291" formatCode="_-&quot;$&quot;* #,##0.00_-;\-&quot;$&quot;* #,##0.00_-;_-&quot;$&quot;* &quot;-&quot;??_-;_-@_-"/>
    <numFmt numFmtId="292" formatCode="#,##0.0_)______;\(#,##0.0\)______"/>
    <numFmt numFmtId="293" formatCode="0.0__"/>
    <numFmt numFmtId="294" formatCode="#,##0__"/>
    <numFmt numFmtId="295" formatCode="#,##0_)__;\(#,##0\)__"/>
    <numFmt numFmtId="296" formatCode="#,##0_);\-#,##0_);\-_)"/>
    <numFmt numFmtId="297" formatCode="#,##0.00_);\-#,##0.00_);\-_)"/>
    <numFmt numFmtId="298" formatCode="#,##0.0%_);\(#,##0.0%\);&quot;--&quot;\%_)"/>
    <numFmt numFmtId="299" formatCode="#,##0.00%_);\(#,##0.00%\);&quot;--&quot;\%_)"/>
    <numFmt numFmtId="300" formatCode="#,##0_)____;\(#,##0\)____"/>
    <numFmt numFmtId="301" formatCode="#,##0.000%;\-#,##0.000%;\-\%"/>
    <numFmt numFmtId="302" formatCode="#,##0.000;\-#,##0.000;\-\ "/>
    <numFmt numFmtId="303" formatCode="#,##0.0_);\-#,##0.0_);\-_)"/>
    <numFmt numFmtId="304" formatCode="0_)"/>
    <numFmt numFmtId="305" formatCode="#,##0_);\(#,##0\);\-\-\-\-"/>
    <numFmt numFmtId="306" formatCode="#,###;\(#,###\);\-\-\-\-"/>
    <numFmt numFmtId="307" formatCode="0____"/>
    <numFmt numFmtId="308" formatCode="_-* #,##0_р_._-;\-* #,##0_р_._-;_-* &quot;-&quot;_р_._-;_-@_-"/>
    <numFmt numFmtId="309" formatCode="_-* #,##0.00_р_._-;\-* #,##0.00_р_._-;_-* &quot;-&quot;??_р_._-;_-@_-"/>
    <numFmt numFmtId="310" formatCode="0;&quot;▲ &quot;0"/>
  </numFmts>
  <fonts count="265">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sz val="12"/>
      <color indexed="9"/>
      <name val="HG創英角ｺﾞｼｯｸUB"/>
      <family val="3"/>
      <charset val="128"/>
    </font>
    <font>
      <sz val="14"/>
      <color indexed="21"/>
      <name val="HG創英角ｺﾞｼｯｸUB"/>
      <family val="3"/>
      <charset val="128"/>
    </font>
    <font>
      <sz val="14"/>
      <name val="ＭＳ Ｐゴシック"/>
      <family val="3"/>
      <charset val="128"/>
    </font>
    <font>
      <sz val="11"/>
      <color indexed="21"/>
      <name val="HG創英角ｺﾞｼｯｸUB"/>
      <family val="3"/>
      <charset val="128"/>
    </font>
    <font>
      <sz val="11"/>
      <color indexed="9"/>
      <name val="ＭＳ Ｐゴシック"/>
      <family val="3"/>
      <charset val="128"/>
    </font>
    <font>
      <sz val="9"/>
      <name val="ＭＳ Ｐゴシック"/>
      <family val="3"/>
      <charset val="128"/>
    </font>
    <font>
      <sz val="9"/>
      <color indexed="9"/>
      <name val="ＭＳ Ｐゴシック"/>
      <family val="3"/>
      <charset val="128"/>
    </font>
    <font>
      <b/>
      <sz val="11"/>
      <color indexed="21"/>
      <name val="ＭＳ Ｐゴシック"/>
      <family val="3"/>
      <charset val="128"/>
    </font>
    <font>
      <sz val="11"/>
      <color indexed="47"/>
      <name val="ＭＳ Ｐゴシック"/>
      <family val="3"/>
      <charset val="128"/>
    </font>
    <font>
      <sz val="11"/>
      <color indexed="41"/>
      <name val="ＭＳ Ｐゴシック"/>
      <family val="3"/>
      <charset val="128"/>
    </font>
    <font>
      <sz val="11"/>
      <color indexed="51"/>
      <name val="ＭＳ Ｐゴシック"/>
      <family val="3"/>
      <charset val="128"/>
    </font>
    <font>
      <sz val="11"/>
      <color indexed="42"/>
      <name val="ＭＳ Ｐゴシック"/>
      <family val="3"/>
      <charset val="128"/>
    </font>
    <font>
      <sz val="11"/>
      <color indexed="23"/>
      <name val="ＭＳ Ｐゴシック"/>
      <family val="3"/>
      <charset val="128"/>
    </font>
    <font>
      <sz val="11"/>
      <color indexed="8"/>
      <name val="ＭＳ Ｐゴシック"/>
      <family val="3"/>
      <charset val="128"/>
    </font>
    <font>
      <sz val="11"/>
      <color theme="1"/>
      <name val="ＭＳ Ｐゴシック"/>
      <family val="3"/>
      <charset val="128"/>
    </font>
    <font>
      <sz val="10"/>
      <name val="Arial"/>
      <family val="2"/>
    </font>
    <font>
      <sz val="10"/>
      <name val="Helv"/>
      <family val="2"/>
    </font>
    <font>
      <sz val="10"/>
      <color indexed="12"/>
      <name val="Arial"/>
      <family val="2"/>
    </font>
    <font>
      <sz val="11"/>
      <color indexed="8"/>
      <name val="Calibri"/>
      <family val="2"/>
    </font>
    <font>
      <sz val="10"/>
      <color indexed="8"/>
      <name val="ＭＳ Ｐゴシック"/>
      <family val="3"/>
      <charset val="128"/>
    </font>
    <font>
      <sz val="11"/>
      <color indexed="8"/>
      <name val="맑은 고딕"/>
      <family val="2"/>
      <charset val="129"/>
    </font>
    <font>
      <sz val="11"/>
      <color indexed="8"/>
      <name val="宋体"/>
      <family val="3"/>
      <charset val="128"/>
    </font>
    <font>
      <sz val="11"/>
      <color indexed="9"/>
      <name val="Calibri"/>
      <family val="2"/>
    </font>
    <font>
      <sz val="10"/>
      <color indexed="9"/>
      <name val="ＭＳ Ｐゴシック"/>
      <family val="3"/>
      <charset val="128"/>
    </font>
    <font>
      <sz val="11"/>
      <color indexed="9"/>
      <name val="맑은 고딕"/>
      <family val="2"/>
      <charset val="129"/>
    </font>
    <font>
      <sz val="11"/>
      <color indexed="9"/>
      <name val="宋体"/>
    </font>
    <font>
      <sz val="11"/>
      <color indexed="20"/>
      <name val="Calibri"/>
      <family val="2"/>
    </font>
    <font>
      <b/>
      <sz val="11"/>
      <color indexed="52"/>
      <name val="Calibri"/>
      <family val="2"/>
    </font>
    <font>
      <b/>
      <sz val="8"/>
      <name val="Arial"/>
      <family val="2"/>
    </font>
    <font>
      <sz val="11"/>
      <name val="明朝"/>
      <family val="1"/>
      <charset val="128"/>
    </font>
    <font>
      <b/>
      <sz val="11"/>
      <color indexed="9"/>
      <name val="Calibri"/>
      <family val="2"/>
    </font>
    <font>
      <sz val="11"/>
      <name val="Tms Rmn"/>
      <family val="1"/>
    </font>
    <font>
      <sz val="10"/>
      <color indexed="50"/>
      <name val="Arial"/>
      <family val="2"/>
    </font>
    <font>
      <b/>
      <sz val="10"/>
      <name val="Arial"/>
      <family val="2"/>
    </font>
    <font>
      <b/>
      <sz val="12"/>
      <name val="Helv"/>
      <family val="2"/>
    </font>
    <font>
      <sz val="10"/>
      <color indexed="10"/>
      <name val="Arial"/>
      <family val="2"/>
    </font>
    <font>
      <sz val="8"/>
      <color indexed="10"/>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sz val="10"/>
      <color indexed="9"/>
      <name val="Arial"/>
      <family val="2"/>
    </font>
    <font>
      <u/>
      <sz val="10"/>
      <color indexed="12"/>
      <name val="Arial"/>
      <family val="2"/>
    </font>
    <font>
      <sz val="12"/>
      <color indexed="8"/>
      <name val="Helv"/>
      <family val="2"/>
    </font>
    <font>
      <sz val="11"/>
      <color indexed="62"/>
      <name val="Calibri"/>
      <family val="2"/>
    </font>
    <font>
      <sz val="11"/>
      <name val="ＭＳ 明朝"/>
      <family val="1"/>
      <charset val="128"/>
    </font>
    <font>
      <sz val="11"/>
      <color indexed="52"/>
      <name val="Calibri"/>
      <family val="2"/>
    </font>
    <font>
      <sz val="9"/>
      <name val="ＭＳ 明朝"/>
      <family val="1"/>
      <charset val="128"/>
    </font>
    <font>
      <sz val="11"/>
      <color indexed="60"/>
      <name val="Calibri"/>
      <family val="2"/>
    </font>
    <font>
      <b/>
      <i/>
      <sz val="16"/>
      <name val="Helv"/>
      <family val="2"/>
    </font>
    <font>
      <sz val="12"/>
      <name val="明朝"/>
      <family val="1"/>
      <charset val="128"/>
    </font>
    <font>
      <b/>
      <sz val="11"/>
      <color indexed="63"/>
      <name val="Calibri"/>
      <family val="2"/>
    </font>
    <font>
      <sz val="8"/>
      <name val="Arial"/>
      <family val="2"/>
    </font>
    <font>
      <sz val="10"/>
      <color indexed="8"/>
      <name val="Arial"/>
      <family val="2"/>
    </font>
    <font>
      <sz val="8"/>
      <color indexed="12"/>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4"/>
      <name val="Arial"/>
      <family val="2"/>
    </font>
    <font>
      <b/>
      <sz val="10"/>
      <color indexed="13"/>
      <name val="Arial"/>
      <family val="2"/>
    </font>
    <font>
      <sz val="10"/>
      <color indexed="33"/>
      <name val="Arial"/>
      <family val="2"/>
    </font>
    <font>
      <b/>
      <sz val="18"/>
      <color indexed="56"/>
      <name val="Cambria"/>
      <family val="1"/>
    </font>
    <font>
      <b/>
      <sz val="11"/>
      <color indexed="8"/>
      <name val="Calibri"/>
      <family val="2"/>
    </font>
    <font>
      <sz val="10"/>
      <color indexed="12"/>
      <name val="Helv"/>
      <family val="2"/>
    </font>
    <font>
      <sz val="11"/>
      <color indexed="10"/>
      <name val="Calibri"/>
      <family val="2"/>
    </font>
    <font>
      <sz val="10"/>
      <name val="ｺﾞｼｯｸ体MT-M"/>
      <family val="3"/>
      <charset val="128"/>
    </font>
    <font>
      <b/>
      <sz val="18"/>
      <color indexed="56"/>
      <name val="ＭＳ Ｐゴシック"/>
      <family val="3"/>
      <charset val="128"/>
    </font>
    <font>
      <b/>
      <sz val="10"/>
      <color indexed="9"/>
      <name val="ＭＳ Ｐゴシック"/>
      <family val="3"/>
      <charset val="128"/>
    </font>
    <font>
      <sz val="10"/>
      <color indexed="60"/>
      <name val="ＭＳ Ｐゴシック"/>
      <family val="3"/>
      <charset val="128"/>
    </font>
    <font>
      <sz val="10"/>
      <name val="ＭＳ Ｐゴシック"/>
      <family val="3"/>
      <charset val="128"/>
    </font>
    <font>
      <sz val="10"/>
      <color indexed="52"/>
      <name val="ＭＳ Ｐゴシック"/>
      <family val="3"/>
      <charset val="128"/>
    </font>
    <font>
      <sz val="10"/>
      <color indexed="20"/>
      <name val="ＭＳ Ｐゴシック"/>
      <family val="3"/>
      <charset val="128"/>
    </font>
    <font>
      <sz val="11"/>
      <color indexed="10"/>
      <name val="맑은 고딕"/>
      <family val="2"/>
      <charset val="129"/>
    </font>
    <font>
      <b/>
      <sz val="11"/>
      <color indexed="52"/>
      <name val="맑은 고딕"/>
      <family val="2"/>
      <charset val="129"/>
    </font>
    <font>
      <i/>
      <sz val="11"/>
      <color indexed="23"/>
      <name val="宋体"/>
    </font>
    <font>
      <b/>
      <sz val="10"/>
      <color indexed="52"/>
      <name val="ＭＳ Ｐゴシック"/>
      <family val="3"/>
      <charset val="128"/>
    </font>
    <font>
      <sz val="10"/>
      <color indexed="10"/>
      <name val="ＭＳ Ｐゴシック"/>
      <family val="3"/>
      <charset val="128"/>
    </font>
    <font>
      <sz val="11"/>
      <color indexed="10"/>
      <name val="宋体"/>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font>
    <font>
      <sz val="11"/>
      <color indexed="20"/>
      <name val="宋体"/>
    </font>
    <font>
      <sz val="11"/>
      <color indexed="20"/>
      <name val="맑은 고딕"/>
      <family val="2"/>
      <charset val="129"/>
    </font>
    <font>
      <b/>
      <sz val="10"/>
      <color indexed="8"/>
      <name val="ＭＳ Ｐゴシック"/>
      <family val="3"/>
      <charset val="128"/>
    </font>
    <font>
      <b/>
      <sz val="10"/>
      <color indexed="63"/>
      <name val="ＭＳ Ｐゴシック"/>
      <family val="3"/>
      <charset val="128"/>
    </font>
    <font>
      <i/>
      <sz val="10"/>
      <color indexed="23"/>
      <name val="ＭＳ Ｐゴシック"/>
      <family val="3"/>
      <charset val="128"/>
    </font>
    <font>
      <sz val="10"/>
      <color indexed="62"/>
      <name val="ＭＳ Ｐゴシック"/>
      <family val="3"/>
      <charset val="128"/>
    </font>
    <font>
      <sz val="16"/>
      <name val="ｺﾞｼｯｸ体MT-M"/>
      <family val="3"/>
      <charset val="128"/>
    </font>
    <font>
      <sz val="14"/>
      <name val="ＭＳ 明朝"/>
      <family val="1"/>
      <charset val="128"/>
    </font>
    <font>
      <sz val="10"/>
      <color indexed="17"/>
      <name val="ＭＳ Ｐゴシック"/>
      <family val="3"/>
      <charset val="128"/>
    </font>
    <font>
      <sz val="11"/>
      <color indexed="60"/>
      <name val="맑은 고딕"/>
      <family val="2"/>
      <charset val="129"/>
    </font>
    <font>
      <i/>
      <sz val="11"/>
      <color indexed="23"/>
      <name val="맑은 고딕"/>
      <family val="2"/>
      <charset val="129"/>
    </font>
    <font>
      <b/>
      <sz val="11"/>
      <color indexed="9"/>
      <name val="맑은 고딕"/>
      <family val="2"/>
      <charset val="129"/>
    </font>
    <font>
      <sz val="11"/>
      <color indexed="52"/>
      <name val="맑은 고딕"/>
      <family val="2"/>
      <charset val="129"/>
    </font>
    <font>
      <b/>
      <sz val="11"/>
      <color indexed="8"/>
      <name val="맑은 고딕"/>
      <family val="2"/>
      <charset val="129"/>
    </font>
    <font>
      <sz val="11"/>
      <color indexed="62"/>
      <name val="맑은 고딕"/>
      <family val="2"/>
      <charset val="129"/>
    </font>
    <font>
      <b/>
      <sz val="18"/>
      <color indexed="56"/>
      <name val="맑은 고딕"/>
      <family val="2"/>
      <charset val="129"/>
    </font>
    <font>
      <b/>
      <sz val="15"/>
      <color indexed="56"/>
      <name val="맑은 고딕"/>
      <family val="2"/>
      <charset val="129"/>
    </font>
    <font>
      <b/>
      <sz val="13"/>
      <color indexed="56"/>
      <name val="맑은 고딕"/>
      <family val="2"/>
      <charset val="129"/>
    </font>
    <font>
      <b/>
      <sz val="11"/>
      <color indexed="56"/>
      <name val="맑은 고딕"/>
      <family val="2"/>
      <charset val="129"/>
    </font>
    <font>
      <sz val="11"/>
      <color indexed="17"/>
      <name val="맑은 고딕"/>
      <family val="2"/>
      <charset val="129"/>
    </font>
    <font>
      <b/>
      <sz val="11"/>
      <color indexed="63"/>
      <name val="맑은 고딕"/>
      <family val="2"/>
      <charset val="129"/>
    </font>
    <font>
      <b/>
      <sz val="18"/>
      <color indexed="56"/>
      <name val="宋体"/>
    </font>
    <font>
      <b/>
      <sz val="15"/>
      <color indexed="56"/>
      <name val="宋体"/>
    </font>
    <font>
      <b/>
      <sz val="13"/>
      <color indexed="56"/>
      <name val="宋体"/>
    </font>
    <font>
      <b/>
      <sz val="11"/>
      <color indexed="56"/>
      <name val="宋体"/>
    </font>
    <font>
      <b/>
      <sz val="11"/>
      <color indexed="9"/>
      <name val="宋体"/>
    </font>
    <font>
      <b/>
      <sz val="11"/>
      <color indexed="8"/>
      <name val="宋体"/>
    </font>
    <font>
      <b/>
      <sz val="11"/>
      <color indexed="52"/>
      <name val="宋体"/>
    </font>
    <font>
      <b/>
      <sz val="11"/>
      <color indexed="63"/>
      <name val="宋体"/>
    </font>
    <font>
      <sz val="11"/>
      <color indexed="62"/>
      <name val="宋体"/>
    </font>
    <font>
      <sz val="11"/>
      <color indexed="60"/>
      <name val="宋体"/>
    </font>
    <font>
      <sz val="11"/>
      <color indexed="52"/>
      <name val="宋体"/>
    </font>
    <font>
      <sz val="11"/>
      <name val="Arial"/>
      <family val="2"/>
    </font>
    <font>
      <sz val="9"/>
      <name val="Arial"/>
      <family val="2"/>
    </font>
    <font>
      <sz val="16"/>
      <name val="Arial"/>
      <family val="2"/>
    </font>
    <font>
      <b/>
      <sz val="10"/>
      <color indexed="33"/>
      <name val="Times New Roman"/>
      <family val="1"/>
    </font>
    <font>
      <u/>
      <sz val="8.4"/>
      <color indexed="12"/>
      <name val="Arial"/>
      <family val="2"/>
    </font>
    <font>
      <sz val="11"/>
      <name val="明朝"/>
      <family val="3"/>
      <charset val="128"/>
    </font>
    <font>
      <sz val="10"/>
      <name val="Arial Cyr"/>
      <family val="2"/>
      <charset val="204"/>
    </font>
    <font>
      <sz val="8"/>
      <name val="MS Sans Serif"/>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1"/>
      <name val="lr SVbN"/>
      <family val="3"/>
    </font>
    <font>
      <sz val="11"/>
      <name val="¾©"/>
      <family val="1"/>
    </font>
    <font>
      <sz val="7"/>
      <name val="Arial"/>
      <family val="2"/>
    </font>
    <font>
      <b/>
      <i/>
      <sz val="10"/>
      <name val="SwitzerlandNarrow"/>
      <family val="2"/>
    </font>
    <font>
      <sz val="8.5"/>
      <color indexed="8"/>
      <name val="MS Reference Sans Serif"/>
      <family val="2"/>
    </font>
    <font>
      <sz val="11"/>
      <color indexed="12"/>
      <name val="Arial"/>
      <family val="2"/>
    </font>
    <font>
      <sz val="10"/>
      <name val="Times New Roman"/>
      <family val="1"/>
    </font>
    <font>
      <sz val="10"/>
      <color indexed="50"/>
      <name val="MS Sans Serif"/>
      <family val="2"/>
    </font>
    <font>
      <b/>
      <sz val="10"/>
      <color indexed="9"/>
      <name val="Helv"/>
      <family val="2"/>
    </font>
    <font>
      <sz val="10"/>
      <name val="MS Sans Serif"/>
      <family val="2"/>
    </font>
    <font>
      <b/>
      <sz val="10"/>
      <name val="Helv"/>
      <family val="2"/>
    </font>
    <font>
      <b/>
      <sz val="10"/>
      <name val="Tahoma"/>
      <family val="2"/>
    </font>
    <font>
      <b/>
      <sz val="9"/>
      <color indexed="23"/>
      <name val="Verdana"/>
      <family val="2"/>
    </font>
    <font>
      <sz val="10"/>
      <color indexed="20"/>
      <name val="Arial"/>
      <family val="2"/>
    </font>
    <font>
      <sz val="14"/>
      <color indexed="50"/>
      <name val="Arial"/>
      <family val="2"/>
    </font>
    <font>
      <sz val="6"/>
      <name val="Arial"/>
      <family val="2"/>
    </font>
    <font>
      <b/>
      <sz val="8.5"/>
      <color indexed="50"/>
      <name val="Arial"/>
      <family val="2"/>
    </font>
    <font>
      <sz val="8"/>
      <color indexed="8"/>
      <name val="Arial"/>
      <family val="2"/>
    </font>
    <font>
      <b/>
      <sz val="7"/>
      <color indexed="9"/>
      <name val="Arial"/>
      <family val="2"/>
    </font>
    <font>
      <b/>
      <sz val="7"/>
      <name val="Arial"/>
      <family val="2"/>
    </font>
    <font>
      <sz val="7"/>
      <color indexed="8"/>
      <name val="Arial"/>
      <family val="2"/>
    </font>
    <font>
      <sz val="6.5"/>
      <name val="Arial"/>
      <family val="2"/>
    </font>
    <font>
      <b/>
      <sz val="18"/>
      <color indexed="22"/>
      <name val="Arial"/>
      <family val="2"/>
    </font>
    <font>
      <b/>
      <sz val="12"/>
      <color indexed="22"/>
      <name val="Arial"/>
      <family val="2"/>
    </font>
    <font>
      <sz val="9"/>
      <name val="Times New Roman"/>
      <family val="1"/>
    </font>
    <font>
      <sz val="12"/>
      <name val="Helv"/>
      <family val="2"/>
    </font>
    <font>
      <b/>
      <sz val="10"/>
      <color indexed="12"/>
      <name val="Tahoma"/>
      <family val="2"/>
    </font>
    <font>
      <sz val="14"/>
      <color indexed="56"/>
      <name val="Arial"/>
      <family val="2"/>
    </font>
    <font>
      <sz val="10"/>
      <name val="Arial MT"/>
      <family val="2"/>
    </font>
    <font>
      <b/>
      <u/>
      <sz val="10"/>
      <name val="Arial"/>
      <family val="2"/>
    </font>
    <font>
      <b/>
      <sz val="9"/>
      <color indexed="18"/>
      <name val="Arial"/>
      <family val="2"/>
    </font>
    <font>
      <sz val="10"/>
      <name val="BERNHARD"/>
      <family val="2"/>
    </font>
    <font>
      <b/>
      <sz val="14"/>
      <color indexed="8"/>
      <name val="Arial"/>
      <family val="2"/>
    </font>
    <font>
      <strike/>
      <sz val="10"/>
      <name val="Courier New"/>
      <family val="3"/>
    </font>
    <font>
      <sz val="1"/>
      <color indexed="8"/>
      <name val="Courier"/>
      <family val="3"/>
    </font>
    <font>
      <b/>
      <sz val="1"/>
      <color indexed="8"/>
      <name val="Courier"/>
      <family val="3"/>
    </font>
    <font>
      <b/>
      <sz val="18"/>
      <name val="Arial"/>
      <family val="2"/>
    </font>
    <font>
      <b/>
      <sz val="10"/>
      <name val="Times New Roman"/>
      <family val="1"/>
    </font>
    <font>
      <sz val="9"/>
      <color indexed="9"/>
      <name val="MS Sans Serif"/>
      <family val="2"/>
    </font>
    <font>
      <sz val="10"/>
      <color indexed="9"/>
      <name val="MS Reference Sans Serif"/>
      <family val="2"/>
    </font>
    <font>
      <sz val="10"/>
      <color indexed="8"/>
      <name val="MS Sans Serif"/>
      <family val="2"/>
    </font>
    <font>
      <b/>
      <sz val="10"/>
      <color indexed="9"/>
      <name val="Arial"/>
      <family val="2"/>
    </font>
    <font>
      <b/>
      <u/>
      <sz val="1"/>
      <color indexed="8"/>
      <name val="Courier"/>
      <family val="3"/>
    </font>
    <font>
      <u/>
      <sz val="1"/>
      <color indexed="8"/>
      <name val="Courier"/>
      <family val="3"/>
    </font>
    <font>
      <sz val="10"/>
      <color indexed="22"/>
      <name val="Arial"/>
      <family val="2"/>
    </font>
    <font>
      <sz val="8"/>
      <name val="Times New Roman"/>
      <family val="1"/>
    </font>
    <font>
      <b/>
      <i/>
      <sz val="7"/>
      <color indexed="16"/>
      <name val="Arial"/>
      <family val="2"/>
    </font>
    <font>
      <sz val="7"/>
      <color indexed="14"/>
      <name val="Arial"/>
      <family val="2"/>
    </font>
    <font>
      <sz val="10"/>
      <color indexed="57"/>
      <name val="Arial"/>
      <family val="2"/>
    </font>
    <font>
      <b/>
      <u/>
      <sz val="10"/>
      <name val="Helv"/>
      <family val="2"/>
    </font>
    <font>
      <b/>
      <sz val="10"/>
      <color indexed="13"/>
      <name val="Times New Roman"/>
      <family val="1"/>
    </font>
    <font>
      <b/>
      <sz val="10"/>
      <color indexed="8"/>
      <name val="MS Sans Serif"/>
      <family val="2"/>
    </font>
    <font>
      <b/>
      <sz val="10"/>
      <color indexed="32"/>
      <name val="Arial"/>
      <family val="2"/>
    </font>
    <font>
      <sz val="9"/>
      <color indexed="12"/>
      <name val="Arial"/>
      <family val="2"/>
    </font>
    <font>
      <b/>
      <sz val="10"/>
      <color indexed="12"/>
      <name val="Arial"/>
      <family val="2"/>
    </font>
    <font>
      <b/>
      <sz val="10"/>
      <color indexed="10"/>
      <name val="MS Sans Serif"/>
      <family val="2"/>
    </font>
    <font>
      <b/>
      <i/>
      <sz val="10"/>
      <color indexed="10"/>
      <name val="MS Sans Serif"/>
      <family val="2"/>
    </font>
    <font>
      <b/>
      <i/>
      <sz val="10"/>
      <color indexed="18"/>
      <name val="MS Sans Serif"/>
      <family val="2"/>
    </font>
    <font>
      <sz val="10"/>
      <color indexed="16"/>
      <name val="MS Sans Serif"/>
      <family val="2"/>
    </font>
    <font>
      <b/>
      <i/>
      <sz val="10"/>
      <name val="Times New Roman"/>
      <family val="1"/>
    </font>
    <font>
      <b/>
      <u/>
      <sz val="18"/>
      <color indexed="12"/>
      <name val="MS Sans Serif"/>
      <family val="2"/>
    </font>
    <font>
      <sz val="12"/>
      <name val="Trebuchet MS"/>
      <family val="2"/>
    </font>
    <font>
      <sz val="10"/>
      <color indexed="24"/>
      <name val="Arial"/>
      <family val="2"/>
    </font>
    <font>
      <sz val="7"/>
      <name val="Small Fonts"/>
      <family val="2"/>
    </font>
    <font>
      <sz val="10"/>
      <name val="Corporate Mono"/>
      <family val="2"/>
    </font>
    <font>
      <sz val="10"/>
      <name val="Courier"/>
      <family val="3"/>
    </font>
    <font>
      <i/>
      <sz val="10"/>
      <name val="Arial"/>
      <family val="2"/>
    </font>
    <font>
      <sz val="8"/>
      <name val="Bookman Old Style"/>
      <family val="1"/>
    </font>
    <font>
      <sz val="9"/>
      <color indexed="8"/>
      <name val="MS Sans Serif"/>
      <family val="2"/>
    </font>
    <font>
      <sz val="10"/>
      <color indexed="8"/>
      <name val="Calibri"/>
      <family val="2"/>
    </font>
    <font>
      <b/>
      <sz val="8"/>
      <color indexed="18"/>
      <name val="Comic Sans MS"/>
      <family val="4"/>
    </font>
    <font>
      <i/>
      <sz val="10"/>
      <name val="Helv"/>
      <family val="2"/>
    </font>
    <font>
      <sz val="8"/>
      <name val="Helv"/>
      <family val="2"/>
    </font>
    <font>
      <b/>
      <sz val="8"/>
      <color indexed="18"/>
      <name val="Arial"/>
      <family val="2"/>
    </font>
    <font>
      <sz val="8"/>
      <color indexed="8"/>
      <name val="MS Reference Sans Serif"/>
      <family val="2"/>
    </font>
    <font>
      <sz val="12"/>
      <name val="Tms Rmn"/>
      <family val="1"/>
    </font>
    <font>
      <sz val="10"/>
      <color indexed="17"/>
      <name val="MS Sans Serif"/>
      <family val="2"/>
    </font>
    <font>
      <sz val="10"/>
      <color indexed="18"/>
      <name val="MS Sans Serif"/>
      <family val="2"/>
    </font>
    <font>
      <b/>
      <sz val="10"/>
      <color indexed="12"/>
      <name val="MS Sans Serif"/>
      <family val="2"/>
    </font>
    <font>
      <sz val="10"/>
      <color indexed="17"/>
      <name val="Arial"/>
      <family val="2"/>
    </font>
    <font>
      <b/>
      <sz val="9"/>
      <color indexed="8"/>
      <name val="Arial"/>
      <family val="2"/>
    </font>
    <font>
      <b/>
      <sz val="8"/>
      <color indexed="8"/>
      <name val="Arial"/>
      <family val="2"/>
    </font>
    <font>
      <b/>
      <u/>
      <sz val="10"/>
      <color indexed="8"/>
      <name val="Arial"/>
      <family val="2"/>
    </font>
    <font>
      <b/>
      <sz val="12"/>
      <color indexed="63"/>
      <name val="Times New Roman"/>
      <family val="1"/>
    </font>
    <font>
      <sz val="7"/>
      <color indexed="63"/>
      <name val="Times New Roman"/>
      <family val="1"/>
    </font>
    <font>
      <sz val="12"/>
      <color indexed="63"/>
      <name val="Times New Roman"/>
      <family val="1"/>
    </font>
    <font>
      <sz val="12"/>
      <color indexed="9"/>
      <name val="Times New Roman"/>
      <family val="1"/>
    </font>
    <font>
      <b/>
      <sz val="12"/>
      <color indexed="62"/>
      <name val="Times New Roman"/>
      <family val="1"/>
    </font>
    <font>
      <b/>
      <sz val="11"/>
      <color indexed="62"/>
      <name val="Times New Roman"/>
      <family val="1"/>
    </font>
    <font>
      <sz val="12"/>
      <color indexed="62"/>
      <name val="Times New Roman"/>
      <family val="1"/>
    </font>
    <font>
      <sz val="11"/>
      <color indexed="62"/>
      <name val="Times New Roman"/>
      <family val="1"/>
    </font>
    <font>
      <b/>
      <u/>
      <sz val="12"/>
      <color indexed="63"/>
      <name val="Times New Roman"/>
      <family val="1"/>
    </font>
    <font>
      <sz val="11"/>
      <color indexed="63"/>
      <name val="Times New Roman"/>
      <family val="1"/>
    </font>
    <font>
      <b/>
      <sz val="10"/>
      <color indexed="63"/>
      <name val="Times New Roman"/>
      <family val="1"/>
    </font>
    <font>
      <sz val="12"/>
      <color indexed="61"/>
      <name val="Times New Roman"/>
      <family val="1"/>
    </font>
    <font>
      <sz val="9"/>
      <color indexed="33"/>
      <name val="Arial"/>
      <family val="2"/>
    </font>
    <font>
      <b/>
      <sz val="11"/>
      <color indexed="9"/>
      <name val="Arial"/>
      <family val="2"/>
    </font>
    <font>
      <sz val="9"/>
      <color indexed="9"/>
      <name val="Arial"/>
      <family val="2"/>
    </font>
    <font>
      <sz val="12"/>
      <name val="Arial MT"/>
      <family val="2"/>
    </font>
    <font>
      <b/>
      <sz val="12"/>
      <color indexed="18"/>
      <name val="Arial"/>
      <family val="2"/>
    </font>
    <font>
      <b/>
      <sz val="9"/>
      <name val="Arial"/>
      <family val="2"/>
    </font>
    <font>
      <sz val="18"/>
      <name val="Asarco"/>
      <family val="2"/>
    </font>
    <font>
      <b/>
      <sz val="16"/>
      <color indexed="9"/>
      <name val="Arial"/>
      <family val="2"/>
    </font>
    <font>
      <b/>
      <sz val="16"/>
      <name val="Arial"/>
      <family val="2"/>
    </font>
    <font>
      <b/>
      <sz val="10"/>
      <color indexed="10"/>
      <name val="Helv"/>
      <family val="2"/>
    </font>
    <font>
      <sz val="10"/>
      <color indexed="10"/>
      <name val="Helv"/>
      <family val="2"/>
    </font>
    <font>
      <b/>
      <sz val="11"/>
      <color indexed="9"/>
      <name val="ＭＳ Ｐゴシック"/>
      <family val="3"/>
      <charset val="128"/>
    </font>
    <font>
      <sz val="11"/>
      <color indexed="60"/>
      <name val="ＭＳ Ｐゴシック"/>
      <family val="3"/>
      <charset val="128"/>
    </font>
    <font>
      <sz val="12"/>
      <name val="ＭＳ 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rgb="FFE94709"/>
      <name val="HG創英角ｺﾞｼｯｸUB"/>
      <family val="3"/>
      <charset val="128"/>
    </font>
    <font>
      <sz val="11"/>
      <color rgb="FFE94709"/>
      <name val="ＭＳ Ｐゴシック"/>
      <family val="3"/>
      <charset val="128"/>
    </font>
    <font>
      <b/>
      <sz val="11"/>
      <color rgb="FFE94709"/>
      <name val="ＭＳ Ｐゴシック"/>
      <family val="3"/>
      <charset val="128"/>
    </font>
    <font>
      <sz val="8"/>
      <name val="ＭＳ Ｐゴシック"/>
      <family val="3"/>
      <charset val="128"/>
    </font>
    <font>
      <sz val="11"/>
      <color theme="8" tint="0.59999389629810485"/>
      <name val="ＭＳ Ｐゴシック"/>
      <family val="3"/>
      <charset val="128"/>
    </font>
    <font>
      <sz val="11"/>
      <color rgb="FFFFFF00"/>
      <name val="ＭＳ Ｐゴシック"/>
      <family val="3"/>
      <charset val="128"/>
    </font>
    <font>
      <sz val="11"/>
      <color rgb="FF99FF33"/>
      <name val="ＭＳ Ｐゴシック"/>
      <family val="3"/>
      <charset val="128"/>
    </font>
    <font>
      <sz val="11"/>
      <color theme="7" tint="0.59999389629810485"/>
      <name val="ＭＳ Ｐゴシック"/>
      <family val="3"/>
      <charset val="128"/>
    </font>
    <font>
      <sz val="11"/>
      <color theme="0" tint="-0.14999847407452621"/>
      <name val="ＭＳ Ｐゴシック"/>
      <family val="3"/>
      <charset val="128"/>
    </font>
    <font>
      <sz val="10"/>
      <color rgb="FFFFFFFF"/>
      <name val="ＭＳ Ｐゴシック"/>
      <family val="3"/>
      <charset val="128"/>
    </font>
    <font>
      <sz val="11"/>
      <color rgb="FFFFFFFF"/>
      <name val="ＭＳ Ｐゴシック"/>
      <family val="3"/>
      <charset val="128"/>
    </font>
    <font>
      <sz val="9"/>
      <color rgb="FFFFFFFF"/>
      <name val="ＭＳ Ｐゴシック"/>
      <family val="3"/>
      <charset val="128"/>
    </font>
  </fonts>
  <fills count="82">
    <fill>
      <patternFill patternType="none"/>
    </fill>
    <fill>
      <patternFill patternType="gray125"/>
    </fill>
    <fill>
      <patternFill patternType="solid">
        <fgColor indexed="49"/>
        <bgColor indexed="64"/>
      </patternFill>
    </fill>
    <fill>
      <patternFill patternType="solid">
        <fgColor indexed="22"/>
        <bgColor indexed="64"/>
      </patternFill>
    </fill>
    <fill>
      <patternFill patternType="solid">
        <fgColor indexed="63"/>
        <bgColor indexed="64"/>
      </patternFill>
    </fill>
    <fill>
      <patternFill patternType="solid">
        <fgColor theme="0"/>
        <bgColor indexed="64"/>
      </patternFill>
    </fill>
    <fill>
      <patternFill patternType="solid">
        <fgColor theme="0" tint="-0.249977111117893"/>
        <bgColor indexed="64"/>
      </patternFill>
    </fill>
    <fill>
      <patternFill patternType="solid">
        <fgColor theme="1" tint="0.249977111117893"/>
        <bgColor indexed="64"/>
      </patternFill>
    </fill>
    <fill>
      <patternFill patternType="solid">
        <fgColor rgb="FF006666"/>
        <bgColor indexed="64"/>
      </patternFill>
    </fill>
    <fill>
      <patternFill patternType="solid">
        <fgColor theme="0" tint="-0.14999847407452621"/>
        <bgColor indexed="64"/>
      </patternFill>
    </fill>
    <fill>
      <patternFill patternType="solid">
        <fgColor rgb="FF33CCCC"/>
        <bgColor indexed="64"/>
      </patternFill>
    </fill>
    <fill>
      <patternFill patternType="solid">
        <fgColor rgb="FF333333"/>
        <bgColor indexed="64"/>
      </patternFill>
    </fill>
    <fill>
      <patternFill patternType="solid">
        <fgColor rgb="FFBFBFBF"/>
        <bgColor indexed="64"/>
      </patternFill>
    </fill>
    <fill>
      <patternFill patternType="solid">
        <fgColor indexed="4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1"/>
        <bgColor indexed="64"/>
      </patternFill>
    </fill>
    <fill>
      <patternFill patternType="solid">
        <fgColor indexed="22"/>
      </patternFill>
    </fill>
    <fill>
      <patternFill patternType="solid">
        <fgColor indexed="16"/>
        <bgColor indexed="64"/>
      </patternFill>
    </fill>
    <fill>
      <patternFill patternType="solid">
        <fgColor indexed="26"/>
        <bgColor indexed="64"/>
      </patternFill>
    </fill>
    <fill>
      <patternFill patternType="solid">
        <fgColor indexed="55"/>
      </patternFill>
    </fill>
    <fill>
      <patternFill patternType="solid">
        <fgColor indexed="43"/>
        <bgColor indexed="64"/>
      </patternFill>
    </fill>
    <fill>
      <patternFill patternType="solid">
        <fgColor indexed="31"/>
        <bgColor indexed="64"/>
      </patternFill>
    </fill>
    <fill>
      <patternFill patternType="solid">
        <fgColor indexed="42"/>
        <bgColor indexed="64"/>
      </patternFill>
    </fill>
    <fill>
      <patternFill patternType="solid">
        <fgColor indexed="15"/>
        <bgColor indexed="64"/>
      </patternFill>
    </fill>
    <fill>
      <patternFill patternType="solid">
        <fgColor indexed="13"/>
        <bgColor indexed="64"/>
      </patternFill>
    </fill>
    <fill>
      <patternFill patternType="solid">
        <fgColor indexed="24"/>
        <bgColor indexed="64"/>
      </patternFill>
    </fill>
    <fill>
      <patternFill patternType="solid">
        <fgColor indexed="45"/>
        <bgColor indexed="64"/>
      </patternFill>
    </fill>
    <fill>
      <patternFill patternType="solid">
        <fgColor indexed="44"/>
        <bgColor indexed="64"/>
      </patternFill>
    </fill>
    <fill>
      <patternFill patternType="solid">
        <fgColor indexed="46"/>
        <bgColor indexed="64"/>
      </patternFill>
    </fill>
    <fill>
      <patternFill patternType="solid">
        <fgColor indexed="51"/>
        <bgColor indexed="64"/>
      </patternFill>
    </fill>
    <fill>
      <patternFill patternType="solid">
        <fgColor indexed="48"/>
        <bgColor indexed="64"/>
      </patternFill>
    </fill>
    <fill>
      <patternFill patternType="solid">
        <fgColor indexed="43"/>
      </patternFill>
    </fill>
    <fill>
      <patternFill patternType="solid">
        <fgColor indexed="26"/>
      </patternFill>
    </fill>
    <fill>
      <patternFill patternType="solid">
        <fgColor indexed="40"/>
        <bgColor indexed="64"/>
      </patternFill>
    </fill>
    <fill>
      <patternFill patternType="solid">
        <fgColor indexed="19"/>
        <bgColor indexed="64"/>
      </patternFill>
    </fill>
    <fill>
      <patternFill patternType="solid">
        <fgColor indexed="29"/>
        <bgColor indexed="64"/>
      </patternFill>
    </fill>
    <fill>
      <patternFill patternType="solid">
        <fgColor indexed="10"/>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12"/>
        <bgColor indexed="64"/>
      </patternFill>
    </fill>
    <fill>
      <patternFill patternType="solid">
        <fgColor indexed="9"/>
        <bgColor indexed="64"/>
      </patternFill>
    </fill>
    <fill>
      <patternFill patternType="gray0625">
        <fgColor indexed="11"/>
        <bgColor indexed="9"/>
      </patternFill>
    </fill>
    <fill>
      <patternFill patternType="solid">
        <fgColor indexed="65"/>
        <bgColor indexed="11"/>
      </patternFill>
    </fill>
    <fill>
      <patternFill patternType="mediumGray">
        <fgColor indexed="47"/>
        <bgColor indexed="9"/>
      </patternFill>
    </fill>
    <fill>
      <patternFill patternType="solid">
        <fgColor indexed="23"/>
        <bgColor indexed="23"/>
      </patternFill>
    </fill>
    <fill>
      <patternFill patternType="solid">
        <fgColor indexed="31"/>
        <bgColor indexed="11"/>
      </patternFill>
    </fill>
    <fill>
      <patternFill patternType="solid">
        <fgColor indexed="32"/>
        <bgColor indexed="64"/>
      </patternFill>
    </fill>
    <fill>
      <patternFill patternType="solid">
        <fgColor indexed="27"/>
        <bgColor indexed="64"/>
      </patternFill>
    </fill>
    <fill>
      <patternFill patternType="solid">
        <fgColor indexed="27"/>
        <bgColor indexed="41"/>
      </patternFill>
    </fill>
    <fill>
      <patternFill patternType="solid">
        <fgColor indexed="22"/>
        <bgColor indexed="22"/>
      </patternFill>
    </fill>
    <fill>
      <patternFill patternType="solid">
        <fgColor indexed="60"/>
        <bgColor indexed="64"/>
      </patternFill>
    </fill>
    <fill>
      <patternFill patternType="solid">
        <fgColor indexed="8"/>
        <bgColor indexed="64"/>
      </patternFill>
    </fill>
    <fill>
      <patternFill patternType="solid">
        <fgColor indexed="13"/>
      </patternFill>
    </fill>
    <fill>
      <patternFill patternType="gray0625">
        <fgColor indexed="9"/>
        <bgColor indexed="26"/>
      </patternFill>
    </fill>
    <fill>
      <patternFill patternType="solid">
        <fgColor indexed="41"/>
        <bgColor indexed="11"/>
      </patternFill>
    </fill>
    <fill>
      <patternFill patternType="solid">
        <fgColor theme="1"/>
        <bgColor indexed="64"/>
      </patternFill>
    </fill>
    <fill>
      <patternFill patternType="solid">
        <fgColor rgb="FFE94709"/>
        <bgColor indexed="64"/>
      </patternFill>
    </fill>
    <fill>
      <patternFill patternType="solid">
        <fgColor theme="6" tint="0.59999389629810485"/>
        <bgColor indexed="64"/>
      </patternFill>
    </fill>
  </fills>
  <borders count="67">
    <border>
      <left/>
      <right/>
      <top/>
      <bottom/>
      <diagonal/>
    </border>
    <border>
      <left/>
      <right/>
      <top/>
      <bottom style="medium">
        <color indexed="23"/>
      </bottom>
      <diagonal/>
    </border>
    <border>
      <left/>
      <right/>
      <top/>
      <bottom style="double">
        <color indexed="23"/>
      </bottom>
      <diagonal/>
    </border>
    <border>
      <left/>
      <right/>
      <top style="thin">
        <color indexed="23"/>
      </top>
      <bottom style="thin">
        <color indexed="23"/>
      </bottom>
      <diagonal/>
    </border>
    <border>
      <left/>
      <right/>
      <top/>
      <bottom style="thin">
        <color indexed="23"/>
      </bottom>
      <diagonal/>
    </border>
    <border>
      <left/>
      <right/>
      <top style="medium">
        <color indexed="23"/>
      </top>
      <bottom style="thin">
        <color indexed="23"/>
      </bottom>
      <diagonal/>
    </border>
    <border>
      <left/>
      <right/>
      <top style="thin">
        <color indexed="23"/>
      </top>
      <bottom/>
      <diagonal/>
    </border>
    <border>
      <left/>
      <right/>
      <top style="medium">
        <color indexed="23"/>
      </top>
      <bottom/>
      <diagonal/>
    </border>
    <border>
      <left/>
      <right/>
      <top/>
      <bottom style="thin">
        <color theme="1" tint="0.499984740745262"/>
      </bottom>
      <diagonal/>
    </border>
    <border>
      <left/>
      <right/>
      <top style="medium">
        <color indexed="23"/>
      </top>
      <bottom style="thin">
        <color theme="1" tint="0.499984740745262"/>
      </bottom>
      <diagonal/>
    </border>
    <border>
      <left/>
      <right/>
      <top style="thin">
        <color theme="1" tint="0.499984740745262"/>
      </top>
      <bottom style="thin">
        <color theme="1" tint="0.499984740745262"/>
      </bottom>
      <diagonal/>
    </border>
    <border>
      <left/>
      <right/>
      <top/>
      <bottom style="double">
        <color theme="0" tint="-0.499984740745262"/>
      </bottom>
      <diagonal/>
    </border>
    <border>
      <left/>
      <right/>
      <top/>
      <bottom style="thin">
        <color theme="0" tint="-0.499984740745262"/>
      </bottom>
      <diagonal/>
    </border>
    <border>
      <left/>
      <right/>
      <top style="thin">
        <color theme="0" tint="-0.499984740745262"/>
      </top>
      <bottom/>
      <diagonal/>
    </border>
    <border>
      <left/>
      <right/>
      <top/>
      <bottom style="medium">
        <color theme="0" tint="-0.499984740745262"/>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ck">
        <color indexed="64"/>
      </left>
      <right style="thick">
        <color indexed="64"/>
      </right>
      <top style="thick">
        <color indexed="64"/>
      </top>
      <bottom style="thick">
        <color indexed="64"/>
      </bottom>
      <diagonal/>
    </border>
    <border>
      <left/>
      <right/>
      <top style="medium">
        <color indexed="64"/>
      </top>
      <bottom/>
      <diagonal/>
    </border>
    <border>
      <left/>
      <right style="thin">
        <color indexed="64"/>
      </right>
      <top/>
      <bottom/>
      <diagonal/>
    </border>
    <border>
      <left style="thick">
        <color indexed="50"/>
      </left>
      <right style="thick">
        <color indexed="50"/>
      </right>
      <top style="thick">
        <color indexed="50"/>
      </top>
      <bottom style="thick">
        <color indexed="50"/>
      </bottom>
      <diagonal/>
    </border>
    <border>
      <left style="medium">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style="thin">
        <color indexed="8"/>
      </right>
      <top/>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right/>
      <top style="thin">
        <color indexed="62"/>
      </top>
      <bottom style="double">
        <color indexed="62"/>
      </bottom>
      <diagonal/>
    </border>
    <border>
      <left style="thin">
        <color indexed="64"/>
      </left>
      <right/>
      <top/>
      <bottom style="medium">
        <color indexed="64"/>
      </bottom>
      <diagonal/>
    </border>
    <border>
      <left/>
      <right/>
      <top/>
      <bottom style="thin">
        <color indexed="64"/>
      </bottom>
      <diagonal/>
    </border>
    <border>
      <left/>
      <right/>
      <top/>
      <bottom/>
      <diagonal style="double">
        <color indexed="64"/>
      </diagonal>
    </border>
    <border>
      <left/>
      <right/>
      <top style="hair">
        <color indexed="8"/>
      </top>
      <bottom style="hair">
        <color indexed="8"/>
      </bottom>
      <diagonal/>
    </border>
    <border>
      <left/>
      <right/>
      <top/>
      <bottom style="medium">
        <color indexed="18"/>
      </bottom>
      <diagonal/>
    </border>
    <border>
      <left/>
      <right/>
      <top style="thin">
        <color indexed="22"/>
      </top>
      <bottom style="thin">
        <color indexed="64"/>
      </bottom>
      <diagonal/>
    </border>
    <border>
      <left/>
      <right/>
      <top/>
      <bottom style="thin">
        <color indexed="50"/>
      </bottom>
      <diagonal/>
    </border>
    <border>
      <left/>
      <right/>
      <top style="medium">
        <color indexed="64"/>
      </top>
      <bottom style="thin">
        <color indexed="64"/>
      </bottom>
      <diagonal/>
    </border>
    <border>
      <left style="thin">
        <color indexed="10"/>
      </left>
      <right style="thin">
        <color indexed="10"/>
      </right>
      <top style="thin">
        <color indexed="10"/>
      </top>
      <bottom style="thin">
        <color indexed="10"/>
      </bottom>
      <diagonal/>
    </border>
    <border>
      <left/>
      <right/>
      <top style="thin">
        <color indexed="64"/>
      </top>
      <bottom style="double">
        <color indexed="64"/>
      </bottom>
      <diagonal/>
    </border>
    <border>
      <left/>
      <right style="thin">
        <color indexed="8"/>
      </right>
      <top/>
      <bottom style="thin">
        <color indexed="22"/>
      </bottom>
      <diagonal/>
    </border>
    <border>
      <left style="double">
        <color indexed="64"/>
      </left>
      <right style="thin">
        <color indexed="14"/>
      </right>
      <top/>
      <bottom/>
      <diagonal/>
    </border>
    <border>
      <left/>
      <right style="thin">
        <color indexed="8"/>
      </right>
      <top style="thin">
        <color indexed="8"/>
      </top>
      <bottom/>
      <diagonal/>
    </border>
    <border>
      <left style="thin">
        <color indexed="22"/>
      </left>
      <right style="thin">
        <color indexed="22"/>
      </right>
      <top/>
      <bottom/>
      <diagonal/>
    </border>
    <border>
      <left/>
      <right style="thin">
        <color indexed="8"/>
      </right>
      <top style="thin">
        <color indexed="8"/>
      </top>
      <bottom style="thin">
        <color indexed="8"/>
      </bottom>
      <diagonal/>
    </border>
    <border>
      <left/>
      <right/>
      <top style="thin">
        <color indexed="64"/>
      </top>
      <bottom/>
      <diagonal/>
    </border>
    <border>
      <left style="thick">
        <color indexed="64"/>
      </left>
      <right/>
      <top/>
      <bottom/>
      <diagonal/>
    </border>
    <border>
      <left/>
      <right/>
      <top style="medium">
        <color indexed="63"/>
      </top>
      <bottom style="medium">
        <color indexed="63"/>
      </bottom>
      <diagonal/>
    </border>
    <border>
      <left/>
      <right/>
      <top style="medium">
        <color indexed="59"/>
      </top>
      <bottom style="medium">
        <color indexed="59"/>
      </bottom>
      <diagonal/>
    </border>
    <border>
      <left/>
      <right/>
      <top style="medium">
        <color indexed="62"/>
      </top>
      <bottom/>
      <diagonal/>
    </border>
    <border>
      <left/>
      <right/>
      <top style="dotted">
        <color indexed="63"/>
      </top>
      <bottom/>
      <diagonal/>
    </border>
    <border>
      <left/>
      <right/>
      <top style="thin">
        <color indexed="61"/>
      </top>
      <bottom/>
      <diagonal/>
    </border>
    <border>
      <left/>
      <right/>
      <top style="dotted">
        <color indexed="62"/>
      </top>
      <bottom/>
      <diagonal/>
    </border>
    <border>
      <left/>
      <right/>
      <top style="thin">
        <color indexed="64"/>
      </top>
      <bottom style="medium">
        <color indexed="64"/>
      </bottom>
      <diagonal/>
    </border>
    <border>
      <left/>
      <right/>
      <top/>
      <bottom style="thin">
        <color indexed="22"/>
      </bottom>
      <diagonal/>
    </border>
    <border>
      <left/>
      <right/>
      <top/>
      <bottom style="medium">
        <color rgb="FF808080"/>
      </bottom>
      <diagonal/>
    </border>
    <border>
      <left/>
      <right/>
      <top style="thin">
        <color indexed="23"/>
      </top>
      <bottom style="thin">
        <color theme="0" tint="-0.499984740745262"/>
      </bottom>
      <diagonal/>
    </border>
    <border>
      <left/>
      <right/>
      <top style="medium">
        <color indexed="23"/>
      </top>
      <bottom style="medium">
        <color indexed="23"/>
      </bottom>
      <diagonal/>
    </border>
  </borders>
  <cellStyleXfs count="946">
    <xf numFmtId="0" fontId="0" fillId="0" borderId="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xf numFmtId="37" fontId="20" fillId="13" borderId="0" applyFont="0" applyFill="0" applyBorder="0" applyAlignment="0" applyProtection="0"/>
    <xf numFmtId="3" fontId="20" fillId="13" borderId="0" applyFont="0" applyFill="0" applyBorder="0" applyAlignment="0" applyProtection="0"/>
    <xf numFmtId="226" fontId="21" fillId="0" borderId="19" applyFont="0" applyFill="0" applyBorder="0" applyAlignment="0" applyProtection="0">
      <protection locked="0"/>
    </xf>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4" fontId="20" fillId="0" borderId="0" applyFont="0" applyFill="0" applyBorder="0" applyAlignment="0" applyProtection="0">
      <alignment horizontal="right"/>
    </xf>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17" borderId="0" applyNumberFormat="0" applyBorder="0" applyAlignment="0" applyProtection="0"/>
    <xf numFmtId="0" fontId="22" fillId="20" borderId="0" applyNumberFormat="0" applyBorder="0" applyAlignment="0" applyProtection="0"/>
    <xf numFmtId="0" fontId="22" fillId="23" borderId="0" applyNumberFormat="0" applyBorder="0" applyAlignment="0" applyProtection="0"/>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3" fillId="17" borderId="0" applyNumberFormat="0" applyBorder="0" applyAlignment="0" applyProtection="0">
      <alignment vertical="center"/>
    </xf>
    <xf numFmtId="0" fontId="23" fillId="20" borderId="0" applyNumberFormat="0" applyBorder="0" applyAlignment="0" applyProtection="0">
      <alignment vertical="center"/>
    </xf>
    <xf numFmtId="0" fontId="23" fillId="23"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4" fillId="17" borderId="0" applyNumberFormat="0" applyBorder="0" applyAlignment="0" applyProtection="0">
      <alignment vertical="center"/>
    </xf>
    <xf numFmtId="0" fontId="24" fillId="20" borderId="0" applyNumberFormat="0" applyBorder="0" applyAlignment="0" applyProtection="0">
      <alignment vertical="center"/>
    </xf>
    <xf numFmtId="0" fontId="24" fillId="23"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17" borderId="0" applyNumberFormat="0" applyBorder="0" applyAlignment="0" applyProtection="0">
      <alignment vertical="center"/>
    </xf>
    <xf numFmtId="0" fontId="25" fillId="20"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7" fillId="24"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4"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4"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6" fillId="28"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26" fillId="31" borderId="0" applyNumberFormat="0" applyBorder="0" applyAlignment="0" applyProtection="0"/>
    <xf numFmtId="0" fontId="30" fillId="15" borderId="0" applyNumberFormat="0" applyBorder="0" applyAlignment="0" applyProtection="0"/>
    <xf numFmtId="227" fontId="20" fillId="32" borderId="0" applyNumberFormat="0" applyFont="0" applyBorder="0" applyAlignment="0" applyProtection="0"/>
    <xf numFmtId="183" fontId="2" fillId="0" borderId="0" applyFill="0" applyBorder="0" applyAlignment="0"/>
    <xf numFmtId="0" fontId="31" fillId="33" borderId="20" applyNumberFormat="0" applyAlignment="0" applyProtection="0"/>
    <xf numFmtId="0" fontId="32" fillId="0" borderId="0" applyNumberFormat="0" applyFont="0" applyFill="0" applyBorder="0" applyProtection="0">
      <alignment horizontal="centerContinuous"/>
    </xf>
    <xf numFmtId="3" fontId="19" fillId="0" borderId="0">
      <alignment horizontal="center"/>
      <protection hidden="1"/>
    </xf>
    <xf numFmtId="0" fontId="32" fillId="0" borderId="0" applyNumberFormat="0" applyFont="0" applyFill="0" applyBorder="0" applyProtection="0">
      <alignment horizontal="centerContinuous"/>
    </xf>
    <xf numFmtId="190" fontId="33" fillId="34" borderId="0" applyNumberFormat="0" applyFont="0" applyBorder="0" applyAlignment="0" applyProtection="0"/>
    <xf numFmtId="2" fontId="20" fillId="35" borderId="0" applyNumberFormat="0" applyFont="0" applyBorder="0" applyAlignment="0" applyProtection="0"/>
    <xf numFmtId="0" fontId="34" fillId="36" borderId="21" applyNumberFormat="0" applyAlignment="0" applyProtection="0"/>
    <xf numFmtId="37" fontId="20" fillId="37" borderId="0" applyNumberFormat="0" applyFont="0" applyBorder="0" applyAlignment="0" applyProtection="0"/>
    <xf numFmtId="208" fontId="35" fillId="0" borderId="0"/>
    <xf numFmtId="208" fontId="35" fillId="0" borderId="0"/>
    <xf numFmtId="208" fontId="35" fillId="0" borderId="0"/>
    <xf numFmtId="208" fontId="35" fillId="0" borderId="0"/>
    <xf numFmtId="208" fontId="35" fillId="0" borderId="0"/>
    <xf numFmtId="208" fontId="35" fillId="0" borderId="0"/>
    <xf numFmtId="208" fontId="35" fillId="0" borderId="0"/>
    <xf numFmtId="208" fontId="35" fillId="0" borderId="0"/>
    <xf numFmtId="0" fontId="19" fillId="0" borderId="0" applyFont="0" applyFill="0" applyBorder="0" applyAlignment="0" applyProtection="0"/>
    <xf numFmtId="196" fontId="19" fillId="0" borderId="0"/>
    <xf numFmtId="194" fontId="19" fillId="0" borderId="0" applyFont="0" applyFill="0" applyBorder="0" applyAlignment="0" applyProtection="0"/>
    <xf numFmtId="197" fontId="19" fillId="0" borderId="0"/>
    <xf numFmtId="196" fontId="19" fillId="0" borderId="0" applyFont="0">
      <alignment horizontal="right"/>
    </xf>
    <xf numFmtId="228" fontId="33" fillId="0" borderId="0" applyFont="0">
      <alignment horizontal="right"/>
    </xf>
    <xf numFmtId="229" fontId="19" fillId="0" borderId="0" applyFont="0" applyFill="0" applyBorder="0" applyAlignment="0" applyProtection="0"/>
    <xf numFmtId="0" fontId="20" fillId="38" borderId="22">
      <alignment horizontal="center"/>
      <protection locked="0" hidden="1"/>
    </xf>
    <xf numFmtId="0" fontId="36" fillId="39" borderId="19" applyNumberFormat="0">
      <alignment horizontal="left" vertical="top"/>
      <protection locked="0"/>
    </xf>
    <xf numFmtId="0" fontId="20" fillId="13" borderId="0" applyNumberFormat="0"/>
    <xf numFmtId="189" fontId="20" fillId="13" borderId="0" applyFont="0" applyBorder="0" applyAlignment="0" applyProtection="0"/>
    <xf numFmtId="184" fontId="20" fillId="13" borderId="0" applyFont="0" applyBorder="0" applyAlignment="0" applyProtection="0">
      <alignment horizontal="right"/>
    </xf>
    <xf numFmtId="2" fontId="20" fillId="13" borderId="0" applyFont="0" applyBorder="0" applyAlignment="0" applyProtection="0">
      <alignment horizontal="right"/>
    </xf>
    <xf numFmtId="228" fontId="33" fillId="40" borderId="0" applyFont="0" applyBorder="0" applyAlignment="0" applyProtection="0"/>
    <xf numFmtId="0" fontId="37" fillId="41" borderId="0">
      <alignment horizontal="left"/>
    </xf>
    <xf numFmtId="230" fontId="19" fillId="0" borderId="0" applyFont="0" applyFill="0" applyBorder="0" applyAlignment="0" applyProtection="0"/>
    <xf numFmtId="231" fontId="19" fillId="0" borderId="0" applyFont="0" applyFill="0" applyBorder="0" applyAlignment="0" applyProtection="0"/>
    <xf numFmtId="0" fontId="38" fillId="0" borderId="23" applyNumberFormat="0" applyBorder="0">
      <alignment horizontal="centerContinuous"/>
    </xf>
    <xf numFmtId="195" fontId="19" fillId="0" borderId="0" applyFont="0" applyFill="0" applyBorder="0" applyProtection="0">
      <alignment horizontal="right"/>
    </xf>
    <xf numFmtId="1" fontId="39" fillId="0" borderId="24"/>
    <xf numFmtId="49" fontId="21" fillId="42" borderId="19">
      <alignment vertical="top"/>
      <protection locked="0"/>
    </xf>
    <xf numFmtId="212" fontId="37" fillId="0" borderId="0">
      <protection hidden="1"/>
    </xf>
    <xf numFmtId="0" fontId="21" fillId="0" borderId="24"/>
    <xf numFmtId="0" fontId="40" fillId="0" borderId="0">
      <alignment horizontal="left"/>
    </xf>
    <xf numFmtId="202" fontId="21" fillId="0" borderId="25">
      <protection locked="0"/>
    </xf>
    <xf numFmtId="3" fontId="20" fillId="0" borderId="0">
      <protection hidden="1"/>
    </xf>
    <xf numFmtId="3" fontId="19" fillId="0" borderId="0" applyFont="0" applyFill="0" applyBorder="0" applyAlignment="0" applyProtection="0">
      <protection hidden="1"/>
    </xf>
    <xf numFmtId="189" fontId="19" fillId="0" borderId="0" applyFont="0" applyFill="0" applyBorder="0" applyAlignment="0" applyProtection="0"/>
    <xf numFmtId="232" fontId="19" fillId="0" borderId="0" applyFont="0" applyFill="0" applyBorder="0" applyAlignment="0" applyProtection="0">
      <alignment horizontal="right"/>
    </xf>
    <xf numFmtId="184" fontId="20" fillId="0" borderId="0" applyFont="0" applyFill="0" applyBorder="0" applyAlignment="0" applyProtection="0">
      <protection hidden="1"/>
    </xf>
    <xf numFmtId="233" fontId="20" fillId="0" borderId="0" applyFont="0" applyFill="0" applyBorder="0" applyAlignment="0" applyProtection="0"/>
    <xf numFmtId="186" fontId="19" fillId="0" borderId="26" applyFont="0" applyFill="0" applyBorder="0" applyAlignment="0" applyProtection="0"/>
    <xf numFmtId="2" fontId="20" fillId="0" borderId="0">
      <protection hidden="1"/>
    </xf>
    <xf numFmtId="193" fontId="19" fillId="0" borderId="0" applyFill="0" applyAlignment="0" applyProtection="0"/>
    <xf numFmtId="39" fontId="19" fillId="0" borderId="26" applyFont="0" applyFill="0" applyBorder="0" applyAlignment="0" applyProtection="0"/>
    <xf numFmtId="234" fontId="19" fillId="0" borderId="0">
      <alignment horizontal="center"/>
      <protection hidden="1"/>
    </xf>
    <xf numFmtId="0" fontId="41" fillId="0" borderId="0" applyNumberFormat="0" applyFill="0" applyBorder="0" applyAlignment="0" applyProtection="0"/>
    <xf numFmtId="0" fontId="42" fillId="0" borderId="0" applyNumberFormat="0" applyFill="0" applyBorder="0" applyAlignment="0" applyProtection="0">
      <alignment vertical="top"/>
      <protection locked="0"/>
    </xf>
    <xf numFmtId="0" fontId="21" fillId="0" borderId="27">
      <alignment horizontal="center"/>
      <protection locked="0"/>
    </xf>
    <xf numFmtId="0" fontId="43" fillId="16" borderId="0" applyNumberFormat="0" applyBorder="0" applyAlignment="0" applyProtection="0"/>
    <xf numFmtId="0" fontId="36" fillId="0" borderId="0">
      <protection hidden="1"/>
    </xf>
    <xf numFmtId="0" fontId="44" fillId="0" borderId="28" applyNumberFormat="0" applyAlignment="0" applyProtection="0">
      <alignment horizontal="left" vertical="center"/>
    </xf>
    <xf numFmtId="0" fontId="44" fillId="0" borderId="29">
      <alignment horizontal="left" vertical="center"/>
    </xf>
    <xf numFmtId="0" fontId="45" fillId="0" borderId="30" applyNumberFormat="0" applyFill="0" applyAlignment="0" applyProtection="0"/>
    <xf numFmtId="0" fontId="46" fillId="0" borderId="31" applyNumberFormat="0" applyFill="0" applyAlignment="0" applyProtection="0"/>
    <xf numFmtId="0" fontId="47" fillId="0" borderId="32" applyNumberFormat="0" applyFill="0" applyAlignment="0" applyProtection="0"/>
    <xf numFmtId="0" fontId="47" fillId="0" borderId="0" applyNumberFormat="0" applyFill="0" applyBorder="0" applyAlignment="0" applyProtection="0"/>
    <xf numFmtId="0" fontId="48" fillId="0" borderId="0"/>
    <xf numFmtId="0" fontId="49" fillId="0" borderId="0" applyNumberFormat="0" applyFill="0" applyBorder="0" applyAlignment="0" applyProtection="0">
      <alignment vertical="top"/>
      <protection locked="0"/>
    </xf>
    <xf numFmtId="1" fontId="50" fillId="0" borderId="33"/>
    <xf numFmtId="0" fontId="51" fillId="19" borderId="20" applyNumberFormat="0" applyAlignment="0" applyProtection="0"/>
    <xf numFmtId="227" fontId="20" fillId="43" borderId="19" applyNumberFormat="0" applyFont="0" applyBorder="0" applyAlignment="0">
      <protection locked="0"/>
    </xf>
    <xf numFmtId="3" fontId="20" fillId="44" borderId="19" applyNumberFormat="0" applyFont="0" applyBorder="0" applyAlignment="0">
      <protection locked="0"/>
    </xf>
    <xf numFmtId="227" fontId="20" fillId="45" borderId="19" applyNumberFormat="0" applyFont="0" applyBorder="0" applyAlignment="0">
      <protection locked="0"/>
    </xf>
    <xf numFmtId="3" fontId="20" fillId="46" borderId="19" applyNumberFormat="0" applyFont="0" applyBorder="0" applyAlignment="0">
      <protection locked="0"/>
    </xf>
    <xf numFmtId="0" fontId="52" fillId="0" borderId="0"/>
    <xf numFmtId="37" fontId="20" fillId="47" borderId="0" applyFont="0" applyBorder="0" applyAlignment="0" applyProtection="0"/>
    <xf numFmtId="186" fontId="20" fillId="47" borderId="0" applyFont="0" applyBorder="0" applyAlignment="0" applyProtection="0"/>
    <xf numFmtId="39" fontId="20" fillId="47" borderId="0" applyFont="0" applyBorder="0" applyAlignment="0" applyProtection="0"/>
    <xf numFmtId="0" fontId="53" fillId="0" borderId="34" applyNumberFormat="0" applyFill="0" applyAlignment="0" applyProtection="0"/>
    <xf numFmtId="224" fontId="2" fillId="0" borderId="0" applyFont="0" applyFill="0" applyBorder="0" applyAlignment="0" applyProtection="0"/>
    <xf numFmtId="225" fontId="2" fillId="0" borderId="0" applyFont="0" applyFill="0" applyBorder="0" applyAlignment="0" applyProtection="0"/>
    <xf numFmtId="2" fontId="2" fillId="0" borderId="0" applyFont="0" applyFill="0" applyBorder="0" applyAlignment="0" applyProtection="0"/>
    <xf numFmtId="223" fontId="2" fillId="0" borderId="0" applyFont="0" applyFill="0" applyBorder="0" applyAlignment="0" applyProtection="0"/>
    <xf numFmtId="49" fontId="21" fillId="0" borderId="27" applyAlignment="0">
      <alignment horizontal="left"/>
      <protection locked="0"/>
    </xf>
    <xf numFmtId="203" fontId="21" fillId="0" borderId="27">
      <protection locked="0"/>
    </xf>
    <xf numFmtId="0" fontId="20" fillId="45" borderId="0"/>
    <xf numFmtId="49" fontId="21" fillId="0" borderId="27" applyAlignment="0">
      <alignment horizontal="left"/>
      <protection locked="0"/>
    </xf>
    <xf numFmtId="0" fontId="54" fillId="0" borderId="0"/>
    <xf numFmtId="0" fontId="55" fillId="48" borderId="0" applyNumberFormat="0" applyBorder="0" applyAlignment="0" applyProtection="0"/>
    <xf numFmtId="201" fontId="19" fillId="0" borderId="0"/>
    <xf numFmtId="207" fontId="5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19" fillId="0" borderId="0"/>
    <xf numFmtId="0" fontId="19" fillId="49" borderId="35" applyNumberFormat="0" applyFont="0" applyAlignment="0" applyProtection="0"/>
    <xf numFmtId="202" fontId="19" fillId="0" borderId="0" applyFont="0" applyBorder="0" applyAlignment="0">
      <protection hidden="1"/>
    </xf>
    <xf numFmtId="183" fontId="33" fillId="0" borderId="0" applyFont="0" applyBorder="0" applyAlignment="0" applyProtection="0">
      <alignment horizontal="center"/>
    </xf>
    <xf numFmtId="202" fontId="19" fillId="0" borderId="0">
      <protection hidden="1"/>
    </xf>
    <xf numFmtId="203" fontId="19" fillId="0" borderId="0" applyFont="0" applyFill="0" applyBorder="0" applyAlignment="0">
      <protection hidden="1"/>
    </xf>
    <xf numFmtId="201" fontId="19" fillId="0" borderId="0">
      <protection hidden="1"/>
    </xf>
    <xf numFmtId="0" fontId="19" fillId="0" borderId="0"/>
    <xf numFmtId="0" fontId="19" fillId="0" borderId="0"/>
    <xf numFmtId="0" fontId="58" fillId="33" borderId="36" applyNumberFormat="0" applyAlignment="0" applyProtection="0"/>
    <xf numFmtId="1" fontId="20" fillId="50" borderId="0" applyNumberFormat="0" applyFont="0" applyBorder="0" applyAlignment="0" applyProtection="0"/>
    <xf numFmtId="204" fontId="19" fillId="0" borderId="0">
      <protection hidden="1"/>
    </xf>
    <xf numFmtId="200" fontId="19" fillId="0" borderId="0">
      <protection hidden="1"/>
    </xf>
    <xf numFmtId="184" fontId="2" fillId="0" borderId="0">
      <protection hidden="1"/>
    </xf>
    <xf numFmtId="205" fontId="19" fillId="0" borderId="0">
      <protection hidden="1"/>
    </xf>
    <xf numFmtId="235" fontId="2" fillId="0" borderId="0">
      <protection hidden="1"/>
    </xf>
    <xf numFmtId="188" fontId="2" fillId="0" borderId="0">
      <protection hidden="1"/>
    </xf>
    <xf numFmtId="236" fontId="2" fillId="0" borderId="0">
      <protection hidden="1"/>
    </xf>
    <xf numFmtId="237" fontId="19" fillId="0" borderId="0">
      <protection hidden="1"/>
    </xf>
    <xf numFmtId="238" fontId="2" fillId="0" borderId="19">
      <protection hidden="1"/>
    </xf>
    <xf numFmtId="239" fontId="2" fillId="0" borderId="19">
      <protection hidden="1"/>
    </xf>
    <xf numFmtId="240" fontId="2" fillId="0" borderId="19">
      <protection hidden="1"/>
    </xf>
    <xf numFmtId="209" fontId="59" fillId="0" borderId="0">
      <protection hidden="1"/>
    </xf>
    <xf numFmtId="206" fontId="59" fillId="0" borderId="0"/>
    <xf numFmtId="207" fontId="59" fillId="0" borderId="0"/>
    <xf numFmtId="208" fontId="19" fillId="0" borderId="0"/>
    <xf numFmtId="199" fontId="60" fillId="0" borderId="19">
      <protection locked="0"/>
    </xf>
    <xf numFmtId="206" fontId="19" fillId="0" borderId="19">
      <protection hidden="1"/>
    </xf>
    <xf numFmtId="241" fontId="2" fillId="0" borderId="19">
      <protection hidden="1"/>
    </xf>
    <xf numFmtId="242" fontId="2" fillId="0" borderId="19">
      <protection hidden="1"/>
    </xf>
    <xf numFmtId="209" fontId="59" fillId="0" borderId="0"/>
    <xf numFmtId="210" fontId="19" fillId="0" borderId="0"/>
    <xf numFmtId="211" fontId="19" fillId="0" borderId="0"/>
    <xf numFmtId="191" fontId="2" fillId="0" borderId="0">
      <protection hidden="1"/>
    </xf>
    <xf numFmtId="212" fontId="37" fillId="0" borderId="0"/>
    <xf numFmtId="199" fontId="37" fillId="0" borderId="0"/>
    <xf numFmtId="243" fontId="37" fillId="0" borderId="0"/>
    <xf numFmtId="213" fontId="37" fillId="0" borderId="0"/>
    <xf numFmtId="214" fontId="60" fillId="0" borderId="0"/>
    <xf numFmtId="192" fontId="19" fillId="0" borderId="0" applyNumberFormat="0" applyFont="0" applyFill="0" applyBorder="0" applyAlignment="0"/>
    <xf numFmtId="1" fontId="60" fillId="0" borderId="0">
      <alignment horizontal="center"/>
    </xf>
    <xf numFmtId="1" fontId="61" fillId="0" borderId="27">
      <alignment horizontal="center"/>
      <protection locked="0"/>
    </xf>
    <xf numFmtId="1" fontId="39" fillId="51" borderId="0"/>
    <xf numFmtId="0" fontId="19" fillId="0" borderId="19">
      <alignment vertical="top"/>
    </xf>
    <xf numFmtId="0" fontId="21" fillId="0" borderId="19" applyFont="0">
      <alignment vertical="top"/>
    </xf>
    <xf numFmtId="4" fontId="60" fillId="37" borderId="36" applyNumberFormat="0" applyProtection="0">
      <alignment vertical="center"/>
    </xf>
    <xf numFmtId="4" fontId="62" fillId="37" borderId="36" applyNumberFormat="0" applyProtection="0">
      <alignment vertical="center"/>
    </xf>
    <xf numFmtId="4" fontId="60" fillId="37" borderId="36" applyNumberFormat="0" applyProtection="0">
      <alignment horizontal="left" vertical="center" indent="1"/>
    </xf>
    <xf numFmtId="4" fontId="60" fillId="37" borderId="36" applyNumberFormat="0" applyProtection="0">
      <alignment horizontal="left" vertical="center" indent="1"/>
    </xf>
    <xf numFmtId="0" fontId="19" fillId="38" borderId="36" applyNumberFormat="0" applyProtection="0">
      <alignment horizontal="left" vertical="center" indent="1"/>
    </xf>
    <xf numFmtId="4" fontId="60" fillId="43" borderId="36" applyNumberFormat="0" applyProtection="0">
      <alignment horizontal="right" vertical="center"/>
    </xf>
    <xf numFmtId="4" fontId="60" fillId="52" borderId="36" applyNumberFormat="0" applyProtection="0">
      <alignment horizontal="right" vertical="center"/>
    </xf>
    <xf numFmtId="4" fontId="60" fillId="53" borderId="36" applyNumberFormat="0" applyProtection="0">
      <alignment horizontal="right" vertical="center"/>
    </xf>
    <xf numFmtId="4" fontId="60" fillId="46" borderId="36" applyNumberFormat="0" applyProtection="0">
      <alignment horizontal="right" vertical="center"/>
    </xf>
    <xf numFmtId="4" fontId="60" fillId="54" borderId="36" applyNumberFormat="0" applyProtection="0">
      <alignment horizontal="right" vertical="center"/>
    </xf>
    <xf numFmtId="4" fontId="60" fillId="55" borderId="36" applyNumberFormat="0" applyProtection="0">
      <alignment horizontal="right" vertical="center"/>
    </xf>
    <xf numFmtId="4" fontId="60" fillId="56" borderId="36" applyNumberFormat="0" applyProtection="0">
      <alignment horizontal="right" vertical="center"/>
    </xf>
    <xf numFmtId="4" fontId="60" fillId="57" borderId="36" applyNumberFormat="0" applyProtection="0">
      <alignment horizontal="right" vertical="center"/>
    </xf>
    <xf numFmtId="4" fontId="60" fillId="32" borderId="36" applyNumberFormat="0" applyProtection="0">
      <alignment horizontal="right" vertical="center"/>
    </xf>
    <xf numFmtId="4" fontId="63" fillId="58" borderId="36" applyNumberFormat="0" applyProtection="0">
      <alignment horizontal="left" vertical="center" indent="1"/>
    </xf>
    <xf numFmtId="4" fontId="60" fillId="59" borderId="37" applyNumberFormat="0" applyProtection="0">
      <alignment horizontal="left" vertical="center" indent="1"/>
    </xf>
    <xf numFmtId="4" fontId="64" fillId="60" borderId="0" applyNumberFormat="0" applyProtection="0">
      <alignment horizontal="left" vertical="center" indent="1"/>
    </xf>
    <xf numFmtId="0" fontId="19" fillId="38" borderId="36" applyNumberFormat="0" applyProtection="0">
      <alignment horizontal="left" vertical="center" indent="1"/>
    </xf>
    <xf numFmtId="4" fontId="60" fillId="59" borderId="36" applyNumberFormat="0" applyProtection="0">
      <alignment horizontal="left" vertical="center" indent="1"/>
    </xf>
    <xf numFmtId="4" fontId="60" fillId="61" borderId="36" applyNumberFormat="0" applyProtection="0">
      <alignment horizontal="left" vertical="center" indent="1"/>
    </xf>
    <xf numFmtId="0" fontId="19" fillId="61" borderId="36" applyNumberFormat="0" applyProtection="0">
      <alignment horizontal="left" vertical="center" indent="1"/>
    </xf>
    <xf numFmtId="0" fontId="19" fillId="61" borderId="36" applyNumberFormat="0" applyProtection="0">
      <alignment horizontal="left" vertical="center" indent="1"/>
    </xf>
    <xf numFmtId="0" fontId="19" fillId="62" borderId="36" applyNumberFormat="0" applyProtection="0">
      <alignment horizontal="left" vertical="center" indent="1"/>
    </xf>
    <xf numFmtId="0" fontId="19" fillId="62" borderId="36" applyNumberFormat="0" applyProtection="0">
      <alignment horizontal="left" vertical="center" indent="1"/>
    </xf>
    <xf numFmtId="0" fontId="19" fillId="3" borderId="36" applyNumberFormat="0" applyProtection="0">
      <alignment horizontal="left" vertical="center" indent="1"/>
    </xf>
    <xf numFmtId="0" fontId="19" fillId="3" borderId="36" applyNumberFormat="0" applyProtection="0">
      <alignment horizontal="left" vertical="center" indent="1"/>
    </xf>
    <xf numFmtId="0" fontId="19" fillId="38" borderId="36" applyNumberFormat="0" applyProtection="0">
      <alignment horizontal="left" vertical="center" indent="1"/>
    </xf>
    <xf numFmtId="0" fontId="19" fillId="38" borderId="36" applyNumberFormat="0" applyProtection="0">
      <alignment horizontal="left" vertical="center" indent="1"/>
    </xf>
    <xf numFmtId="4" fontId="60" fillId="35" borderId="36" applyNumberFormat="0" applyProtection="0">
      <alignment vertical="center"/>
    </xf>
    <xf numFmtId="4" fontId="62" fillId="35" borderId="36" applyNumberFormat="0" applyProtection="0">
      <alignment vertical="center"/>
    </xf>
    <xf numFmtId="4" fontId="60" fillId="35" borderId="36" applyNumberFormat="0" applyProtection="0">
      <alignment horizontal="left" vertical="center" indent="1"/>
    </xf>
    <xf numFmtId="4" fontId="60" fillId="35" borderId="36" applyNumberFormat="0" applyProtection="0">
      <alignment horizontal="left" vertical="center" indent="1"/>
    </xf>
    <xf numFmtId="4" fontId="60" fillId="59" borderId="36" applyNumberFormat="0" applyProtection="0">
      <alignment horizontal="right" vertical="center"/>
    </xf>
    <xf numFmtId="4" fontId="62" fillId="59" borderId="36" applyNumberFormat="0" applyProtection="0">
      <alignment horizontal="right" vertical="center"/>
    </xf>
    <xf numFmtId="0" fontId="19" fillId="38" borderId="36" applyNumberFormat="0" applyProtection="0">
      <alignment horizontal="left" vertical="center" indent="1"/>
    </xf>
    <xf numFmtId="0" fontId="19" fillId="38" borderId="36" applyNumberFormat="0" applyProtection="0">
      <alignment horizontal="left" vertical="center" indent="1"/>
    </xf>
    <xf numFmtId="0" fontId="65" fillId="0" borderId="0"/>
    <xf numFmtId="4" fontId="39" fillId="59" borderId="36" applyNumberFormat="0" applyProtection="0">
      <alignment horizontal="right" vertical="center"/>
    </xf>
    <xf numFmtId="215" fontId="59" fillId="0" borderId="0"/>
    <xf numFmtId="201" fontId="21" fillId="0" borderId="27">
      <protection locked="0"/>
    </xf>
    <xf numFmtId="244" fontId="33" fillId="56" borderId="0" applyNumberFormat="0" applyFont="0" applyBorder="0" applyAlignment="0" applyProtection="0"/>
    <xf numFmtId="0" fontId="66" fillId="0" borderId="24" applyFont="0" applyBorder="0" applyProtection="0">
      <alignment horizontal="center"/>
      <protection locked="0"/>
    </xf>
    <xf numFmtId="0" fontId="67" fillId="63" borderId="0">
      <alignment horizontal="center"/>
    </xf>
    <xf numFmtId="0" fontId="68" fillId="0" borderId="0"/>
    <xf numFmtId="0" fontId="69" fillId="0" borderId="0" applyNumberFormat="0" applyFill="0" applyBorder="0" applyAlignment="0" applyProtection="0"/>
    <xf numFmtId="0" fontId="19" fillId="37" borderId="0">
      <alignment horizontal="left"/>
    </xf>
    <xf numFmtId="0" fontId="19" fillId="37" borderId="0">
      <alignment horizontal="left"/>
    </xf>
    <xf numFmtId="0" fontId="37" fillId="37" borderId="0">
      <alignment horizontal="left"/>
    </xf>
    <xf numFmtId="0" fontId="19" fillId="37" borderId="0">
      <alignment horizontal="left"/>
    </xf>
    <xf numFmtId="0" fontId="19" fillId="0" borderId="0">
      <alignment horizontal="left"/>
      <protection hidden="1"/>
    </xf>
    <xf numFmtId="49" fontId="21" fillId="0" borderId="19">
      <alignment vertical="top"/>
      <protection locked="0"/>
    </xf>
    <xf numFmtId="0" fontId="70" fillId="0" borderId="38" applyNumberFormat="0" applyFill="0" applyAlignment="0" applyProtection="0"/>
    <xf numFmtId="1" fontId="20" fillId="39" borderId="0" applyNumberFormat="0" applyFont="0" applyBorder="0" applyAlignment="0" applyProtection="0"/>
    <xf numFmtId="37" fontId="20" fillId="39" borderId="0" applyFont="0" applyBorder="0" applyAlignment="0" applyProtection="0"/>
    <xf numFmtId="186" fontId="20" fillId="39" borderId="0" applyFont="0" applyBorder="0" applyAlignment="0" applyProtection="0"/>
    <xf numFmtId="39" fontId="20" fillId="39" borderId="0" applyFont="0" applyBorder="0" applyAlignment="0" applyProtection="0"/>
    <xf numFmtId="1" fontId="19" fillId="13" borderId="0">
      <alignment horizontal="center"/>
    </xf>
    <xf numFmtId="216" fontId="59" fillId="0" borderId="19">
      <protection locked="0"/>
    </xf>
    <xf numFmtId="211" fontId="21" fillId="0" borderId="27">
      <protection locked="0"/>
    </xf>
    <xf numFmtId="198" fontId="2" fillId="0" borderId="19">
      <protection locked="0"/>
    </xf>
    <xf numFmtId="199" fontId="21" fillId="45" borderId="19" applyFont="0" applyFill="0" applyBorder="0" applyAlignment="0">
      <protection locked="0"/>
    </xf>
    <xf numFmtId="199" fontId="21" fillId="0" borderId="27">
      <protection locked="0"/>
    </xf>
    <xf numFmtId="245" fontId="2" fillId="0" borderId="27">
      <protection locked="0"/>
    </xf>
    <xf numFmtId="49" fontId="21" fillId="0" borderId="19">
      <alignment vertical="top"/>
      <protection locked="0"/>
    </xf>
    <xf numFmtId="222" fontId="33" fillId="0" borderId="27">
      <protection locked="0"/>
    </xf>
    <xf numFmtId="217" fontId="21" fillId="0" borderId="27">
      <protection locked="0"/>
    </xf>
    <xf numFmtId="218" fontId="61" fillId="0" borderId="27">
      <protection locked="0"/>
    </xf>
    <xf numFmtId="214" fontId="61" fillId="0" borderId="27">
      <protection locked="0"/>
    </xf>
    <xf numFmtId="219" fontId="61" fillId="0" borderId="27">
      <protection locked="0"/>
    </xf>
    <xf numFmtId="220" fontId="61" fillId="0" borderId="27">
      <protection locked="0"/>
    </xf>
    <xf numFmtId="49" fontId="21" fillId="0" borderId="27">
      <alignment horizontal="center"/>
      <protection locked="0"/>
    </xf>
    <xf numFmtId="49" fontId="21" fillId="0" borderId="27">
      <protection locked="0"/>
    </xf>
    <xf numFmtId="199" fontId="21" fillId="0" borderId="27">
      <protection locked="0"/>
    </xf>
    <xf numFmtId="221" fontId="21" fillId="0" borderId="27">
      <protection locked="0"/>
    </xf>
    <xf numFmtId="211" fontId="21" fillId="0" borderId="27">
      <protection locked="0"/>
    </xf>
    <xf numFmtId="199" fontId="21" fillId="0" borderId="19">
      <protection locked="0"/>
    </xf>
    <xf numFmtId="196" fontId="21" fillId="0" borderId="19">
      <protection locked="0"/>
    </xf>
    <xf numFmtId="193" fontId="21" fillId="0" borderId="19">
      <protection locked="0"/>
    </xf>
    <xf numFmtId="0" fontId="21" fillId="0" borderId="19">
      <protection locked="0"/>
    </xf>
    <xf numFmtId="219" fontId="61" fillId="0" borderId="27">
      <protection locked="0"/>
    </xf>
    <xf numFmtId="221" fontId="21" fillId="0" borderId="27">
      <protection locked="0"/>
    </xf>
    <xf numFmtId="209" fontId="61" fillId="0" borderId="27">
      <protection locked="0"/>
    </xf>
    <xf numFmtId="49" fontId="21" fillId="0" borderId="27" applyFill="0" applyAlignment="0">
      <alignment horizontal="left"/>
      <protection locked="0"/>
    </xf>
    <xf numFmtId="0" fontId="71" fillId="2" borderId="0" applyNumberFormat="0" applyFont="0" applyBorder="0" applyAlignment="0" applyProtection="0"/>
    <xf numFmtId="0" fontId="72" fillId="0" borderId="0" applyNumberFormat="0" applyFill="0" applyBorder="0" applyAlignment="0" applyProtection="0"/>
    <xf numFmtId="0" fontId="21" fillId="0" borderId="24"/>
    <xf numFmtId="49" fontId="21" fillId="0" borderId="19">
      <protection locked="0"/>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7" fillId="31" borderId="0" applyNumberFormat="0" applyBorder="0" applyAlignment="0" applyProtection="0">
      <alignment vertical="center"/>
    </xf>
    <xf numFmtId="0" fontId="73" fillId="0" borderId="0"/>
    <xf numFmtId="0" fontId="19"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4" fillId="0" borderId="0" applyNumberFormat="0" applyFill="0" applyBorder="0" applyAlignment="0" applyProtection="0">
      <alignment vertical="center"/>
    </xf>
    <xf numFmtId="0" fontId="75" fillId="36" borderId="21" applyNumberFormat="0" applyAlignment="0" applyProtection="0">
      <alignment vertical="center"/>
    </xf>
    <xf numFmtId="0" fontId="76" fillId="48" borderId="0" applyNumberFormat="0" applyBorder="0" applyAlignment="0" applyProtection="0">
      <alignment vertical="center"/>
    </xf>
    <xf numFmtId="0" fontId="77" fillId="49" borderId="35" applyNumberFormat="0" applyFont="0" applyAlignment="0" applyProtection="0">
      <alignment vertical="center"/>
    </xf>
    <xf numFmtId="0" fontId="78" fillId="0" borderId="34" applyNumberFormat="0" applyFill="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8" fillId="31" borderId="0" applyNumberFormat="0" applyBorder="0" applyAlignment="0" applyProtection="0">
      <alignment vertical="center"/>
    </xf>
    <xf numFmtId="0" fontId="80" fillId="0" borderId="0" applyNumberFormat="0" applyFill="0" applyBorder="0" applyAlignment="0" applyProtection="0">
      <alignment vertical="center"/>
    </xf>
    <xf numFmtId="0" fontId="81" fillId="33" borderId="20" applyNumberFormat="0" applyAlignment="0" applyProtection="0">
      <alignment vertical="center"/>
    </xf>
    <xf numFmtId="0" fontId="79" fillId="15" borderId="0" applyNumberFormat="0" applyBorder="0" applyAlignment="0" applyProtection="0">
      <alignment vertical="center"/>
    </xf>
    <xf numFmtId="0" fontId="73" fillId="0" borderId="19"/>
    <xf numFmtId="0" fontId="91" fillId="15" borderId="0" applyNumberFormat="0" applyBorder="0" applyAlignment="0" applyProtection="0">
      <alignment vertical="center"/>
    </xf>
    <xf numFmtId="0" fontId="82" fillId="0" borderId="0" applyNumberFormat="0" applyFill="0" applyBorder="0" applyAlignment="0" applyProtection="0">
      <alignment vertical="center"/>
    </xf>
    <xf numFmtId="0" fontId="83" fillId="33" borderId="20" applyNumberFormat="0" applyAlignment="0" applyProtection="0">
      <alignment vertical="center"/>
    </xf>
    <xf numFmtId="0" fontId="84" fillId="0" borderId="0" applyNumberFormat="0" applyFill="0" applyBorder="0" applyAlignment="0" applyProtection="0">
      <alignment vertical="center"/>
    </xf>
    <xf numFmtId="0" fontId="85" fillId="0" borderId="0" applyNumberFormat="0" applyFill="0" applyBorder="0" applyAlignment="0" applyProtection="0">
      <alignment vertical="center"/>
    </xf>
    <xf numFmtId="185" fontId="2" fillId="0" borderId="39"/>
    <xf numFmtId="40" fontId="2" fillId="0" borderId="39"/>
    <xf numFmtId="0" fontId="86" fillId="0" borderId="30" applyNumberFormat="0" applyFill="0" applyAlignment="0" applyProtection="0">
      <alignment vertical="center"/>
    </xf>
    <xf numFmtId="0" fontId="87" fillId="0" borderId="31" applyNumberFormat="0" applyFill="0" applyAlignment="0" applyProtection="0">
      <alignment vertical="center"/>
    </xf>
    <xf numFmtId="0" fontId="88" fillId="0" borderId="32" applyNumberFormat="0" applyFill="0" applyAlignment="0" applyProtection="0">
      <alignment vertical="center"/>
    </xf>
    <xf numFmtId="0" fontId="88" fillId="0" borderId="0" applyNumberFormat="0" applyFill="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90" fillId="15" borderId="0" applyNumberFormat="0" applyBorder="0" applyAlignment="0" applyProtection="0">
      <alignment vertical="center"/>
    </xf>
    <xf numFmtId="0" fontId="92" fillId="0" borderId="38" applyNumberFormat="0" applyFill="0" applyAlignment="0" applyProtection="0">
      <alignment vertical="center"/>
    </xf>
    <xf numFmtId="0" fontId="93" fillId="33" borderId="36" applyNumberFormat="0" applyAlignment="0" applyProtection="0">
      <alignment vertical="center"/>
    </xf>
    <xf numFmtId="0" fontId="94" fillId="0" borderId="0" applyNumberFormat="0" applyFill="0" applyBorder="0" applyAlignment="0" applyProtection="0">
      <alignment vertical="center"/>
    </xf>
    <xf numFmtId="0" fontId="2" fillId="49" borderId="35" applyNumberFormat="0" applyFont="0" applyAlignment="0" applyProtection="0">
      <alignment vertical="center"/>
    </xf>
    <xf numFmtId="0" fontId="95" fillId="19" borderId="20" applyNumberFormat="0" applyAlignment="0" applyProtection="0">
      <alignment vertical="center"/>
    </xf>
    <xf numFmtId="0" fontId="96" fillId="1" borderId="40"/>
    <xf numFmtId="0" fontId="2" fillId="49" borderId="35" applyNumberFormat="0" applyFont="0" applyAlignment="0" applyProtection="0">
      <alignment vertical="center"/>
    </xf>
    <xf numFmtId="0" fontId="97" fillId="0" borderId="0"/>
    <xf numFmtId="0" fontId="98" fillId="16" borderId="0" applyNumberFormat="0" applyBorder="0" applyAlignment="0" applyProtection="0">
      <alignment vertical="center"/>
    </xf>
    <xf numFmtId="0" fontId="99" fillId="48" borderId="0" applyNumberFormat="0" applyBorder="0" applyAlignment="0" applyProtection="0">
      <alignment vertical="center"/>
    </xf>
    <xf numFmtId="0" fontId="100" fillId="0" borderId="0" applyNumberFormat="0" applyFill="0" applyBorder="0" applyAlignment="0" applyProtection="0">
      <alignment vertical="center"/>
    </xf>
    <xf numFmtId="0" fontId="101" fillId="36" borderId="21" applyNumberFormat="0" applyAlignment="0" applyProtection="0">
      <alignment vertical="center"/>
    </xf>
    <xf numFmtId="0" fontId="102" fillId="0" borderId="34" applyNumberFormat="0" applyFill="0" applyAlignment="0" applyProtection="0">
      <alignment vertical="center"/>
    </xf>
    <xf numFmtId="0" fontId="103" fillId="0" borderId="38" applyNumberFormat="0" applyFill="0" applyAlignment="0" applyProtection="0">
      <alignment vertical="center"/>
    </xf>
    <xf numFmtId="0" fontId="104" fillId="19" borderId="20" applyNumberFormat="0" applyAlignment="0" applyProtection="0">
      <alignment vertical="center"/>
    </xf>
    <xf numFmtId="0" fontId="105" fillId="0" borderId="0" applyNumberFormat="0" applyFill="0" applyBorder="0" applyAlignment="0" applyProtection="0">
      <alignment vertical="center"/>
    </xf>
    <xf numFmtId="0" fontId="106" fillId="0" borderId="30" applyNumberFormat="0" applyFill="0" applyAlignment="0" applyProtection="0">
      <alignment vertical="center"/>
    </xf>
    <xf numFmtId="0" fontId="107" fillId="0" borderId="31" applyNumberFormat="0" applyFill="0" applyAlignment="0" applyProtection="0">
      <alignment vertical="center"/>
    </xf>
    <xf numFmtId="0" fontId="108" fillId="0" borderId="32" applyNumberFormat="0" applyFill="0" applyAlignment="0" applyProtection="0">
      <alignment vertical="center"/>
    </xf>
    <xf numFmtId="0" fontId="108" fillId="0" borderId="0" applyNumberFormat="0" applyFill="0" applyBorder="0" applyAlignment="0" applyProtection="0">
      <alignment vertical="center"/>
    </xf>
    <xf numFmtId="0" fontId="109" fillId="16" borderId="0" applyNumberFormat="0" applyBorder="0" applyAlignment="0" applyProtection="0">
      <alignment vertical="center"/>
    </xf>
    <xf numFmtId="0" fontId="110" fillId="33" borderId="36" applyNumberFormat="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9" fillId="31" borderId="0" applyNumberFormat="0" applyBorder="0" applyAlignment="0" applyProtection="0">
      <alignment vertical="center"/>
    </xf>
    <xf numFmtId="0" fontId="111" fillId="0" borderId="0" applyNumberFormat="0" applyFill="0" applyBorder="0" applyAlignment="0" applyProtection="0">
      <alignment vertical="center"/>
    </xf>
    <xf numFmtId="0" fontId="112" fillId="0" borderId="30" applyNumberFormat="0" applyFill="0" applyAlignment="0" applyProtection="0">
      <alignment vertical="center"/>
    </xf>
    <xf numFmtId="0" fontId="113" fillId="0" borderId="31" applyNumberFormat="0" applyFill="0" applyAlignment="0" applyProtection="0">
      <alignment vertical="center"/>
    </xf>
    <xf numFmtId="0" fontId="114" fillId="0" borderId="32" applyNumberFormat="0" applyFill="0" applyAlignment="0" applyProtection="0">
      <alignment vertical="center"/>
    </xf>
    <xf numFmtId="0" fontId="114" fillId="0" borderId="0" applyNumberFormat="0" applyFill="0" applyBorder="0" applyAlignment="0" applyProtection="0">
      <alignment vertical="center"/>
    </xf>
    <xf numFmtId="0" fontId="19" fillId="0" borderId="0"/>
    <xf numFmtId="0" fontId="115" fillId="36" borderId="21" applyNumberFormat="0" applyAlignment="0" applyProtection="0">
      <alignment vertical="center"/>
    </xf>
    <xf numFmtId="0" fontId="116" fillId="0" borderId="38" applyNumberFormat="0" applyFill="0" applyAlignment="0" applyProtection="0">
      <alignment vertical="center"/>
    </xf>
    <xf numFmtId="0" fontId="117" fillId="33" borderId="20" applyNumberFormat="0" applyAlignment="0" applyProtection="0">
      <alignment vertical="center"/>
    </xf>
    <xf numFmtId="0" fontId="118" fillId="33" borderId="36" applyNumberFormat="0" applyAlignment="0" applyProtection="0">
      <alignment vertical="center"/>
    </xf>
    <xf numFmtId="0" fontId="119" fillId="19" borderId="20" applyNumberFormat="0" applyAlignment="0" applyProtection="0">
      <alignment vertical="center"/>
    </xf>
    <xf numFmtId="0" fontId="120" fillId="48" borderId="0" applyNumberFormat="0" applyBorder="0" applyAlignment="0" applyProtection="0">
      <alignment vertical="center"/>
    </xf>
    <xf numFmtId="0" fontId="121" fillId="0" borderId="34" applyNumberFormat="0" applyFill="0" applyAlignment="0" applyProtection="0">
      <alignment vertical="center"/>
    </xf>
    <xf numFmtId="0" fontId="19" fillId="0" borderId="0"/>
    <xf numFmtId="0" fontId="2" fillId="0" borderId="0"/>
    <xf numFmtId="0" fontId="19" fillId="0" borderId="0"/>
    <xf numFmtId="246" fontId="123" fillId="0" borderId="0"/>
    <xf numFmtId="0" fontId="125" fillId="0" borderId="0"/>
    <xf numFmtId="247" fontId="19" fillId="0" borderId="0" applyFont="0" applyFill="0" applyBorder="0" applyAlignment="0" applyProtection="0"/>
    <xf numFmtId="248"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26" fillId="0" borderId="0" applyNumberFormat="0" applyFill="0" applyBorder="0" applyAlignment="0" applyProtection="0">
      <alignment vertical="top"/>
      <protection locked="0"/>
    </xf>
    <xf numFmtId="0" fontId="19" fillId="0" borderId="0" applyFont="0" applyFill="0" applyBorder="0" applyAlignment="0" applyProtection="0"/>
    <xf numFmtId="0" fontId="19" fillId="0" borderId="0"/>
    <xf numFmtId="249" fontId="19" fillId="0" borderId="0" applyFont="0" applyFill="0" applyBorder="0" applyAlignment="0" applyProtection="0"/>
    <xf numFmtId="250" fontId="19" fillId="0" borderId="0" applyFont="0" applyFill="0" applyBorder="0" applyAlignment="0" applyProtection="0"/>
    <xf numFmtId="0" fontId="127" fillId="0" borderId="0"/>
    <xf numFmtId="0" fontId="60" fillId="0" borderId="0">
      <alignment vertical="top"/>
    </xf>
    <xf numFmtId="0" fontId="60" fillId="0" borderId="0">
      <alignment vertical="top"/>
    </xf>
    <xf numFmtId="0" fontId="19" fillId="0" borderId="0" applyFont="0" applyFill="0" applyBorder="0" applyAlignment="0" applyProtection="0"/>
    <xf numFmtId="0" fontId="19" fillId="0" borderId="0" applyFont="0" applyFill="0" applyBorder="0" applyAlignment="0" applyProtection="0"/>
    <xf numFmtId="0" fontId="20" fillId="0" borderId="0"/>
    <xf numFmtId="0" fontId="60" fillId="0" borderId="0">
      <alignment vertical="top"/>
    </xf>
    <xf numFmtId="0" fontId="20" fillId="0" borderId="0"/>
    <xf numFmtId="0" fontId="20" fillId="0" borderId="0"/>
    <xf numFmtId="0" fontId="19" fillId="0" borderId="0"/>
    <xf numFmtId="0" fontId="19" fillId="0" borderId="0"/>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60" fillId="0" borderId="0">
      <alignment vertical="top"/>
    </xf>
    <xf numFmtId="0" fontId="19" fillId="0" borderId="0"/>
    <xf numFmtId="251" fontId="19" fillId="0" borderId="0" applyFont="0" applyFill="0" applyBorder="0" applyAlignment="0" applyProtection="0"/>
    <xf numFmtId="186" fontId="19" fillId="0" borderId="0" applyFont="0" applyFill="0" applyBorder="0" applyAlignment="0" applyProtection="0"/>
    <xf numFmtId="0" fontId="20" fillId="0" borderId="0"/>
    <xf numFmtId="252" fontId="19" fillId="0" borderId="0" applyFont="0" applyFill="0" applyBorder="0" applyAlignment="0" applyProtection="0"/>
    <xf numFmtId="253" fontId="128" fillId="0" borderId="0" applyFont="0" applyFill="0" applyBorder="0" applyAlignment="0" applyProtection="0"/>
    <xf numFmtId="252" fontId="19" fillId="0" borderId="0" applyFont="0" applyFill="0" applyBorder="0" applyAlignment="0" applyProtection="0"/>
    <xf numFmtId="252" fontId="19" fillId="0" borderId="0" applyFont="0" applyFill="0" applyBorder="0" applyAlignment="0" applyProtection="0"/>
    <xf numFmtId="254" fontId="19" fillId="0" borderId="0" applyFont="0" applyFill="0" applyBorder="0" applyAlignment="0" applyProtection="0"/>
    <xf numFmtId="254" fontId="19" fillId="0" borderId="0" applyFont="0" applyFill="0" applyBorder="0" applyAlignment="0" applyProtection="0"/>
    <xf numFmtId="254" fontId="19" fillId="0" borderId="0" applyFont="0" applyFill="0" applyBorder="0" applyAlignment="0" applyProtection="0"/>
    <xf numFmtId="253" fontId="19" fillId="0" borderId="0" applyFont="0" applyFill="0" applyBorder="0" applyAlignment="0" applyProtection="0"/>
    <xf numFmtId="253" fontId="19" fillId="0" borderId="0" applyFont="0" applyFill="0" applyBorder="0" applyAlignment="0" applyProtection="0"/>
    <xf numFmtId="255" fontId="19" fillId="0" borderId="0" applyFont="0" applyFill="0" applyBorder="0" applyAlignment="0" applyProtection="0"/>
    <xf numFmtId="39" fontId="19" fillId="0" borderId="0" applyFont="0" applyFill="0" applyBorder="0" applyAlignment="0" applyProtection="0"/>
    <xf numFmtId="0" fontId="19" fillId="0" borderId="0" applyFont="0" applyFill="0" applyBorder="0" applyAlignment="0" applyProtection="0"/>
    <xf numFmtId="187" fontId="59" fillId="0" borderId="0" applyNumberFormat="0" applyFont="0" applyFill="0" applyBorder="0" applyAlignment="0">
      <alignment horizontal="right"/>
    </xf>
    <xf numFmtId="0" fontId="19" fillId="0" borderId="0"/>
    <xf numFmtId="0" fontId="129" fillId="0" borderId="41" quotePrefix="1">
      <alignment horizontal="justify" vertical="justify" textRotation="255" wrapText="1" justifyLastLine="1"/>
      <protection hidden="1"/>
    </xf>
    <xf numFmtId="0" fontId="19" fillId="0" borderId="0"/>
    <xf numFmtId="0" fontId="129" fillId="0" borderId="41" quotePrefix="1">
      <alignment horizontal="justify" vertical="justify" textRotation="255" wrapText="1" justifyLastLine="1"/>
      <protection hidden="1"/>
    </xf>
    <xf numFmtId="256" fontId="19" fillId="0" borderId="0" applyFont="0" applyFill="0" applyBorder="0" applyAlignment="0" applyProtection="0"/>
    <xf numFmtId="0" fontId="20" fillId="0" borderId="0"/>
    <xf numFmtId="0" fontId="20" fillId="0" borderId="0"/>
    <xf numFmtId="0" fontId="130" fillId="0" borderId="0" applyNumberFormat="0" applyFill="0" applyBorder="0" applyAlignment="0" applyProtection="0"/>
    <xf numFmtId="0" fontId="130" fillId="0" borderId="0" applyNumberFormat="0" applyFill="0" applyBorder="0" applyAlignment="0" applyProtection="0"/>
    <xf numFmtId="0" fontId="130" fillId="0" borderId="0" applyNumberFormat="0" applyFill="0" applyBorder="0" applyAlignment="0" applyProtection="0"/>
    <xf numFmtId="0" fontId="130" fillId="0" borderId="0" applyNumberFormat="0" applyFill="0" applyBorder="0" applyAlignment="0" applyProtection="0"/>
    <xf numFmtId="0" fontId="130" fillId="0" borderId="0" applyNumberFormat="0" applyFill="0" applyBorder="0" applyAlignment="0" applyProtection="0"/>
    <xf numFmtId="0" fontId="130" fillId="0" borderId="0" applyNumberFormat="0" applyFill="0" applyBorder="0" applyAlignment="0" applyProtection="0"/>
    <xf numFmtId="0" fontId="19" fillId="48" borderId="0" applyNumberFormat="0" applyFont="0" applyAlignment="0" applyProtection="0"/>
    <xf numFmtId="0" fontId="19" fillId="0" borderId="0"/>
    <xf numFmtId="0" fontId="60" fillId="0" borderId="0">
      <alignment vertical="top"/>
    </xf>
    <xf numFmtId="257" fontId="19" fillId="0" borderId="0" applyFont="0" applyFill="0" applyBorder="0" applyAlignment="0" applyProtection="0"/>
    <xf numFmtId="258" fontId="19" fillId="0" borderId="0" applyFont="0" applyFill="0" applyBorder="0" applyAlignment="0" applyProtection="0"/>
    <xf numFmtId="259" fontId="19" fillId="0" borderId="0" applyFont="0" applyFill="0" applyBorder="0" applyProtection="0">
      <alignment horizontal="right"/>
    </xf>
    <xf numFmtId="260" fontId="19" fillId="0" borderId="0" applyFont="0" applyFill="0" applyBorder="0" applyAlignment="0" applyProtection="0"/>
    <xf numFmtId="261" fontId="19" fillId="0" borderId="0" applyFont="0" applyFill="0" applyBorder="0" applyAlignment="0" applyProtection="0"/>
    <xf numFmtId="262" fontId="19" fillId="0" borderId="0" applyFont="0" applyFill="0" applyBorder="0" applyAlignment="0" applyProtection="0"/>
    <xf numFmtId="0" fontId="60" fillId="0" borderId="0">
      <alignment vertical="top"/>
    </xf>
    <xf numFmtId="0" fontId="60" fillId="0" borderId="0">
      <alignment vertical="top"/>
    </xf>
    <xf numFmtId="0" fontId="60" fillId="0" borderId="0">
      <alignment vertical="top"/>
    </xf>
    <xf numFmtId="0" fontId="20" fillId="0" borderId="0"/>
    <xf numFmtId="0" fontId="60" fillId="0" borderId="0">
      <alignment vertical="top"/>
    </xf>
    <xf numFmtId="0" fontId="131" fillId="0" borderId="0" applyNumberFormat="0" applyFill="0" applyBorder="0" applyProtection="0">
      <alignment vertical="top"/>
    </xf>
    <xf numFmtId="0" fontId="131" fillId="0" borderId="0" applyNumberFormat="0" applyFill="0" applyBorder="0" applyProtection="0">
      <alignment vertical="top"/>
    </xf>
    <xf numFmtId="0" fontId="131" fillId="0" borderId="0" applyNumberFormat="0" applyFill="0" applyBorder="0" applyProtection="0">
      <alignment vertical="top"/>
    </xf>
    <xf numFmtId="0" fontId="131" fillId="0" borderId="0" applyNumberFormat="0" applyFill="0" applyBorder="0" applyProtection="0">
      <alignment vertical="top"/>
    </xf>
    <xf numFmtId="0" fontId="131" fillId="0" borderId="0" applyNumberFormat="0" applyFill="0" applyBorder="0" applyProtection="0">
      <alignment vertical="top"/>
    </xf>
    <xf numFmtId="0" fontId="131" fillId="0" borderId="0" applyNumberFormat="0" applyFill="0" applyBorder="0" applyProtection="0">
      <alignment vertical="top"/>
    </xf>
    <xf numFmtId="0" fontId="132" fillId="0" borderId="42" applyNumberFormat="0" applyFill="0" applyAlignment="0" applyProtection="0"/>
    <xf numFmtId="0" fontId="132" fillId="0" borderId="42" applyNumberFormat="0" applyFill="0" applyAlignment="0" applyProtection="0"/>
    <xf numFmtId="0" fontId="132" fillId="0" borderId="42" applyNumberFormat="0" applyFill="0" applyAlignment="0" applyProtection="0"/>
    <xf numFmtId="0" fontId="132" fillId="0" borderId="42" applyNumberFormat="0" applyFill="0" applyAlignment="0" applyProtection="0"/>
    <xf numFmtId="0" fontId="132" fillId="0" borderId="42" applyNumberFormat="0" applyFill="0" applyAlignment="0" applyProtection="0"/>
    <xf numFmtId="0" fontId="133" fillId="0" borderId="43" applyNumberFormat="0" applyFill="0" applyProtection="0">
      <alignment horizontal="center"/>
    </xf>
    <xf numFmtId="0" fontId="133" fillId="0" borderId="43" applyNumberFormat="0" applyFill="0" applyProtection="0">
      <alignment horizontal="center"/>
    </xf>
    <xf numFmtId="0" fontId="133" fillId="0" borderId="43" applyNumberFormat="0" applyFill="0" applyProtection="0">
      <alignment horizontal="center"/>
    </xf>
    <xf numFmtId="0" fontId="133" fillId="0" borderId="43" applyNumberFormat="0" applyFill="0" applyProtection="0">
      <alignment horizontal="center"/>
    </xf>
    <xf numFmtId="0" fontId="133" fillId="0" borderId="43" applyNumberFormat="0" applyFill="0" applyProtection="0">
      <alignment horizontal="center"/>
    </xf>
    <xf numFmtId="0" fontId="133" fillId="0" borderId="0" applyNumberFormat="0" applyFill="0" applyBorder="0" applyProtection="0">
      <alignment horizontal="left"/>
    </xf>
    <xf numFmtId="0" fontId="133" fillId="0" borderId="0" applyNumberFormat="0" applyFill="0" applyBorder="0" applyProtection="0">
      <alignment horizontal="left"/>
    </xf>
    <xf numFmtId="0" fontId="133" fillId="0" borderId="0" applyNumberFormat="0" applyFill="0" applyBorder="0" applyProtection="0">
      <alignment horizontal="left"/>
    </xf>
    <xf numFmtId="0" fontId="133" fillId="0" borderId="0" applyNumberFormat="0" applyFill="0" applyBorder="0" applyProtection="0">
      <alignment horizontal="left"/>
    </xf>
    <xf numFmtId="0" fontId="133" fillId="0" borderId="0" applyNumberFormat="0" applyFill="0" applyBorder="0" applyProtection="0">
      <alignment horizontal="left"/>
    </xf>
    <xf numFmtId="0" fontId="134" fillId="0" borderId="0" applyNumberFormat="0" applyFill="0" applyBorder="0" applyProtection="0">
      <alignment horizontal="centerContinuous"/>
    </xf>
    <xf numFmtId="0" fontId="134" fillId="0" borderId="0" applyNumberFormat="0" applyFill="0" applyBorder="0" applyProtection="0">
      <alignment horizontal="centerContinuous"/>
    </xf>
    <xf numFmtId="0" fontId="134" fillId="0" borderId="0" applyNumberFormat="0" applyFill="0" applyBorder="0" applyProtection="0">
      <alignment horizontal="centerContinuous"/>
    </xf>
    <xf numFmtId="0" fontId="134" fillId="0" borderId="0" applyNumberFormat="0" applyFill="0" applyBorder="0" applyProtection="0">
      <alignment horizontal="centerContinuous"/>
    </xf>
    <xf numFmtId="0" fontId="134" fillId="0" borderId="0" applyNumberFormat="0" applyFill="0" applyBorder="0" applyProtection="0">
      <alignment horizontal="centerContinuous"/>
    </xf>
    <xf numFmtId="0" fontId="134" fillId="0" borderId="0" applyNumberFormat="0" applyFill="0" applyBorder="0" applyProtection="0">
      <alignment horizontal="centerContinuous"/>
    </xf>
    <xf numFmtId="0" fontId="20" fillId="0" borderId="0"/>
    <xf numFmtId="0" fontId="19" fillId="0" borderId="0"/>
    <xf numFmtId="0" fontId="60" fillId="0" borderId="0">
      <alignment vertical="top"/>
    </xf>
    <xf numFmtId="0" fontId="60" fillId="0" borderId="0">
      <alignment vertical="top"/>
    </xf>
    <xf numFmtId="0" fontId="20" fillId="0" borderId="0"/>
    <xf numFmtId="0" fontId="60" fillId="0" borderId="0">
      <alignment vertical="top"/>
    </xf>
    <xf numFmtId="0" fontId="60" fillId="0" borderId="0">
      <alignment vertical="top"/>
    </xf>
    <xf numFmtId="0" fontId="19" fillId="0" borderId="0"/>
    <xf numFmtId="8" fontId="135" fillId="0" borderId="0" applyFont="0" applyFill="0" applyBorder="0" applyAlignment="0" applyProtection="0"/>
    <xf numFmtId="6" fontId="135" fillId="0" borderId="0" applyFont="0" applyFill="0" applyBorder="0" applyAlignment="0" applyProtection="0"/>
    <xf numFmtId="0" fontId="136" fillId="0" borderId="0"/>
    <xf numFmtId="0" fontId="59" fillId="0" borderId="29" applyNumberFormat="0" applyFont="0" applyAlignment="0">
      <alignment vertical="center"/>
    </xf>
    <xf numFmtId="0" fontId="137" fillId="0" borderId="0" applyFill="0" applyBorder="0">
      <alignment vertical="center"/>
    </xf>
    <xf numFmtId="263" fontId="32" fillId="0" borderId="0" applyFill="0" applyBorder="0">
      <alignment horizontal="right" vertical="center"/>
    </xf>
    <xf numFmtId="263" fontId="59" fillId="0" borderId="0" applyFill="0" applyBorder="0">
      <alignment horizontal="right" vertical="center"/>
    </xf>
    <xf numFmtId="176" fontId="59" fillId="0" borderId="0" applyFill="0" applyBorder="0">
      <alignment horizontal="right" vertical="center"/>
    </xf>
    <xf numFmtId="0" fontId="32" fillId="0" borderId="29" applyFill="0" applyBorder="0">
      <alignment vertical="center"/>
    </xf>
    <xf numFmtId="1" fontId="122" fillId="0" borderId="0">
      <alignment horizontal="right"/>
    </xf>
    <xf numFmtId="49" fontId="138" fillId="39" borderId="24" applyNumberFormat="0" applyFont="0" applyBorder="0" applyAlignment="0">
      <alignment vertical="center"/>
    </xf>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264" fontId="139" fillId="16"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17" fillId="14"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7" fillId="18" borderId="0" applyNumberFormat="0" applyBorder="0" applyAlignment="0" applyProtection="0">
      <alignment vertical="center"/>
    </xf>
    <xf numFmtId="0" fontId="17" fillId="19" borderId="0" applyNumberFormat="0" applyBorder="0" applyAlignment="0" applyProtection="0">
      <alignment vertical="center"/>
    </xf>
    <xf numFmtId="265" fontId="124" fillId="0" borderId="0"/>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17" borderId="0" applyNumberFormat="0" applyBorder="0" applyAlignment="0" applyProtection="0"/>
    <xf numFmtId="0" fontId="22" fillId="20" borderId="0" applyNumberFormat="0" applyBorder="0" applyAlignment="0" applyProtection="0"/>
    <xf numFmtId="0" fontId="22" fillId="23" borderId="0" applyNumberFormat="0" applyBorder="0" applyAlignment="0" applyProtection="0"/>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7" fillId="22" borderId="0" applyNumberFormat="0" applyBorder="0" applyAlignment="0" applyProtection="0">
      <alignment vertical="center"/>
    </xf>
    <xf numFmtId="0" fontId="17" fillId="17"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26" fillId="24"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8" fillId="24"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7" borderId="0" applyNumberFormat="0" applyBorder="0" applyAlignment="0" applyProtection="0">
      <alignment vertical="center"/>
    </xf>
    <xf numFmtId="2" fontId="140" fillId="0" borderId="0" applyNumberFormat="0" applyFill="0" applyBorder="0" applyAlignment="0">
      <protection locked="0"/>
    </xf>
    <xf numFmtId="266" fontId="141" fillId="0" borderId="0"/>
    <xf numFmtId="267" fontId="62" fillId="0" borderId="0" applyNumberFormat="0" applyBorder="0" applyAlignment="0" applyProtection="0"/>
    <xf numFmtId="268" fontId="21" fillId="13" borderId="0" applyNumberFormat="0" applyBorder="0" applyAlignment="0" applyProtection="0"/>
    <xf numFmtId="0" fontId="142" fillId="37" borderId="0"/>
    <xf numFmtId="0" fontId="143" fillId="0" borderId="0">
      <alignment horizontal="center" vertical="center"/>
      <protection hidden="1"/>
    </xf>
    <xf numFmtId="0" fontId="144" fillId="0" borderId="44">
      <protection hidden="1"/>
    </xf>
    <xf numFmtId="269" fontId="145" fillId="65" borderId="35">
      <alignment horizontal="center" vertical="center"/>
      <protection hidden="1"/>
    </xf>
    <xf numFmtId="269" fontId="146" fillId="66" borderId="35">
      <alignment horizontal="left" vertical="center" indent="2"/>
    </xf>
    <xf numFmtId="0" fontId="147" fillId="0" borderId="0" applyNumberFormat="0" applyFill="0" applyBorder="0" applyProtection="0">
      <alignment vertical="top"/>
    </xf>
    <xf numFmtId="0" fontId="148" fillId="35" borderId="0">
      <alignment horizontal="center"/>
    </xf>
    <xf numFmtId="233" fontId="146" fillId="67" borderId="35">
      <alignment horizontal="center" vertical="center"/>
      <protection locked="0"/>
    </xf>
    <xf numFmtId="0" fontId="43" fillId="16" borderId="0" applyNumberFormat="0" applyBorder="0" applyAlignment="0" applyProtection="0"/>
    <xf numFmtId="0" fontId="129" fillId="0" borderId="41" quotePrefix="1">
      <alignment horizontal="justify" vertical="justify" textRotation="255" wrapText="1" justifyLastLine="1"/>
      <protection hidden="1"/>
    </xf>
    <xf numFmtId="0" fontId="149" fillId="0" borderId="0"/>
    <xf numFmtId="0" fontId="150" fillId="0" borderId="0">
      <alignment horizontal="right"/>
    </xf>
    <xf numFmtId="0" fontId="151" fillId="0" borderId="0"/>
    <xf numFmtId="0" fontId="152" fillId="0" borderId="0"/>
    <xf numFmtId="0" fontId="153" fillId="0" borderId="0"/>
    <xf numFmtId="0" fontId="154" fillId="0" borderId="45" applyNumberFormat="0" applyAlignment="0"/>
    <xf numFmtId="0" fontId="137" fillId="0" borderId="0" applyAlignment="0">
      <alignment horizontal="left"/>
    </xf>
    <xf numFmtId="0" fontId="137" fillId="0" borderId="0">
      <alignment horizontal="right"/>
    </xf>
    <xf numFmtId="176" fontId="137" fillId="0" borderId="0">
      <alignment horizontal="right"/>
    </xf>
    <xf numFmtId="184" fontId="155" fillId="0" borderId="0">
      <alignment horizontal="right"/>
    </xf>
    <xf numFmtId="0" fontId="156" fillId="0" borderId="0"/>
    <xf numFmtId="0" fontId="157" fillId="0" borderId="0" applyNumberFormat="0" applyFill="0" applyBorder="0" applyAlignment="0" applyProtection="0"/>
    <xf numFmtId="0" fontId="158" fillId="0" borderId="0" applyNumberFormat="0" applyFill="0" applyBorder="0" applyAlignment="0" applyProtection="0"/>
    <xf numFmtId="0" fontId="159" fillId="0" borderId="0" applyFill="0" applyBorder="0" applyAlignment="0"/>
    <xf numFmtId="0" fontId="159" fillId="0" borderId="0" applyFill="0" applyBorder="0" applyAlignment="0"/>
    <xf numFmtId="0" fontId="144" fillId="0" borderId="0" applyFill="0" applyBorder="0" applyAlignment="0"/>
    <xf numFmtId="0" fontId="144" fillId="0" borderId="0" applyFill="0" applyBorder="0" applyAlignment="0"/>
    <xf numFmtId="0" fontId="144" fillId="0" borderId="0" applyFill="0" applyBorder="0" applyAlignment="0"/>
    <xf numFmtId="0" fontId="160" fillId="0" borderId="0" applyFill="0" applyBorder="0" applyAlignment="0"/>
    <xf numFmtId="0" fontId="159" fillId="0" borderId="0" applyFill="0" applyBorder="0" applyAlignment="0"/>
    <xf numFmtId="0" fontId="31" fillId="33" borderId="20" applyNumberFormat="0" applyAlignment="0" applyProtection="0"/>
    <xf numFmtId="184" fontId="161" fillId="35" borderId="35">
      <alignment horizontal="left" vertical="center" wrapText="1" indent="2"/>
    </xf>
    <xf numFmtId="0" fontId="34" fillId="36" borderId="21" applyNumberFormat="0" applyAlignment="0" applyProtection="0"/>
    <xf numFmtId="0" fontId="53" fillId="0" borderId="34" applyNumberFormat="0" applyFill="0" applyAlignment="0" applyProtection="0"/>
    <xf numFmtId="0" fontId="162" fillId="0" borderId="0" applyNumberFormat="0" applyFill="0" applyBorder="0" applyProtection="0"/>
    <xf numFmtId="227" fontId="163" fillId="0" borderId="18"/>
    <xf numFmtId="1" fontId="164" fillId="0" borderId="0" applyFill="0" applyBorder="0">
      <alignment horizontal="center"/>
    </xf>
    <xf numFmtId="1" fontId="165" fillId="0" borderId="46">
      <alignment vertical="top"/>
    </xf>
    <xf numFmtId="38" fontId="2" fillId="0" borderId="0" applyFont="0" applyFill="0" applyBorder="0" applyAlignment="0" applyProtection="0">
      <alignment vertical="center"/>
    </xf>
    <xf numFmtId="0" fontId="144" fillId="0" borderId="0" applyFont="0" applyFill="0" applyBorder="0" applyAlignment="0" applyProtection="0"/>
    <xf numFmtId="193" fontId="19" fillId="0" borderId="0" applyFont="0" applyFill="0" applyBorder="0" applyAlignment="0" applyProtection="0"/>
    <xf numFmtId="193" fontId="19" fillId="0" borderId="0" applyFont="0" applyFill="0" applyBorder="0" applyAlignment="0" applyProtection="0"/>
    <xf numFmtId="3" fontId="19" fillId="0" borderId="0" applyFont="0" applyFill="0" applyBorder="0" applyAlignment="0" applyProtection="0"/>
    <xf numFmtId="0" fontId="166" fillId="0" borderId="0"/>
    <xf numFmtId="0" fontId="20" fillId="0" borderId="0"/>
    <xf numFmtId="270" fontId="59" fillId="0" borderId="0"/>
    <xf numFmtId="0" fontId="166" fillId="0" borderId="0"/>
    <xf numFmtId="0" fontId="20" fillId="0" borderId="0"/>
    <xf numFmtId="270" fontId="61" fillId="3" borderId="0" applyBorder="0"/>
    <xf numFmtId="271" fontId="59" fillId="0" borderId="0"/>
    <xf numFmtId="0" fontId="19" fillId="0" borderId="0"/>
    <xf numFmtId="233" fontId="167" fillId="0" borderId="0"/>
    <xf numFmtId="186" fontId="152" fillId="35" borderId="47">
      <protection hidden="1"/>
    </xf>
    <xf numFmtId="272" fontId="19" fillId="0" borderId="0" applyFont="0" applyFill="0" applyBorder="0" applyAlignment="0" applyProtection="0"/>
    <xf numFmtId="273" fontId="19" fillId="0" borderId="0" applyFont="0" applyFill="0" applyBorder="0" applyAlignment="0" applyProtection="0"/>
    <xf numFmtId="233" fontId="66" fillId="35" borderId="0" applyNumberFormat="0" applyBorder="0" applyAlignment="0" applyProtection="0"/>
    <xf numFmtId="0" fontId="168" fillId="0" borderId="16">
      <alignment horizontal="left"/>
    </xf>
    <xf numFmtId="38" fontId="19" fillId="0" borderId="0" applyNumberFormat="0" applyBorder="0" applyAlignment="0"/>
    <xf numFmtId="0" fontId="169" fillId="0" borderId="0">
      <protection locked="0"/>
    </xf>
    <xf numFmtId="0" fontId="144" fillId="68" borderId="0">
      <protection hidden="1"/>
    </xf>
    <xf numFmtId="0" fontId="170" fillId="0" borderId="0">
      <protection locked="0"/>
    </xf>
    <xf numFmtId="0" fontId="170" fillId="0" borderId="0">
      <protection locked="0"/>
    </xf>
    <xf numFmtId="0" fontId="171" fillId="0" borderId="0" applyNumberFormat="0" applyFill="0" applyBorder="0" applyAlignment="0" applyProtection="0"/>
    <xf numFmtId="0" fontId="44" fillId="0" borderId="0" applyNumberFormat="0" applyFill="0" applyBorder="0" applyAlignment="0" applyProtection="0"/>
    <xf numFmtId="0" fontId="47" fillId="0" borderId="0" applyNumberFormat="0" applyFill="0" applyBorder="0" applyAlignment="0" applyProtection="0"/>
    <xf numFmtId="0" fontId="172" fillId="44" borderId="48"/>
    <xf numFmtId="0" fontId="26" fillId="28" borderId="0" applyNumberFormat="0" applyBorder="0" applyAlignment="0" applyProtection="0"/>
    <xf numFmtId="274" fontId="173" fillId="28" borderId="0" applyNumberFormat="0" applyBorder="0" applyAlignment="0" applyProtection="0"/>
    <xf numFmtId="0" fontId="174" fillId="28" borderId="0" applyNumberFormat="0" applyBorder="0" applyAlignment="0" applyProtection="0"/>
    <xf numFmtId="0" fontId="26" fillId="29" borderId="0" applyNumberFormat="0" applyBorder="0" applyAlignment="0" applyProtection="0"/>
    <xf numFmtId="274" fontId="173" fillId="29" borderId="0" applyNumberFormat="0" applyBorder="0" applyAlignment="0" applyProtection="0"/>
    <xf numFmtId="0" fontId="26" fillId="30" borderId="0" applyNumberFormat="0" applyBorder="0" applyAlignment="0" applyProtection="0"/>
    <xf numFmtId="0" fontId="26" fillId="25" borderId="0" applyNumberFormat="0" applyBorder="0" applyAlignment="0" applyProtection="0"/>
    <xf numFmtId="274" fontId="173" fillId="25" borderId="0" applyNumberFormat="0" applyBorder="0" applyAlignment="0" applyProtection="0"/>
    <xf numFmtId="0" fontId="174" fillId="25" borderId="0" applyNumberFormat="0" applyBorder="0" applyAlignment="0" applyProtection="0"/>
    <xf numFmtId="0" fontId="26" fillId="26" borderId="0" applyNumberFormat="0" applyBorder="0" applyAlignment="0" applyProtection="0"/>
    <xf numFmtId="274" fontId="173" fillId="26" borderId="0" applyNumberFormat="0" applyBorder="0" applyAlignment="0" applyProtection="0"/>
    <xf numFmtId="0" fontId="174" fillId="26" borderId="0" applyNumberFormat="0" applyBorder="0" applyAlignment="0" applyProtection="0"/>
    <xf numFmtId="0" fontId="26" fillId="31" borderId="0" applyNumberFormat="0" applyBorder="0" applyAlignment="0" applyProtection="0"/>
    <xf numFmtId="274" fontId="173" fillId="31" borderId="0" applyNumberFormat="0" applyBorder="0" applyAlignment="0" applyProtection="0"/>
    <xf numFmtId="274" fontId="26" fillId="31" borderId="0" applyNumberFormat="0" applyBorder="0" applyAlignment="0" applyProtection="0"/>
    <xf numFmtId="0" fontId="51" fillId="19" borderId="20" applyNumberFormat="0" applyAlignment="0" applyProtection="0"/>
    <xf numFmtId="0" fontId="175" fillId="0" borderId="49">
      <alignment horizontal="center" wrapText="1"/>
      <protection hidden="1"/>
    </xf>
    <xf numFmtId="0" fontId="176" fillId="53" borderId="0">
      <alignment horizontal="center"/>
    </xf>
    <xf numFmtId="0" fontId="60" fillId="0" borderId="0">
      <alignment vertical="top"/>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75" fontId="19" fillId="0" borderId="0" applyFont="0" applyFill="0" applyBorder="0" applyAlignment="0" applyProtection="0"/>
    <xf numFmtId="276" fontId="19" fillId="0" borderId="0" applyFont="0" applyFill="0" applyBorder="0" applyAlignment="0" applyProtection="0"/>
    <xf numFmtId="276" fontId="19" fillId="0" borderId="0" applyFont="0" applyFill="0" applyBorder="0" applyAlignment="0" applyProtection="0"/>
    <xf numFmtId="276" fontId="19" fillId="0" borderId="0" applyFont="0" applyFill="0" applyBorder="0" applyAlignment="0" applyProtection="0"/>
    <xf numFmtId="276" fontId="19" fillId="0" borderId="0" applyFont="0" applyFill="0" applyBorder="0" applyAlignment="0" applyProtection="0"/>
    <xf numFmtId="276" fontId="19" fillId="0" borderId="0" applyFont="0" applyFill="0" applyBorder="0" applyAlignment="0" applyProtection="0"/>
    <xf numFmtId="276" fontId="19" fillId="0" borderId="0" applyFont="0" applyFill="0" applyBorder="0" applyAlignment="0" applyProtection="0"/>
    <xf numFmtId="276" fontId="19" fillId="0" borderId="0" applyFont="0" applyFill="0" applyBorder="0" applyAlignment="0" applyProtection="0"/>
    <xf numFmtId="276" fontId="19" fillId="0" borderId="0" applyFont="0" applyFill="0" applyBorder="0" applyAlignment="0" applyProtection="0"/>
    <xf numFmtId="277" fontId="19" fillId="0" borderId="0" applyFont="0" applyFill="0" applyBorder="0" applyAlignment="0" applyProtection="0"/>
    <xf numFmtId="278" fontId="177" fillId="0" borderId="0">
      <protection locked="0"/>
    </xf>
    <xf numFmtId="278" fontId="169" fillId="0" borderId="0">
      <protection locked="0"/>
    </xf>
    <xf numFmtId="278" fontId="170" fillId="0" borderId="0">
      <protection locked="0"/>
    </xf>
    <xf numFmtId="278" fontId="170" fillId="0" borderId="0">
      <protection locked="0"/>
    </xf>
    <xf numFmtId="278" fontId="169" fillId="0" borderId="0">
      <protection locked="0"/>
    </xf>
    <xf numFmtId="278" fontId="178" fillId="0" borderId="0">
      <protection locked="0"/>
    </xf>
    <xf numFmtId="278" fontId="169" fillId="0" borderId="0">
      <protection locked="0"/>
    </xf>
    <xf numFmtId="233" fontId="146" fillId="0" borderId="35">
      <alignment horizontal="left" vertical="center" indent="2"/>
      <protection hidden="1"/>
    </xf>
    <xf numFmtId="0" fontId="179" fillId="0" borderId="0" applyFont="0" applyFill="0" applyBorder="0" applyAlignment="0" applyProtection="0"/>
    <xf numFmtId="0" fontId="20" fillId="0" borderId="0"/>
    <xf numFmtId="2" fontId="19" fillId="0" borderId="0" applyFill="0" applyBorder="0" applyAlignment="0" applyProtection="0"/>
    <xf numFmtId="0" fontId="169" fillId="0" borderId="0">
      <protection locked="0"/>
    </xf>
    <xf numFmtId="279" fontId="169" fillId="0" borderId="0">
      <protection locked="0"/>
    </xf>
    <xf numFmtId="0" fontId="180" fillId="0" borderId="0" applyFill="0" applyBorder="0" applyProtection="0">
      <alignment horizontal="left"/>
    </xf>
    <xf numFmtId="4" fontId="181" fillId="0" borderId="0">
      <protection locked="0"/>
    </xf>
    <xf numFmtId="280" fontId="182" fillId="0" borderId="50" applyNumberFormat="0" applyFill="0" applyBorder="0"/>
    <xf numFmtId="281" fontId="122" fillId="0" borderId="0"/>
    <xf numFmtId="0" fontId="183" fillId="35" borderId="0" applyNumberFormat="0" applyBorder="0" applyAlignment="0" applyProtection="0"/>
    <xf numFmtId="0" fontId="37" fillId="0" borderId="0" applyBorder="0">
      <alignment horizontal="left"/>
    </xf>
    <xf numFmtId="0" fontId="184" fillId="0" borderId="0" applyBorder="0">
      <alignment horizontal="center"/>
      <protection hidden="1"/>
    </xf>
    <xf numFmtId="0" fontId="170" fillId="0" borderId="0">
      <protection locked="0"/>
    </xf>
    <xf numFmtId="0" fontId="170" fillId="0" borderId="0">
      <protection locked="0"/>
    </xf>
    <xf numFmtId="269" fontId="145" fillId="69" borderId="19">
      <alignment horizontal="center"/>
    </xf>
    <xf numFmtId="0" fontId="185" fillId="70" borderId="19">
      <alignment horizontal="centerContinuous" vertical="center"/>
    </xf>
    <xf numFmtId="0" fontId="186" fillId="0" borderId="51">
      <alignment horizontal="center"/>
      <protection hidden="1"/>
    </xf>
    <xf numFmtId="0" fontId="49" fillId="0" borderId="0" applyNumberFormat="0" applyFill="0" applyBorder="0" applyAlignment="0" applyProtection="0">
      <alignment vertical="top"/>
      <protection locked="0"/>
    </xf>
    <xf numFmtId="40" fontId="187" fillId="0" borderId="0">
      <protection locked="0"/>
    </xf>
    <xf numFmtId="282" fontId="152" fillId="35" borderId="35">
      <protection locked="0"/>
    </xf>
    <xf numFmtId="0" fontId="30" fillId="15" borderId="0" applyNumberFormat="0" applyBorder="0" applyAlignment="0" applyProtection="0"/>
    <xf numFmtId="15" fontId="188" fillId="0" borderId="0" applyFill="0" applyBorder="0">
      <alignment horizontal="center"/>
      <protection locked="0"/>
    </xf>
    <xf numFmtId="0" fontId="189" fillId="71" borderId="0">
      <alignment horizontal="center"/>
    </xf>
    <xf numFmtId="283" fontId="71" fillId="35" borderId="0" applyBorder="0">
      <protection locked="0"/>
    </xf>
    <xf numFmtId="284" fontId="71" fillId="35" borderId="0" applyBorder="0">
      <protection locked="0"/>
    </xf>
    <xf numFmtId="285" fontId="71" fillId="35" borderId="0" applyBorder="0">
      <protection locked="0"/>
    </xf>
    <xf numFmtId="282" fontId="59" fillId="39" borderId="0"/>
    <xf numFmtId="184" fontId="71" fillId="35" borderId="0" applyBorder="0">
      <protection locked="0"/>
    </xf>
    <xf numFmtId="282" fontId="59" fillId="39" borderId="35">
      <protection locked="0"/>
    </xf>
    <xf numFmtId="286" fontId="71" fillId="35" borderId="0" applyBorder="0">
      <protection locked="0"/>
    </xf>
    <xf numFmtId="287" fontId="61" fillId="39" borderId="52">
      <protection locked="0"/>
    </xf>
    <xf numFmtId="227" fontId="190" fillId="0" borderId="0" applyBorder="0">
      <alignment horizontal="left"/>
    </xf>
    <xf numFmtId="227" fontId="191" fillId="0" borderId="0" applyBorder="0"/>
    <xf numFmtId="207" fontId="192" fillId="0" borderId="0" applyBorder="0">
      <alignment horizontal="left"/>
    </xf>
    <xf numFmtId="40" fontId="193" fillId="0" borderId="0">
      <alignment horizontal="right"/>
    </xf>
    <xf numFmtId="0" fontId="194" fillId="0" borderId="0" applyBorder="0">
      <alignment horizontal="left" vertical="center"/>
    </xf>
    <xf numFmtId="40" fontId="148" fillId="0" borderId="0">
      <alignment horizontal="right"/>
    </xf>
    <xf numFmtId="227" fontId="195" fillId="0" borderId="0" applyBorder="0"/>
    <xf numFmtId="0" fontId="19" fillId="0" borderId="0" applyFont="0" applyFill="0" applyBorder="0" applyAlignment="0" applyProtection="0"/>
    <xf numFmtId="288" fontId="19" fillId="0" borderId="0" applyFont="0" applyFill="0" applyBorder="0" applyAlignment="0" applyProtection="0"/>
    <xf numFmtId="264" fontId="19" fillId="0" borderId="0" applyFont="0" applyFill="0" applyBorder="0" applyAlignment="0" applyProtection="0"/>
    <xf numFmtId="184" fontId="19" fillId="0" borderId="0" applyFont="0" applyFill="0" applyBorder="0" applyAlignment="0" applyProtection="0"/>
    <xf numFmtId="43" fontId="19" fillId="0" borderId="0" applyFont="0" applyFill="0" applyBorder="0" applyAlignment="0" applyProtection="0"/>
    <xf numFmtId="289" fontId="19" fillId="0" borderId="0" applyFont="0" applyFill="0" applyBorder="0" applyAlignment="0" applyProtection="0"/>
    <xf numFmtId="0" fontId="196" fillId="0" borderId="0"/>
    <xf numFmtId="0" fontId="19" fillId="72" borderId="0" applyNumberFormat="0" applyFont="0" applyBorder="0" applyAlignment="0" applyProtection="0"/>
    <xf numFmtId="290" fontId="197" fillId="0" borderId="0" applyFont="0" applyFill="0" applyBorder="0" applyAlignment="0" applyProtection="0"/>
    <xf numFmtId="273" fontId="179" fillId="0" borderId="0" applyFont="0" applyFill="0" applyBorder="0" applyAlignment="0" applyProtection="0"/>
    <xf numFmtId="291" fontId="123" fillId="0" borderId="0"/>
    <xf numFmtId="0" fontId="144" fillId="73" borderId="53">
      <protection hidden="1"/>
    </xf>
    <xf numFmtId="37" fontId="198" fillId="0" borderId="0"/>
    <xf numFmtId="39" fontId="199" fillId="0" borderId="0">
      <alignment horizontal="center"/>
    </xf>
    <xf numFmtId="292" fontId="199" fillId="0" borderId="0">
      <alignment horizontal="right"/>
    </xf>
    <xf numFmtId="293" fontId="199" fillId="0" borderId="0">
      <alignment horizontal="right"/>
    </xf>
    <xf numFmtId="294" fontId="199" fillId="0" borderId="0">
      <alignment horizontal="right"/>
    </xf>
    <xf numFmtId="295" fontId="199" fillId="0" borderId="0">
      <alignment horizontal="right"/>
    </xf>
    <xf numFmtId="1" fontId="122" fillId="0" borderId="0" applyFill="0">
      <alignment horizontal="center"/>
    </xf>
    <xf numFmtId="0" fontId="200" fillId="0" borderId="0"/>
    <xf numFmtId="0" fontId="201" fillId="0" borderId="0">
      <alignment horizontal="center"/>
    </xf>
    <xf numFmtId="296" fontId="59" fillId="0" borderId="0"/>
    <xf numFmtId="297" fontId="59" fillId="0" borderId="0"/>
    <xf numFmtId="0" fontId="20" fillId="0" borderId="0"/>
    <xf numFmtId="0" fontId="200" fillId="0" borderId="0"/>
    <xf numFmtId="0" fontId="19" fillId="0" borderId="0"/>
    <xf numFmtId="0" fontId="19" fillId="0" borderId="0"/>
    <xf numFmtId="0" fontId="202" fillId="0" borderId="0"/>
    <xf numFmtId="0" fontId="203" fillId="0" borderId="0"/>
    <xf numFmtId="274" fontId="19" fillId="0" borderId="0"/>
    <xf numFmtId="274" fontId="22" fillId="0" borderId="0"/>
    <xf numFmtId="274" fontId="22" fillId="0" borderId="0"/>
    <xf numFmtId="274" fontId="22" fillId="0" borderId="0"/>
    <xf numFmtId="0" fontId="22" fillId="0" borderId="0"/>
    <xf numFmtId="0" fontId="204" fillId="0" borderId="0"/>
    <xf numFmtId="0" fontId="204" fillId="0" borderId="0"/>
    <xf numFmtId="274" fontId="19" fillId="0" borderId="0"/>
    <xf numFmtId="0" fontId="2" fillId="0" borderId="0">
      <alignment vertical="center"/>
    </xf>
    <xf numFmtId="0" fontId="19" fillId="0" borderId="0"/>
    <xf numFmtId="0" fontId="2" fillId="0" borderId="0">
      <alignment vertical="center"/>
    </xf>
    <xf numFmtId="274" fontId="19" fillId="0" borderId="0"/>
    <xf numFmtId="0" fontId="19" fillId="0" borderId="0"/>
    <xf numFmtId="0" fontId="203" fillId="0" borderId="0"/>
    <xf numFmtId="0" fontId="19" fillId="0" borderId="0"/>
    <xf numFmtId="0" fontId="19" fillId="0" borderId="0"/>
    <xf numFmtId="274" fontId="19" fillId="0" borderId="0"/>
    <xf numFmtId="0" fontId="19" fillId="0" borderId="0"/>
    <xf numFmtId="0" fontId="19" fillId="0" borderId="0"/>
    <xf numFmtId="282" fontId="20" fillId="0" borderId="0" applyBorder="0">
      <protection hidden="1"/>
    </xf>
    <xf numFmtId="282" fontId="205" fillId="0" borderId="35"/>
    <xf numFmtId="286" fontId="20" fillId="0" borderId="0" applyBorder="0">
      <protection hidden="1"/>
    </xf>
    <xf numFmtId="0" fontId="203" fillId="49" borderId="35" applyNumberFormat="0" applyFont="0" applyAlignment="0" applyProtection="0"/>
    <xf numFmtId="0" fontId="22" fillId="49" borderId="35" applyNumberFormat="0" applyFont="0" applyAlignment="0" applyProtection="0"/>
    <xf numFmtId="277" fontId="22" fillId="49" borderId="35" applyNumberFormat="0" applyFont="0" applyAlignment="0" applyProtection="0"/>
    <xf numFmtId="0" fontId="206" fillId="0" borderId="16"/>
    <xf numFmtId="9" fontId="19" fillId="0" borderId="0" applyFont="0" applyFill="0" applyBorder="0" applyAlignment="0" applyProtection="0"/>
    <xf numFmtId="10" fontId="19" fillId="0" borderId="0" applyFont="0" applyFill="0" applyBorder="0" applyAlignment="0" applyProtection="0"/>
    <xf numFmtId="298" fontId="59" fillId="0" borderId="0" applyBorder="0">
      <alignment horizontal="right"/>
    </xf>
    <xf numFmtId="284" fontId="20" fillId="0" borderId="0" applyBorder="0">
      <protection hidden="1"/>
    </xf>
    <xf numFmtId="299" fontId="59" fillId="0" borderId="0"/>
    <xf numFmtId="285" fontId="20" fillId="0" borderId="0" applyBorder="0">
      <protection hidden="1"/>
    </xf>
    <xf numFmtId="0" fontId="19" fillId="0" borderId="0">
      <protection locked="0"/>
    </xf>
    <xf numFmtId="0" fontId="164" fillId="0" borderId="0">
      <protection locked="0"/>
    </xf>
    <xf numFmtId="0" fontId="19" fillId="0" borderId="0">
      <protection locked="0"/>
    </xf>
    <xf numFmtId="0" fontId="37" fillId="0" borderId="0">
      <protection locked="0"/>
    </xf>
    <xf numFmtId="300" fontId="124" fillId="0" borderId="0"/>
    <xf numFmtId="10" fontId="197" fillId="0" borderId="0" applyFont="0" applyFill="0" applyBorder="0" applyAlignment="0" applyProtection="0"/>
    <xf numFmtId="9" fontId="19" fillId="0" borderId="0" applyFont="0" applyFill="0" applyBorder="0" applyAlignment="0" applyProtection="0"/>
    <xf numFmtId="9" fontId="203" fillId="0" borderId="0" applyFont="0" applyFill="0" applyBorder="0" applyAlignment="0" applyProtection="0"/>
    <xf numFmtId="9" fontId="20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03" fillId="0" borderId="0" applyFont="0" applyFill="0" applyBorder="0" applyAlignment="0" applyProtection="0"/>
    <xf numFmtId="192" fontId="19" fillId="0" borderId="0" applyNumberFormat="0" applyFont="0" applyFill="0" applyBorder="0" applyAlignment="0"/>
    <xf numFmtId="4" fontId="197" fillId="0" borderId="0" applyFont="0" applyFill="0" applyBorder="0" applyAlignment="0" applyProtection="0"/>
    <xf numFmtId="3" fontId="179" fillId="0" borderId="0" applyFont="0" applyFill="0" applyBorder="0" applyAlignment="0" applyProtection="0"/>
    <xf numFmtId="0" fontId="20" fillId="0" borderId="0"/>
    <xf numFmtId="0" fontId="20" fillId="0" borderId="0"/>
    <xf numFmtId="0" fontId="20" fillId="0" borderId="0"/>
    <xf numFmtId="0" fontId="19" fillId="0" borderId="0">
      <alignment horizontal="center"/>
    </xf>
    <xf numFmtId="301" fontId="19" fillId="0" borderId="0" applyProtection="0">
      <alignment horizontal="right"/>
    </xf>
    <xf numFmtId="302" fontId="19" fillId="0" borderId="0" applyProtection="0">
      <alignment horizontal="right"/>
    </xf>
    <xf numFmtId="38" fontId="207" fillId="0" borderId="0"/>
    <xf numFmtId="303" fontId="208" fillId="0" borderId="0"/>
    <xf numFmtId="0" fontId="209" fillId="0" borderId="0"/>
    <xf numFmtId="0" fontId="58" fillId="33" borderId="36" applyNumberFormat="0" applyAlignment="0" applyProtection="0"/>
    <xf numFmtId="0" fontId="210" fillId="22" borderId="27"/>
    <xf numFmtId="0" fontId="186" fillId="0" borderId="44">
      <alignment horizontal="left" wrapText="1"/>
      <protection hidden="1"/>
    </xf>
    <xf numFmtId="0" fontId="193" fillId="0" borderId="49">
      <alignment horizontal="right" wrapText="1"/>
      <protection hidden="1"/>
    </xf>
    <xf numFmtId="38" fontId="60" fillId="0" borderId="0"/>
    <xf numFmtId="2" fontId="19" fillId="0" borderId="0"/>
    <xf numFmtId="0" fontId="144" fillId="0" borderId="49">
      <alignment horizontal="center"/>
      <protection hidden="1"/>
    </xf>
    <xf numFmtId="0" fontId="144" fillId="0" borderId="49">
      <protection locked="0"/>
    </xf>
    <xf numFmtId="0" fontId="211" fillId="0" borderId="49">
      <protection hidden="1"/>
    </xf>
    <xf numFmtId="0" fontId="212" fillId="0" borderId="49">
      <alignment wrapText="1"/>
      <protection hidden="1"/>
    </xf>
    <xf numFmtId="0" fontId="193" fillId="0" borderId="49">
      <protection hidden="1"/>
    </xf>
    <xf numFmtId="0" fontId="144" fillId="0" borderId="49">
      <protection locked="0"/>
    </xf>
    <xf numFmtId="0" fontId="213" fillId="0" borderId="33">
      <alignment horizontal="center" vertical="center" wrapText="1"/>
      <protection hidden="1"/>
    </xf>
    <xf numFmtId="0" fontId="214" fillId="35" borderId="0">
      <alignment horizontal="center"/>
    </xf>
    <xf numFmtId="0" fontId="144" fillId="0" borderId="0">
      <alignment textRotation="90"/>
    </xf>
    <xf numFmtId="0" fontId="186" fillId="0" borderId="44">
      <alignment horizontal="left" wrapText="1"/>
      <protection locked="0"/>
    </xf>
    <xf numFmtId="0" fontId="175" fillId="0" borderId="49">
      <alignment horizontal="right" wrapText="1"/>
      <protection locked="0"/>
    </xf>
    <xf numFmtId="304" fontId="60" fillId="0" borderId="17">
      <alignment vertical="top" wrapText="1"/>
    </xf>
    <xf numFmtId="1" fontId="189" fillId="0" borderId="0">
      <protection locked="0"/>
    </xf>
    <xf numFmtId="38" fontId="63" fillId="0" borderId="54"/>
    <xf numFmtId="2" fontId="19" fillId="0" borderId="0"/>
    <xf numFmtId="1" fontId="19" fillId="0" borderId="0">
      <protection hidden="1"/>
    </xf>
    <xf numFmtId="0" fontId="186" fillId="0" borderId="44">
      <alignment wrapText="1"/>
      <protection hidden="1"/>
    </xf>
    <xf numFmtId="0" fontId="64" fillId="0" borderId="0" applyNumberFormat="0" applyFill="0" applyBorder="0" applyProtection="0">
      <alignment horizontal="center"/>
    </xf>
    <xf numFmtId="0" fontId="215" fillId="0" borderId="0" applyNumberFormat="0" applyFill="0" applyBorder="0" applyProtection="0">
      <alignment horizontal="center"/>
    </xf>
    <xf numFmtId="0" fontId="215" fillId="0" borderId="0" applyNumberFormat="0" applyFill="0" applyBorder="0" applyProtection="0">
      <alignment horizontal="left"/>
    </xf>
    <xf numFmtId="0" fontId="63" fillId="0" borderId="0" applyNumberFormat="0" applyFill="0" applyBorder="0" applyProtection="0">
      <alignment horizontal="left"/>
    </xf>
    <xf numFmtId="0" fontId="63" fillId="0" borderId="0" applyNumberFormat="0" applyFill="0" applyBorder="0" applyProtection="0">
      <alignment horizontal="right"/>
    </xf>
    <xf numFmtId="0" fontId="19" fillId="0" borderId="0" applyNumberFormat="0" applyFont="0" applyFill="0" applyBorder="0" applyProtection="0">
      <alignment horizontal="left"/>
    </xf>
    <xf numFmtId="0" fontId="216" fillId="0" borderId="0" applyNumberFormat="0" applyFill="0" applyBorder="0" applyAlignment="0" applyProtection="0">
      <alignment horizontal="right"/>
    </xf>
    <xf numFmtId="0" fontId="19" fillId="0" borderId="0" applyNumberFormat="0" applyFont="0" applyFill="0" applyBorder="0" applyProtection="0">
      <alignment horizontal="right" wrapText="1"/>
    </xf>
    <xf numFmtId="0" fontId="19" fillId="0" borderId="55" applyNumberFormat="0" applyFont="0" applyFill="0" applyAlignment="0" applyProtection="0">
      <alignment horizontal="right"/>
    </xf>
    <xf numFmtId="0" fontId="216" fillId="0" borderId="0" applyNumberFormat="0" applyFill="0" applyBorder="0" applyProtection="0">
      <alignment horizontal="left"/>
    </xf>
    <xf numFmtId="0" fontId="152" fillId="0" borderId="0" applyNumberFormat="0" applyFill="0" applyBorder="0" applyProtection="0">
      <alignment horizontal="left"/>
    </xf>
    <xf numFmtId="305" fontId="60" fillId="0" borderId="23" applyFill="0" applyProtection="0">
      <alignment horizontal="right" vertical="top"/>
    </xf>
    <xf numFmtId="10" fontId="60" fillId="0" borderId="0" applyFill="0" applyBorder="0" applyProtection="0">
      <alignment horizontal="right"/>
    </xf>
    <xf numFmtId="10" fontId="217" fillId="0" borderId="0" applyFill="0" applyBorder="0" applyProtection="0">
      <alignment horizontal="left"/>
    </xf>
    <xf numFmtId="0" fontId="218" fillId="64" borderId="56" applyNumberFormat="0" applyProtection="0">
      <alignment horizontal="left" vertical="center"/>
    </xf>
    <xf numFmtId="0" fontId="218" fillId="64" borderId="56" applyNumberFormat="0" applyProtection="0">
      <alignment horizontal="right" vertical="center"/>
    </xf>
    <xf numFmtId="0" fontId="219" fillId="64" borderId="0" applyNumberFormat="0" applyProtection="0">
      <alignment horizontal="right" vertical="center" wrapText="1"/>
    </xf>
    <xf numFmtId="0" fontId="220" fillId="64" borderId="0" applyNumberFormat="0" applyProtection="0">
      <alignment horizontal="left" vertical="center"/>
    </xf>
    <xf numFmtId="0" fontId="220" fillId="64" borderId="0" applyNumberFormat="0" applyProtection="0">
      <alignment horizontal="left" vertical="center"/>
    </xf>
    <xf numFmtId="306" fontId="220" fillId="64" borderId="0" applyProtection="0">
      <alignment horizontal="right" vertical="center"/>
    </xf>
    <xf numFmtId="0" fontId="221" fillId="64" borderId="0" applyNumberFormat="0" applyProtection="0">
      <alignment horizontal="left" vertical="center"/>
    </xf>
    <xf numFmtId="0" fontId="222" fillId="74" borderId="57" applyNumberFormat="0" applyProtection="0">
      <alignment horizontal="center" vertical="center"/>
    </xf>
    <xf numFmtId="0" fontId="223" fillId="64" borderId="0" applyNumberFormat="0" applyProtection="0">
      <alignment horizontal="left" vertical="center"/>
    </xf>
    <xf numFmtId="306" fontId="222" fillId="64" borderId="0" applyProtection="0">
      <alignment horizontal="right" vertical="center"/>
    </xf>
    <xf numFmtId="0" fontId="223" fillId="64" borderId="0" applyNumberFormat="0" applyProtection="0">
      <alignment horizontal="left" vertical="center"/>
    </xf>
    <xf numFmtId="306" fontId="224" fillId="64" borderId="0" applyProtection="0">
      <alignment horizontal="right" vertical="center"/>
    </xf>
    <xf numFmtId="0" fontId="222" fillId="74" borderId="57" applyNumberFormat="0" applyProtection="0">
      <alignment horizontal="center" vertical="center"/>
    </xf>
    <xf numFmtId="0" fontId="223" fillId="64" borderId="0" applyNumberFormat="0" applyProtection="0">
      <alignment horizontal="left" vertical="center"/>
    </xf>
    <xf numFmtId="306" fontId="224" fillId="64" borderId="58" applyProtection="0">
      <alignment horizontal="right" vertical="center"/>
    </xf>
    <xf numFmtId="0" fontId="225" fillId="64" borderId="0" applyNumberFormat="0" applyProtection="0">
      <alignment horizontal="left" vertical="center"/>
    </xf>
    <xf numFmtId="306" fontId="224" fillId="64" borderId="0" applyProtection="0">
      <alignment horizontal="right" vertical="center"/>
    </xf>
    <xf numFmtId="0" fontId="226" fillId="64" borderId="0" applyNumberFormat="0" applyProtection="0">
      <alignment horizontal="left" vertical="center"/>
    </xf>
    <xf numFmtId="0" fontId="227" fillId="64" borderId="0" applyNumberFormat="0" applyProtection="0">
      <alignment horizontal="left" vertical="center"/>
    </xf>
    <xf numFmtId="306" fontId="220" fillId="64" borderId="0" applyProtection="0">
      <alignment horizontal="right" vertical="center"/>
    </xf>
    <xf numFmtId="306" fontId="220" fillId="64" borderId="0" applyProtection="0">
      <alignment horizontal="left" vertical="center"/>
    </xf>
    <xf numFmtId="0" fontId="228" fillId="64" borderId="0" applyNumberFormat="0" applyProtection="0">
      <alignment horizontal="left" vertical="center"/>
    </xf>
    <xf numFmtId="306" fontId="220" fillId="64" borderId="59" applyProtection="0">
      <alignment horizontal="right" vertical="center"/>
    </xf>
    <xf numFmtId="0" fontId="229" fillId="64" borderId="0" applyNumberFormat="0" applyProtection="0">
      <alignment horizontal="left" vertical="center"/>
    </xf>
    <xf numFmtId="0" fontId="229" fillId="64" borderId="0" applyNumberFormat="0" applyProtection="0">
      <alignment horizontal="left" vertical="center"/>
    </xf>
    <xf numFmtId="306" fontId="229" fillId="64" borderId="60" applyProtection="0">
      <alignment horizontal="right" vertical="center"/>
    </xf>
    <xf numFmtId="0" fontId="224" fillId="64" borderId="0" applyNumberFormat="0" applyProtection="0">
      <alignment horizontal="left" vertical="center"/>
    </xf>
    <xf numFmtId="306" fontId="224" fillId="64" borderId="61" applyProtection="0">
      <alignment horizontal="right" vertical="center"/>
    </xf>
    <xf numFmtId="4" fontId="230" fillId="64" borderId="0" applyProtection="0">
      <alignment horizontal="center" vertical="center"/>
    </xf>
    <xf numFmtId="0" fontId="231" fillId="75" borderId="0" applyNumberFormat="0" applyProtection="0">
      <alignment horizontal="center" vertical="center"/>
    </xf>
    <xf numFmtId="4" fontId="232" fillId="75" borderId="0" applyProtection="0">
      <alignment horizontal="center" vertical="center"/>
    </xf>
    <xf numFmtId="0" fontId="233" fillId="0" borderId="0"/>
    <xf numFmtId="0" fontId="233" fillId="0" borderId="0"/>
    <xf numFmtId="0" fontId="233" fillId="0" borderId="0"/>
    <xf numFmtId="0" fontId="233" fillId="0" borderId="0"/>
    <xf numFmtId="303" fontId="234" fillId="0" borderId="0"/>
    <xf numFmtId="233" fontId="44" fillId="0" borderId="0"/>
    <xf numFmtId="269" fontId="172" fillId="44" borderId="29">
      <alignment vertical="center"/>
    </xf>
    <xf numFmtId="0" fontId="32" fillId="0" borderId="0" applyBorder="0" applyProtection="0">
      <alignment horizontal="left"/>
    </xf>
    <xf numFmtId="0" fontId="235" fillId="0" borderId="0" applyFill="0" applyBorder="0" applyProtection="0">
      <alignment horizontal="left"/>
    </xf>
    <xf numFmtId="0" fontId="59" fillId="0" borderId="15" applyFill="0" applyBorder="0" applyProtection="0">
      <alignment horizontal="left" vertical="top"/>
    </xf>
    <xf numFmtId="282" fontId="59" fillId="0" borderId="35"/>
    <xf numFmtId="0" fontId="236" fillId="0" borderId="0">
      <alignment horizontal="center"/>
    </xf>
    <xf numFmtId="0" fontId="72" fillId="0" borderId="0" applyNumberFormat="0" applyFill="0" applyBorder="0" applyAlignment="0" applyProtection="0"/>
    <xf numFmtId="0" fontId="41" fillId="0" borderId="0" applyNumberFormat="0" applyFill="0" applyBorder="0" applyAlignment="0" applyProtection="0"/>
    <xf numFmtId="269" fontId="237" fillId="70" borderId="0" applyNumberFormat="0">
      <alignment vertical="center"/>
    </xf>
    <xf numFmtId="233" fontId="238" fillId="0" borderId="0"/>
    <xf numFmtId="0" fontId="69" fillId="0" borderId="0" applyNumberFormat="0" applyFill="0" applyBorder="0" applyAlignment="0" applyProtection="0"/>
    <xf numFmtId="0" fontId="45" fillId="0" borderId="30" applyNumberFormat="0" applyFill="0" applyAlignment="0" applyProtection="0"/>
    <xf numFmtId="0" fontId="45" fillId="0" borderId="30" applyNumberFormat="0" applyFill="0" applyAlignment="0" applyProtection="0"/>
    <xf numFmtId="277" fontId="45" fillId="0" borderId="30" applyNumberFormat="0" applyFill="0" applyAlignment="0" applyProtection="0"/>
    <xf numFmtId="0" fontId="46" fillId="0" borderId="31" applyNumberFormat="0" applyFill="0" applyAlignment="0" applyProtection="0"/>
    <xf numFmtId="0" fontId="46" fillId="0" borderId="31" applyNumberFormat="0" applyFill="0" applyAlignment="0" applyProtection="0"/>
    <xf numFmtId="277" fontId="46" fillId="0" borderId="31" applyNumberFormat="0" applyFill="0" applyAlignment="0" applyProtection="0"/>
    <xf numFmtId="0" fontId="47" fillId="0" borderId="32" applyNumberFormat="0" applyFill="0" applyAlignment="0" applyProtection="0"/>
    <xf numFmtId="0" fontId="69" fillId="0" borderId="0" applyNumberFormat="0" applyFill="0" applyBorder="0" applyAlignment="0" applyProtection="0"/>
    <xf numFmtId="307" fontId="124" fillId="0" borderId="0"/>
    <xf numFmtId="1" fontId="37" fillId="0" borderId="0" applyFill="0" applyBorder="0" applyAlignment="0"/>
    <xf numFmtId="303" fontId="165" fillId="0" borderId="62" applyAlignment="0">
      <alignment horizontal="right"/>
    </xf>
    <xf numFmtId="296" fontId="165" fillId="0" borderId="62" applyAlignment="0"/>
    <xf numFmtId="297" fontId="165" fillId="0" borderId="62" applyAlignment="0"/>
    <xf numFmtId="0" fontId="210" fillId="76" borderId="27"/>
    <xf numFmtId="198" fontId="2" fillId="0" borderId="19">
      <protection locked="0"/>
    </xf>
    <xf numFmtId="233" fontId="146" fillId="77" borderId="35">
      <alignment horizontal="center" vertical="center"/>
      <protection hidden="1"/>
    </xf>
    <xf numFmtId="0" fontId="186" fillId="0" borderId="63">
      <alignment horizontal="right"/>
      <protection hidden="1"/>
    </xf>
    <xf numFmtId="269" fontId="239" fillId="0" borderId="0" applyBorder="0">
      <protection hidden="1"/>
    </xf>
    <xf numFmtId="176" fontId="239" fillId="0" borderId="0" applyBorder="0"/>
    <xf numFmtId="269" fontId="239" fillId="0" borderId="0" applyBorder="0"/>
    <xf numFmtId="282" fontId="240" fillId="0" borderId="0" applyBorder="0">
      <protection hidden="1"/>
    </xf>
    <xf numFmtId="286" fontId="240" fillId="0" borderId="0" applyBorder="0">
      <protection hidden="1"/>
    </xf>
    <xf numFmtId="207" fontId="123" fillId="0" borderId="0"/>
    <xf numFmtId="1" fontId="124" fillId="0" borderId="0">
      <alignment horizontal="center"/>
    </xf>
    <xf numFmtId="1" fontId="238" fillId="0" borderId="0">
      <alignment horizontal="centerContinuous"/>
    </xf>
    <xf numFmtId="3" fontId="146" fillId="78" borderId="35">
      <alignment horizontal="center" vertical="center"/>
      <protection hidden="1"/>
    </xf>
    <xf numFmtId="0" fontId="128" fillId="0" borderId="0"/>
    <xf numFmtId="308" fontId="128" fillId="0" borderId="0" applyFont="0" applyFill="0" applyBorder="0" applyAlignment="0" applyProtection="0"/>
    <xf numFmtId="309" fontId="128" fillId="0" borderId="0" applyFont="0" applyFill="0" applyBorder="0" applyAlignment="0" applyProtection="0"/>
    <xf numFmtId="193" fontId="19" fillId="0" borderId="0" applyFont="0" applyFill="0" applyBorder="0" applyAlignment="0" applyProtection="0"/>
    <xf numFmtId="0" fontId="8" fillId="28"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31" borderId="0" applyNumberFormat="0" applyBorder="0" applyAlignment="0" applyProtection="0">
      <alignment vertical="center"/>
    </xf>
    <xf numFmtId="0" fontId="74" fillId="0" borderId="0" applyNumberFormat="0" applyFill="0" applyBorder="0" applyAlignment="0" applyProtection="0">
      <alignment vertical="center"/>
    </xf>
    <xf numFmtId="0" fontId="241" fillId="36" borderId="21" applyNumberFormat="0" applyAlignment="0" applyProtection="0">
      <alignment vertical="center"/>
    </xf>
    <xf numFmtId="0" fontId="242" fillId="48" borderId="0" applyNumberFormat="0" applyBorder="0" applyAlignment="0" applyProtection="0">
      <alignment vertical="center"/>
    </xf>
    <xf numFmtId="9" fontId="19" fillId="0" borderId="0" applyFont="0" applyFill="0" applyBorder="0" applyAlignment="0" applyProtection="0"/>
    <xf numFmtId="0" fontId="243" fillId="0" borderId="0" applyNumberFormat="0" applyBorder="0" applyAlignment="0">
      <alignment horizontal="left"/>
    </xf>
    <xf numFmtId="0" fontId="2" fillId="49" borderId="35" applyNumberFormat="0" applyFont="0" applyAlignment="0" applyProtection="0">
      <alignment vertical="center"/>
    </xf>
    <xf numFmtId="0" fontId="244" fillId="0" borderId="34" applyNumberFormat="0" applyFill="0" applyAlignment="0" applyProtection="0">
      <alignment vertical="center"/>
    </xf>
    <xf numFmtId="0" fontId="245" fillId="15" borderId="0" applyNumberFormat="0" applyBorder="0" applyAlignment="0" applyProtection="0">
      <alignment vertical="center"/>
    </xf>
    <xf numFmtId="0" fontId="246" fillId="33" borderId="20" applyNumberFormat="0" applyAlignment="0" applyProtection="0">
      <alignment vertical="center"/>
    </xf>
    <xf numFmtId="0" fontId="247" fillId="0" borderId="0" applyNumberFormat="0" applyFill="0" applyBorder="0" applyAlignment="0" applyProtection="0">
      <alignment vertical="center"/>
    </xf>
    <xf numFmtId="38" fontId="2" fillId="0" borderId="0" applyFont="0" applyFill="0" applyBorder="0" applyAlignment="0" applyProtection="0"/>
    <xf numFmtId="192" fontId="19" fillId="0" borderId="0" applyFont="0" applyFill="0" applyBorder="0" applyAlignment="0" applyProtection="0"/>
    <xf numFmtId="38" fontId="1" fillId="0" borderId="0" applyFont="0" applyFill="0" applyBorder="0" applyAlignment="0" applyProtection="0">
      <alignment vertical="center"/>
    </xf>
    <xf numFmtId="0" fontId="86" fillId="0" borderId="30" applyNumberFormat="0" applyFill="0" applyAlignment="0" applyProtection="0">
      <alignment vertical="center"/>
    </xf>
    <xf numFmtId="0" fontId="87" fillId="0" borderId="31" applyNumberFormat="0" applyFill="0" applyAlignment="0" applyProtection="0">
      <alignment vertical="center"/>
    </xf>
    <xf numFmtId="0" fontId="88" fillId="0" borderId="32" applyNumberFormat="0" applyFill="0" applyAlignment="0" applyProtection="0">
      <alignment vertical="center"/>
    </xf>
    <xf numFmtId="0" fontId="88" fillId="0" borderId="0" applyNumberFormat="0" applyFill="0" applyBorder="0" applyAlignment="0" applyProtection="0">
      <alignment vertical="center"/>
    </xf>
    <xf numFmtId="0" fontId="248" fillId="0" borderId="38" applyNumberFormat="0" applyFill="0" applyAlignment="0" applyProtection="0">
      <alignment vertical="center"/>
    </xf>
    <xf numFmtId="0" fontId="249" fillId="33" borderId="36" applyNumberFormat="0" applyAlignment="0" applyProtection="0">
      <alignment vertical="center"/>
    </xf>
    <xf numFmtId="0" fontId="250" fillId="0" borderId="0" applyNumberFormat="0" applyFill="0" applyBorder="0" applyAlignment="0" applyProtection="0">
      <alignment vertical="center"/>
    </xf>
    <xf numFmtId="0" fontId="251" fillId="19" borderId="20" applyNumberFormat="0" applyAlignment="0" applyProtection="0">
      <alignment vertical="center"/>
    </xf>
    <xf numFmtId="0" fontId="19" fillId="0" borderId="0"/>
    <xf numFmtId="0" fontId="1" fillId="0" borderId="0">
      <alignment vertical="center"/>
    </xf>
    <xf numFmtId="0" fontId="1" fillId="0" borderId="0">
      <alignment vertical="center"/>
    </xf>
    <xf numFmtId="0" fontId="252" fillId="16" borderId="0" applyNumberFormat="0" applyBorder="0" applyAlignment="0" applyProtection="0">
      <alignment vertical="center"/>
    </xf>
  </cellStyleXfs>
  <cellXfs count="405">
    <xf numFmtId="0" fontId="0" fillId="0" borderId="0" xfId="0">
      <alignment vertical="center"/>
    </xf>
    <xf numFmtId="0" fontId="4" fillId="2" borderId="0" xfId="0" applyFont="1" applyFill="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0" fillId="3" borderId="0" xfId="0" applyFill="1">
      <alignment vertical="center"/>
    </xf>
    <xf numFmtId="0" fontId="8" fillId="3" borderId="0" xfId="0" applyFont="1" applyFill="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3" borderId="0" xfId="0" applyFont="1" applyFill="1" applyAlignment="1">
      <alignment horizontal="center" vertical="center"/>
    </xf>
    <xf numFmtId="0" fontId="10" fillId="0" borderId="0" xfId="0" applyFont="1" applyAlignment="1">
      <alignment horizontal="center" vertical="center"/>
    </xf>
    <xf numFmtId="0" fontId="0" fillId="0" borderId="1" xfId="0" applyBorder="1">
      <alignment vertical="center"/>
    </xf>
    <xf numFmtId="179" fontId="2" fillId="0" borderId="1" xfId="2" applyNumberFormat="1" applyFill="1" applyBorder="1">
      <alignment vertical="center"/>
    </xf>
    <xf numFmtId="179" fontId="2" fillId="3" borderId="1" xfId="2" applyNumberFormat="1" applyFill="1" applyBorder="1">
      <alignment vertical="center"/>
    </xf>
    <xf numFmtId="180" fontId="2" fillId="0" borderId="1" xfId="2" applyNumberFormat="1" applyBorder="1">
      <alignment vertical="center"/>
    </xf>
    <xf numFmtId="179" fontId="2" fillId="0" borderId="0" xfId="2" applyNumberFormat="1" applyFill="1">
      <alignment vertical="center"/>
    </xf>
    <xf numFmtId="179" fontId="2" fillId="3" borderId="0" xfId="2" applyNumberFormat="1" applyFill="1">
      <alignment vertical="center"/>
    </xf>
    <xf numFmtId="180" fontId="2" fillId="0" borderId="0" xfId="2" applyNumberFormat="1">
      <alignment vertical="center"/>
    </xf>
    <xf numFmtId="40" fontId="2" fillId="0" borderId="0" xfId="2" applyNumberFormat="1">
      <alignment vertical="center"/>
    </xf>
    <xf numFmtId="180" fontId="2" fillId="0" borderId="0" xfId="2" applyNumberFormat="1" applyFill="1">
      <alignment vertical="center"/>
    </xf>
    <xf numFmtId="0" fontId="0" fillId="0" borderId="0" xfId="0" applyAlignment="1">
      <alignment vertical="center" wrapText="1"/>
    </xf>
    <xf numFmtId="0" fontId="0" fillId="0" borderId="2" xfId="0" applyBorder="1">
      <alignment vertical="center"/>
    </xf>
    <xf numFmtId="179" fontId="2" fillId="0" borderId="2" xfId="2" applyNumberFormat="1" applyFill="1" applyBorder="1">
      <alignment vertical="center"/>
    </xf>
    <xf numFmtId="181" fontId="6" fillId="0" borderId="0" xfId="0" applyNumberFormat="1" applyFont="1">
      <alignment vertical="center"/>
    </xf>
    <xf numFmtId="179" fontId="2" fillId="0" borderId="0" xfId="2" applyNumberFormat="1" applyFont="1" applyFill="1" applyBorder="1">
      <alignment vertical="center"/>
    </xf>
    <xf numFmtId="180" fontId="2" fillId="0" borderId="0" xfId="2" applyNumberFormat="1" applyFont="1" applyBorder="1">
      <alignment vertical="center"/>
    </xf>
    <xf numFmtId="0" fontId="0" fillId="0" borderId="3" xfId="0" applyBorder="1">
      <alignment vertical="center"/>
    </xf>
    <xf numFmtId="179" fontId="2" fillId="0" borderId="3" xfId="2" applyNumberFormat="1" applyFont="1" applyFill="1" applyBorder="1">
      <alignment vertical="center"/>
    </xf>
    <xf numFmtId="180" fontId="2" fillId="0" borderId="3" xfId="2" applyNumberFormat="1" applyFont="1" applyBorder="1">
      <alignment vertical="center"/>
    </xf>
    <xf numFmtId="0" fontId="6" fillId="0" borderId="3" xfId="0" applyFont="1" applyBorder="1">
      <alignment vertical="center"/>
    </xf>
    <xf numFmtId="0" fontId="9" fillId="0" borderId="0" xfId="0" applyFont="1">
      <alignment vertical="center"/>
    </xf>
    <xf numFmtId="179" fontId="2" fillId="0" borderId="0" xfId="2" applyNumberFormat="1" applyFont="1" applyFill="1">
      <alignment vertical="center"/>
    </xf>
    <xf numFmtId="180" fontId="2" fillId="0" borderId="0" xfId="2" applyNumberFormat="1" applyFont="1">
      <alignment vertical="center"/>
    </xf>
    <xf numFmtId="0" fontId="0" fillId="0" borderId="4" xfId="0" applyBorder="1">
      <alignment vertical="center"/>
    </xf>
    <xf numFmtId="0" fontId="6" fillId="0" borderId="4" xfId="0" applyFont="1" applyBorder="1">
      <alignment vertical="center"/>
    </xf>
    <xf numFmtId="179" fontId="2" fillId="0" borderId="4" xfId="2" applyNumberFormat="1" applyFont="1" applyBorder="1">
      <alignment vertical="center"/>
    </xf>
    <xf numFmtId="180" fontId="2" fillId="0" borderId="4" xfId="2" applyNumberFormat="1" applyFont="1" applyBorder="1">
      <alignment vertical="center"/>
    </xf>
    <xf numFmtId="182" fontId="2" fillId="0" borderId="0" xfId="2" applyNumberFormat="1" applyFont="1" applyFill="1" applyAlignment="1">
      <alignment horizontal="right" vertical="center"/>
    </xf>
    <xf numFmtId="182" fontId="2" fillId="3" borderId="0" xfId="2" applyNumberFormat="1" applyFont="1" applyFill="1" applyAlignment="1">
      <alignment horizontal="right" vertical="center"/>
    </xf>
    <xf numFmtId="182" fontId="2" fillId="0" borderId="0" xfId="0" applyNumberFormat="1" applyFont="1" applyAlignment="1">
      <alignment horizontal="right" vertical="center"/>
    </xf>
    <xf numFmtId="182" fontId="2" fillId="0" borderId="0" xfId="0" applyNumberFormat="1" applyFont="1">
      <alignment vertical="center"/>
    </xf>
    <xf numFmtId="182" fontId="2" fillId="3" borderId="0" xfId="0" applyNumberFormat="1" applyFont="1" applyFill="1" applyAlignment="1">
      <alignment horizontal="right" vertical="center"/>
    </xf>
    <xf numFmtId="182" fontId="2" fillId="0" borderId="0" xfId="0" applyNumberFormat="1" applyFont="1" applyAlignment="1">
      <alignment horizontal="center" vertical="center"/>
    </xf>
    <xf numFmtId="0" fontId="9" fillId="0" borderId="0" xfId="0" applyFont="1" applyAlignment="1">
      <alignment horizontal="left" vertical="center"/>
    </xf>
    <xf numFmtId="182" fontId="8" fillId="0" borderId="0" xfId="0" applyNumberFormat="1" applyFont="1" applyAlignment="1">
      <alignment horizontal="center" vertical="center"/>
    </xf>
    <xf numFmtId="38" fontId="2" fillId="0" borderId="0" xfId="2" applyFont="1" applyFill="1" applyAlignment="1">
      <alignment horizontal="right" vertical="center"/>
    </xf>
    <xf numFmtId="38" fontId="2" fillId="3" borderId="0" xfId="2" applyFont="1" applyFill="1" applyAlignment="1">
      <alignment horizontal="right" vertical="center"/>
    </xf>
    <xf numFmtId="38" fontId="2" fillId="0" borderId="0" xfId="2" applyFont="1" applyFill="1" applyAlignment="1">
      <alignment horizontal="center" vertical="center"/>
    </xf>
    <xf numFmtId="176" fontId="2" fillId="0" borderId="0" xfId="1" applyNumberFormat="1" applyFont="1" applyFill="1" applyAlignment="1">
      <alignment horizontal="right" vertical="center"/>
    </xf>
    <xf numFmtId="180" fontId="2" fillId="0" borderId="0" xfId="0" applyNumberFormat="1" applyFont="1" applyAlignment="1">
      <alignment horizontal="right" vertical="center"/>
    </xf>
    <xf numFmtId="180" fontId="8" fillId="0" borderId="0" xfId="0" applyNumberFormat="1" applyFont="1" applyAlignment="1">
      <alignment horizontal="right" vertical="center"/>
    </xf>
    <xf numFmtId="0" fontId="0" fillId="0" borderId="0" xfId="0" applyAlignment="1">
      <alignment horizontal="center" vertical="center"/>
    </xf>
    <xf numFmtId="179" fontId="2" fillId="0" borderId="1" xfId="2" applyNumberFormat="1" applyBorder="1">
      <alignment vertical="center"/>
    </xf>
    <xf numFmtId="179" fontId="2" fillId="0" borderId="0" xfId="2" applyNumberFormat="1">
      <alignment vertical="center"/>
    </xf>
    <xf numFmtId="0" fontId="11" fillId="0" borderId="1" xfId="0" applyFont="1" applyBorder="1">
      <alignment vertical="center"/>
    </xf>
    <xf numFmtId="0" fontId="11" fillId="0" borderId="0" xfId="0" applyFont="1">
      <alignment vertical="center"/>
    </xf>
    <xf numFmtId="179" fontId="0" fillId="0" borderId="1" xfId="0" applyNumberFormat="1" applyBorder="1">
      <alignment vertical="center"/>
    </xf>
    <xf numFmtId="179" fontId="0" fillId="0" borderId="0" xfId="0" applyNumberFormat="1">
      <alignment vertical="center"/>
    </xf>
    <xf numFmtId="0" fontId="12" fillId="0" borderId="5" xfId="0" applyFont="1" applyBorder="1">
      <alignment vertical="center"/>
    </xf>
    <xf numFmtId="0" fontId="0" fillId="0" borderId="5" xfId="0" applyBorder="1">
      <alignment vertical="center"/>
    </xf>
    <xf numFmtId="179" fontId="0" fillId="0" borderId="5" xfId="0" applyNumberFormat="1" applyBorder="1">
      <alignment vertical="center"/>
    </xf>
    <xf numFmtId="0" fontId="13" fillId="0" borderId="4" xfId="0" applyFont="1" applyBorder="1">
      <alignment vertical="center"/>
    </xf>
    <xf numFmtId="179" fontId="0" fillId="0" borderId="4" xfId="0" applyNumberFormat="1" applyBorder="1">
      <alignment vertical="center"/>
    </xf>
    <xf numFmtId="0" fontId="14" fillId="0" borderId="3" xfId="0" applyFont="1" applyBorder="1">
      <alignment vertical="center"/>
    </xf>
    <xf numFmtId="179" fontId="0" fillId="0" borderId="3" xfId="0" applyNumberFormat="1" applyBorder="1">
      <alignment vertical="center"/>
    </xf>
    <xf numFmtId="0" fontId="15" fillId="0" borderId="4" xfId="0" applyFont="1" applyBorder="1">
      <alignment vertical="center"/>
    </xf>
    <xf numFmtId="0" fontId="16" fillId="0" borderId="4" xfId="0" applyFont="1" applyBorder="1">
      <alignment vertical="center"/>
    </xf>
    <xf numFmtId="0" fontId="0" fillId="0" borderId="6" xfId="0" applyBorder="1">
      <alignment vertical="center"/>
    </xf>
    <xf numFmtId="0" fontId="12" fillId="0" borderId="4" xfId="0" applyFont="1" applyBorder="1">
      <alignment vertical="center"/>
    </xf>
    <xf numFmtId="179" fontId="2" fillId="0" borderId="4" xfId="2" applyNumberFormat="1" applyBorder="1">
      <alignment vertical="center"/>
    </xf>
    <xf numFmtId="178" fontId="2" fillId="0" borderId="0" xfId="2" applyNumberFormat="1">
      <alignment vertical="center"/>
    </xf>
    <xf numFmtId="0" fontId="14" fillId="0" borderId="4" xfId="0" applyFont="1" applyBorder="1">
      <alignment vertical="center"/>
    </xf>
    <xf numFmtId="0" fontId="0" fillId="2" borderId="0" xfId="0" applyFill="1">
      <alignment vertical="center"/>
    </xf>
    <xf numFmtId="38" fontId="2" fillId="0" borderId="0" xfId="2" applyFont="1" applyFill="1" applyBorder="1">
      <alignment vertical="center"/>
    </xf>
    <xf numFmtId="38" fontId="0" fillId="0" borderId="0" xfId="2" applyFont="1">
      <alignment vertical="center"/>
    </xf>
    <xf numFmtId="38" fontId="0" fillId="0" borderId="1" xfId="2" applyFont="1" applyBorder="1">
      <alignment vertical="center"/>
    </xf>
    <xf numFmtId="38" fontId="0" fillId="0" borderId="2" xfId="2" applyFont="1" applyBorder="1">
      <alignment vertical="center"/>
    </xf>
    <xf numFmtId="38" fontId="0" fillId="0" borderId="0" xfId="2" applyFont="1" applyFill="1">
      <alignment vertical="center"/>
    </xf>
    <xf numFmtId="179" fontId="0" fillId="0" borderId="2" xfId="0" applyNumberFormat="1" applyBorder="1">
      <alignment vertical="center"/>
    </xf>
    <xf numFmtId="179" fontId="2" fillId="0" borderId="0" xfId="2" applyNumberFormat="1" applyFont="1">
      <alignment vertical="center"/>
    </xf>
    <xf numFmtId="179" fontId="2" fillId="0" borderId="0" xfId="2" applyNumberFormat="1" applyFont="1" applyBorder="1">
      <alignment vertical="center"/>
    </xf>
    <xf numFmtId="179" fontId="2" fillId="0" borderId="3" xfId="2" applyNumberFormat="1" applyFont="1" applyBorder="1">
      <alignment vertical="center"/>
    </xf>
    <xf numFmtId="180" fontId="2" fillId="3" borderId="1" xfId="2" applyNumberFormat="1" applyFill="1" applyBorder="1">
      <alignment vertical="center"/>
    </xf>
    <xf numFmtId="180" fontId="2" fillId="3" borderId="0" xfId="2" applyNumberFormat="1" applyFill="1">
      <alignment vertical="center"/>
    </xf>
    <xf numFmtId="179" fontId="0" fillId="0" borderId="7" xfId="0" applyNumberFormat="1" applyBorder="1">
      <alignment vertical="center"/>
    </xf>
    <xf numFmtId="180" fontId="0" fillId="0" borderId="7" xfId="0" applyNumberFormat="1" applyBorder="1">
      <alignment vertical="center"/>
    </xf>
    <xf numFmtId="177" fontId="0" fillId="0" borderId="1" xfId="0" applyNumberFormat="1" applyBorder="1">
      <alignment vertical="center"/>
    </xf>
    <xf numFmtId="177" fontId="0" fillId="0" borderId="0" xfId="0" applyNumberFormat="1">
      <alignment vertical="center"/>
    </xf>
    <xf numFmtId="177" fontId="0" fillId="0" borderId="7" xfId="0" applyNumberFormat="1" applyBorder="1">
      <alignment vertical="center"/>
    </xf>
    <xf numFmtId="177" fontId="2" fillId="0" borderId="0" xfId="2" applyNumberFormat="1" applyFill="1">
      <alignment vertical="center"/>
    </xf>
    <xf numFmtId="177" fontId="0" fillId="0" borderId="2" xfId="0" applyNumberFormat="1" applyBorder="1">
      <alignment vertical="center"/>
    </xf>
    <xf numFmtId="38" fontId="2" fillId="0" borderId="1" xfId="2" applyBorder="1">
      <alignment vertical="center"/>
    </xf>
    <xf numFmtId="38" fontId="2" fillId="0" borderId="0" xfId="2">
      <alignment vertical="center"/>
    </xf>
    <xf numFmtId="38" fontId="2" fillId="0" borderId="0" xfId="2" applyFill="1">
      <alignment vertical="center"/>
    </xf>
    <xf numFmtId="38" fontId="0" fillId="0" borderId="7" xfId="2" applyFont="1" applyBorder="1">
      <alignment vertical="center"/>
    </xf>
    <xf numFmtId="38" fontId="0" fillId="0" borderId="0" xfId="2" applyFont="1" applyBorder="1">
      <alignment vertical="center"/>
    </xf>
    <xf numFmtId="38" fontId="0" fillId="0" borderId="0" xfId="2" applyFont="1" applyFill="1" applyBorder="1">
      <alignment vertical="center"/>
    </xf>
    <xf numFmtId="177" fontId="2" fillId="0" borderId="0" xfId="2" applyNumberFormat="1" applyFill="1" applyBorder="1">
      <alignment vertical="center"/>
    </xf>
    <xf numFmtId="38" fontId="2" fillId="3" borderId="1" xfId="2" applyFill="1" applyBorder="1">
      <alignment vertical="center"/>
    </xf>
    <xf numFmtId="38" fontId="2" fillId="3" borderId="0" xfId="2" applyFill="1">
      <alignment vertical="center"/>
    </xf>
    <xf numFmtId="40" fontId="2" fillId="3" borderId="0" xfId="2" applyNumberFormat="1" applyFill="1">
      <alignment vertical="center"/>
    </xf>
    <xf numFmtId="0" fontId="6" fillId="3" borderId="0" xfId="0" applyFont="1" applyFill="1">
      <alignment vertical="center"/>
    </xf>
    <xf numFmtId="182" fontId="2" fillId="3" borderId="0" xfId="0" applyNumberFormat="1" applyFont="1" applyFill="1">
      <alignment vertical="center"/>
    </xf>
    <xf numFmtId="180" fontId="2" fillId="3" borderId="0" xfId="0" applyNumberFormat="1" applyFont="1" applyFill="1" applyAlignment="1">
      <alignment horizontal="right" vertical="center"/>
    </xf>
    <xf numFmtId="0" fontId="8" fillId="4" borderId="0" xfId="0" applyFont="1" applyFill="1">
      <alignment vertical="center"/>
    </xf>
    <xf numFmtId="0" fontId="8" fillId="4" borderId="0" xfId="0" applyFont="1" applyFill="1" applyAlignment="1">
      <alignment horizontal="center" vertical="center"/>
    </xf>
    <xf numFmtId="0" fontId="10" fillId="4" borderId="0" xfId="0" applyFont="1" applyFill="1" applyAlignment="1">
      <alignment horizontal="center" vertical="center"/>
    </xf>
    <xf numFmtId="179" fontId="2" fillId="0" borderId="4" xfId="2" applyNumberFormat="1" applyFont="1" applyFill="1" applyBorder="1">
      <alignment vertical="center"/>
    </xf>
    <xf numFmtId="179" fontId="2" fillId="0" borderId="4" xfId="2" applyNumberFormat="1" applyFill="1" applyBorder="1">
      <alignment vertical="center"/>
    </xf>
    <xf numFmtId="178" fontId="2" fillId="0" borderId="0" xfId="2" applyNumberFormat="1" applyFill="1">
      <alignment vertical="center"/>
    </xf>
    <xf numFmtId="179" fontId="2" fillId="0" borderId="7" xfId="2" applyNumberFormat="1" applyFill="1" applyBorder="1">
      <alignment vertical="center"/>
    </xf>
    <xf numFmtId="179" fontId="2" fillId="0" borderId="0" xfId="2" applyNumberFormat="1" applyFill="1" applyBorder="1">
      <alignment vertical="center"/>
    </xf>
    <xf numFmtId="180" fontId="2" fillId="0" borderId="1" xfId="2" applyNumberFormat="1" applyFill="1" applyBorder="1">
      <alignment vertical="center"/>
    </xf>
    <xf numFmtId="38" fontId="0" fillId="0" borderId="1" xfId="2" applyFont="1" applyFill="1" applyBorder="1">
      <alignment vertical="center"/>
    </xf>
    <xf numFmtId="38" fontId="0" fillId="0" borderId="2" xfId="2" applyFont="1" applyFill="1" applyBorder="1">
      <alignment vertical="center"/>
    </xf>
    <xf numFmtId="180" fontId="2" fillId="0" borderId="0" xfId="2" applyNumberFormat="1" applyFont="1" applyFill="1" applyBorder="1">
      <alignment vertical="center"/>
    </xf>
    <xf numFmtId="180" fontId="2" fillId="0" borderId="3" xfId="2" applyNumberFormat="1" applyFont="1" applyFill="1" applyBorder="1">
      <alignment vertical="center"/>
    </xf>
    <xf numFmtId="180" fontId="2" fillId="0" borderId="0" xfId="2" applyNumberFormat="1" applyFont="1" applyFill="1">
      <alignment vertical="center"/>
    </xf>
    <xf numFmtId="180" fontId="2" fillId="0" borderId="4" xfId="2" applyNumberFormat="1" applyFont="1" applyFill="1" applyBorder="1">
      <alignment vertical="center"/>
    </xf>
    <xf numFmtId="38" fontId="18" fillId="5" borderId="1" xfId="2" applyFont="1" applyFill="1" applyBorder="1">
      <alignment vertical="center"/>
    </xf>
    <xf numFmtId="38" fontId="18" fillId="5" borderId="0" xfId="2" applyFont="1" applyFill="1">
      <alignment vertical="center"/>
    </xf>
    <xf numFmtId="0" fontId="6" fillId="5" borderId="0" xfId="0" applyFont="1" applyFill="1">
      <alignment vertical="center"/>
    </xf>
    <xf numFmtId="38" fontId="0" fillId="0" borderId="7" xfId="2" applyFont="1" applyFill="1" applyBorder="1">
      <alignment vertical="center"/>
    </xf>
    <xf numFmtId="38" fontId="2" fillId="6" borderId="0" xfId="2" applyFont="1" applyFill="1" applyAlignment="1">
      <alignment horizontal="right" vertical="center"/>
    </xf>
    <xf numFmtId="38" fontId="2" fillId="6" borderId="0" xfId="2" applyFont="1" applyFill="1" applyAlignment="1">
      <alignment horizontal="center" vertical="center"/>
    </xf>
    <xf numFmtId="179" fontId="0" fillId="0" borderId="8" xfId="0" applyNumberFormat="1" applyBorder="1">
      <alignment vertical="center"/>
    </xf>
    <xf numFmtId="179" fontId="0" fillId="0" borderId="9" xfId="0" applyNumberFormat="1" applyBorder="1">
      <alignment vertical="center"/>
    </xf>
    <xf numFmtId="179" fontId="0" fillId="0" borderId="10" xfId="0" applyNumberFormat="1" applyBorder="1">
      <alignment vertical="center"/>
    </xf>
    <xf numFmtId="0" fontId="8" fillId="7" borderId="0" xfId="0" applyFont="1" applyFill="1">
      <alignment vertical="center"/>
    </xf>
    <xf numFmtId="0" fontId="8" fillId="7" borderId="0" xfId="0" applyFont="1" applyFill="1" applyAlignment="1">
      <alignment horizontal="center" vertical="center"/>
    </xf>
    <xf numFmtId="0" fontId="10" fillId="7" borderId="0" xfId="0" applyFont="1" applyFill="1" applyAlignment="1">
      <alignment horizontal="center" vertical="center"/>
    </xf>
    <xf numFmtId="0" fontId="8" fillId="8" borderId="0" xfId="0" applyFont="1" applyFill="1">
      <alignment vertical="center"/>
    </xf>
    <xf numFmtId="0" fontId="8" fillId="8" borderId="0" xfId="0" applyFont="1" applyFill="1" applyAlignment="1">
      <alignment horizontal="center" vertical="center"/>
    </xf>
    <xf numFmtId="0" fontId="10" fillId="8" borderId="0" xfId="0" applyFont="1" applyFill="1" applyAlignment="1">
      <alignment horizontal="center" vertical="center"/>
    </xf>
    <xf numFmtId="182" fontId="0" fillId="0" borderId="0" xfId="0" applyNumberFormat="1" applyAlignment="1">
      <alignment horizontal="right" vertical="center"/>
    </xf>
    <xf numFmtId="180" fontId="2" fillId="0" borderId="0" xfId="2" applyNumberFormat="1" applyFill="1" applyBorder="1">
      <alignment vertical="center"/>
    </xf>
    <xf numFmtId="179" fontId="2" fillId="6" borderId="1" xfId="2" applyNumberFormat="1" applyFill="1" applyBorder="1">
      <alignment vertical="center"/>
    </xf>
    <xf numFmtId="179" fontId="2" fillId="6" borderId="0" xfId="2" applyNumberFormat="1" applyFill="1">
      <alignment vertical="center"/>
    </xf>
    <xf numFmtId="180" fontId="2" fillId="6" borderId="1" xfId="2" applyNumberFormat="1" applyFill="1" applyBorder="1">
      <alignment vertical="center"/>
    </xf>
    <xf numFmtId="180" fontId="2" fillId="6" borderId="0" xfId="2" applyNumberFormat="1" applyFill="1">
      <alignment vertical="center"/>
    </xf>
    <xf numFmtId="182" fontId="2" fillId="6" borderId="0" xfId="2" applyNumberFormat="1" applyFont="1" applyFill="1" applyAlignment="1">
      <alignment horizontal="right" vertical="center"/>
    </xf>
    <xf numFmtId="182" fontId="2" fillId="6" borderId="0" xfId="0" applyNumberFormat="1" applyFont="1" applyFill="1" applyAlignment="1">
      <alignment horizontal="right" vertical="center"/>
    </xf>
    <xf numFmtId="180" fontId="2" fillId="6" borderId="0" xfId="0" applyNumberFormat="1" applyFont="1" applyFill="1" applyAlignment="1">
      <alignment horizontal="right" vertical="center"/>
    </xf>
    <xf numFmtId="38" fontId="2" fillId="6" borderId="1" xfId="2" applyFill="1" applyBorder="1">
      <alignment vertical="center"/>
    </xf>
    <xf numFmtId="38" fontId="2" fillId="6" borderId="0" xfId="2" applyFill="1">
      <alignment vertical="center"/>
    </xf>
    <xf numFmtId="40" fontId="2" fillId="6" borderId="0" xfId="2" applyNumberFormat="1" applyFill="1">
      <alignment vertical="center"/>
    </xf>
    <xf numFmtId="182" fontId="2" fillId="6" borderId="0" xfId="0" applyNumberFormat="1" applyFont="1" applyFill="1">
      <alignment vertical="center"/>
    </xf>
    <xf numFmtId="38" fontId="2" fillId="0" borderId="0" xfId="2" applyFont="1" applyFill="1">
      <alignment vertical="center"/>
    </xf>
    <xf numFmtId="38" fontId="2" fillId="0" borderId="1" xfId="2" applyFont="1" applyFill="1" applyBorder="1">
      <alignment vertical="center"/>
    </xf>
    <xf numFmtId="38" fontId="2" fillId="0" borderId="2" xfId="2" applyFont="1" applyFill="1" applyBorder="1">
      <alignment vertical="center"/>
    </xf>
    <xf numFmtId="38" fontId="2" fillId="0" borderId="7" xfId="2" applyFont="1" applyFill="1" applyBorder="1">
      <alignment vertical="center"/>
    </xf>
    <xf numFmtId="180" fontId="0" fillId="0" borderId="0" xfId="0" applyNumberFormat="1">
      <alignment vertical="center"/>
    </xf>
    <xf numFmtId="178" fontId="2" fillId="0" borderId="0" xfId="2" applyNumberFormat="1" applyFill="1" applyBorder="1">
      <alignment vertical="center"/>
    </xf>
    <xf numFmtId="38" fontId="2" fillId="0" borderId="0" xfId="2" applyFill="1" applyBorder="1">
      <alignment vertical="center"/>
    </xf>
    <xf numFmtId="38" fontId="2" fillId="0" borderId="1" xfId="2" applyFill="1" applyBorder="1">
      <alignment vertical="center"/>
    </xf>
    <xf numFmtId="182" fontId="2" fillId="0" borderId="0" xfId="2" applyNumberFormat="1" applyFont="1" applyFill="1" applyBorder="1" applyAlignment="1">
      <alignment horizontal="right" vertical="center"/>
    </xf>
    <xf numFmtId="38" fontId="2" fillId="0" borderId="0" xfId="2" applyFont="1" applyFill="1" applyBorder="1" applyAlignment="1">
      <alignment horizontal="right" vertical="center"/>
    </xf>
    <xf numFmtId="176" fontId="2" fillId="0" borderId="0" xfId="1" applyNumberFormat="1" applyFont="1" applyFill="1" applyBorder="1" applyAlignment="1">
      <alignment horizontal="right" vertical="center"/>
    </xf>
    <xf numFmtId="179" fontId="0" fillId="0" borderId="11" xfId="0" applyNumberFormat="1" applyBorder="1">
      <alignment vertical="center"/>
    </xf>
    <xf numFmtId="177" fontId="0" fillId="0" borderId="11" xfId="0" applyNumberFormat="1" applyBorder="1">
      <alignment vertical="center"/>
    </xf>
    <xf numFmtId="179" fontId="0" fillId="0" borderId="12" xfId="0" applyNumberFormat="1" applyBorder="1">
      <alignment vertical="center"/>
    </xf>
    <xf numFmtId="179" fontId="2" fillId="0" borderId="12" xfId="2" applyNumberFormat="1" applyFont="1" applyFill="1" applyBorder="1">
      <alignment vertical="center"/>
    </xf>
    <xf numFmtId="179" fontId="2" fillId="0" borderId="11" xfId="2" applyNumberFormat="1" applyFill="1" applyBorder="1">
      <alignment vertical="center"/>
    </xf>
    <xf numFmtId="38" fontId="2" fillId="0" borderId="11" xfId="2" applyFont="1" applyFill="1" applyBorder="1">
      <alignment vertical="center"/>
    </xf>
    <xf numFmtId="38" fontId="17" fillId="0" borderId="0" xfId="2" applyFont="1" applyFill="1">
      <alignment vertical="center"/>
    </xf>
    <xf numFmtId="179" fontId="2" fillId="0" borderId="13" xfId="2" applyNumberFormat="1" applyFill="1" applyBorder="1">
      <alignment vertical="center"/>
    </xf>
    <xf numFmtId="179" fontId="2" fillId="9" borderId="0" xfId="2" applyNumberFormat="1" applyFont="1" applyFill="1">
      <alignment vertical="center"/>
    </xf>
    <xf numFmtId="180" fontId="2" fillId="9" borderId="0" xfId="2" applyNumberFormat="1" applyFont="1" applyFill="1">
      <alignment vertical="center"/>
    </xf>
    <xf numFmtId="179" fontId="2" fillId="9" borderId="0" xfId="2" applyNumberFormat="1" applyFont="1" applyFill="1" applyBorder="1">
      <alignment vertical="center"/>
    </xf>
    <xf numFmtId="179" fontId="0" fillId="9" borderId="0" xfId="0" applyNumberFormat="1" applyFill="1">
      <alignment vertical="center"/>
    </xf>
    <xf numFmtId="0" fontId="6" fillId="10" borderId="0" xfId="0" applyFont="1" applyFill="1">
      <alignment vertical="center"/>
    </xf>
    <xf numFmtId="0" fontId="0" fillId="10" borderId="0" xfId="0" applyFill="1">
      <alignment vertical="center"/>
    </xf>
    <xf numFmtId="0" fontId="8" fillId="11" borderId="0" xfId="0" applyFont="1" applyFill="1">
      <alignment vertical="center"/>
    </xf>
    <xf numFmtId="0" fontId="8" fillId="11" borderId="0" xfId="0" applyFont="1" applyFill="1" applyAlignment="1">
      <alignment horizontal="center" vertical="center"/>
    </xf>
    <xf numFmtId="0" fontId="10" fillId="11" borderId="0" xfId="0" applyFont="1" applyFill="1" applyAlignment="1">
      <alignment horizontal="center" vertical="center"/>
    </xf>
    <xf numFmtId="181" fontId="2" fillId="0" borderId="0" xfId="2" applyNumberFormat="1" applyFont="1" applyFill="1" applyAlignment="1">
      <alignment horizontal="right" vertical="center"/>
    </xf>
    <xf numFmtId="181" fontId="2" fillId="0" borderId="0" xfId="2" applyNumberFormat="1" applyFill="1" applyBorder="1">
      <alignment vertical="center"/>
    </xf>
    <xf numFmtId="38" fontId="0" fillId="0" borderId="0" xfId="0" applyNumberFormat="1">
      <alignment vertical="center"/>
    </xf>
    <xf numFmtId="178" fontId="0" fillId="0" borderId="0" xfId="0" applyNumberFormat="1">
      <alignment vertical="center"/>
    </xf>
    <xf numFmtId="178" fontId="9" fillId="0" borderId="0" xfId="0" applyNumberFormat="1" applyFont="1">
      <alignment vertical="center"/>
    </xf>
    <xf numFmtId="179" fontId="0" fillId="5" borderId="0" xfId="0" applyNumberFormat="1" applyFill="1">
      <alignment vertical="center"/>
    </xf>
    <xf numFmtId="179" fontId="2" fillId="5" borderId="0" xfId="2" applyNumberFormat="1" applyFont="1" applyFill="1">
      <alignment vertical="center"/>
    </xf>
    <xf numFmtId="179" fontId="2" fillId="5" borderId="0" xfId="2" applyNumberFormat="1" applyFont="1" applyFill="1" applyBorder="1">
      <alignment vertical="center"/>
    </xf>
    <xf numFmtId="40" fontId="2" fillId="0" borderId="0" xfId="2" applyNumberFormat="1" applyFill="1">
      <alignment vertical="center"/>
    </xf>
    <xf numFmtId="179" fontId="2" fillId="5" borderId="1" xfId="2" applyNumberFormat="1" applyFill="1" applyBorder="1">
      <alignment vertical="center"/>
    </xf>
    <xf numFmtId="179" fontId="2" fillId="5" borderId="0" xfId="2" applyNumberFormat="1" applyFill="1">
      <alignment vertical="center"/>
    </xf>
    <xf numFmtId="179" fontId="2" fillId="5" borderId="14" xfId="2" applyNumberFormat="1" applyFill="1" applyBorder="1">
      <alignment vertical="center"/>
    </xf>
    <xf numFmtId="179" fontId="2" fillId="5" borderId="11" xfId="2" applyNumberFormat="1" applyFill="1" applyBorder="1">
      <alignment vertical="center"/>
    </xf>
    <xf numFmtId="179" fontId="2" fillId="5" borderId="2" xfId="2" applyNumberFormat="1" applyFill="1" applyBorder="1">
      <alignment vertical="center"/>
    </xf>
    <xf numFmtId="180" fontId="2" fillId="12" borderId="1" xfId="2" applyNumberFormat="1" applyFill="1" applyBorder="1">
      <alignment vertical="center"/>
    </xf>
    <xf numFmtId="180" fontId="2" fillId="12" borderId="0" xfId="2" applyNumberFormat="1" applyFill="1">
      <alignment vertical="center"/>
    </xf>
    <xf numFmtId="179" fontId="2" fillId="0" borderId="1" xfId="2" applyNumberFormat="1" applyFont="1" applyFill="1" applyBorder="1">
      <alignment vertical="center"/>
    </xf>
    <xf numFmtId="179" fontId="2" fillId="0" borderId="7" xfId="2" applyNumberFormat="1" applyFont="1" applyFill="1" applyBorder="1">
      <alignment vertical="center"/>
    </xf>
    <xf numFmtId="179" fontId="0" fillId="0" borderId="0" xfId="2" applyNumberFormat="1" applyFont="1" applyFill="1">
      <alignment vertical="center"/>
    </xf>
    <xf numFmtId="179" fontId="2" fillId="0" borderId="11" xfId="2" applyNumberFormat="1" applyFont="1" applyFill="1" applyBorder="1">
      <alignment vertical="center"/>
    </xf>
    <xf numFmtId="181" fontId="2" fillId="0" borderId="0" xfId="0" applyNumberFormat="1" applyFont="1" applyAlignment="1">
      <alignment horizontal="right" vertical="center"/>
    </xf>
    <xf numFmtId="181" fontId="2" fillId="0" borderId="0" xfId="0" applyNumberFormat="1" applyFont="1">
      <alignment vertical="center"/>
    </xf>
    <xf numFmtId="181" fontId="2" fillId="0" borderId="0" xfId="2" applyNumberFormat="1" applyFont="1" applyFill="1" applyBorder="1" applyAlignment="1">
      <alignment vertical="center"/>
    </xf>
    <xf numFmtId="183" fontId="9" fillId="0" borderId="0" xfId="2" applyNumberFormat="1" applyFont="1" applyFill="1" applyAlignment="1">
      <alignment vertical="center"/>
    </xf>
    <xf numFmtId="179" fontId="0" fillId="5" borderId="1" xfId="0" applyNumberFormat="1" applyFill="1" applyBorder="1">
      <alignment vertical="center"/>
    </xf>
    <xf numFmtId="179" fontId="2" fillId="5" borderId="0" xfId="2" applyNumberFormat="1" applyFill="1" applyBorder="1">
      <alignment vertical="center"/>
    </xf>
    <xf numFmtId="179" fontId="0" fillId="5" borderId="11" xfId="0" applyNumberFormat="1" applyFill="1" applyBorder="1">
      <alignment vertical="center"/>
    </xf>
    <xf numFmtId="179" fontId="2" fillId="5" borderId="13" xfId="2" applyNumberFormat="1" applyFill="1" applyBorder="1">
      <alignment vertical="center"/>
    </xf>
    <xf numFmtId="179" fontId="2" fillId="5" borderId="4" xfId="2" applyNumberFormat="1" applyFill="1" applyBorder="1">
      <alignment vertical="center"/>
    </xf>
    <xf numFmtId="38" fontId="2" fillId="5" borderId="0" xfId="2" applyFill="1" applyBorder="1">
      <alignment vertical="center"/>
    </xf>
    <xf numFmtId="178" fontId="2" fillId="5" borderId="0" xfId="2" applyNumberFormat="1" applyFill="1" applyBorder="1">
      <alignment vertical="center"/>
    </xf>
    <xf numFmtId="0" fontId="0" fillId="5" borderId="0" xfId="0" applyFill="1">
      <alignment vertical="center"/>
    </xf>
    <xf numFmtId="179" fontId="0" fillId="5" borderId="7" xfId="0" applyNumberFormat="1" applyFill="1" applyBorder="1">
      <alignment vertical="center"/>
    </xf>
    <xf numFmtId="179" fontId="2" fillId="0" borderId="14" xfId="2" applyNumberFormat="1" applyFill="1" applyBorder="1">
      <alignment vertical="center"/>
    </xf>
    <xf numFmtId="38" fontId="18" fillId="0" borderId="0" xfId="2" applyFont="1" applyFill="1" applyBorder="1">
      <alignment vertical="center"/>
    </xf>
    <xf numFmtId="40" fontId="2" fillId="0" borderId="0" xfId="2" applyNumberFormat="1" applyFill="1" applyBorder="1">
      <alignment vertical="center"/>
    </xf>
    <xf numFmtId="181" fontId="2" fillId="0" borderId="0" xfId="2" applyNumberFormat="1" applyFont="1" applyFill="1" applyBorder="1" applyAlignment="1">
      <alignment horizontal="right" vertical="center"/>
    </xf>
    <xf numFmtId="38" fontId="2" fillId="0" borderId="0" xfId="2" applyFont="1" applyFill="1" applyBorder="1" applyAlignment="1">
      <alignment horizontal="center" vertical="center"/>
    </xf>
    <xf numFmtId="38" fontId="17" fillId="0" borderId="0" xfId="2" applyFont="1" applyFill="1" applyBorder="1">
      <alignment vertical="center"/>
    </xf>
    <xf numFmtId="181" fontId="2" fillId="5" borderId="0" xfId="2" applyNumberFormat="1" applyFont="1" applyFill="1" applyAlignment="1">
      <alignment horizontal="right" vertical="center"/>
    </xf>
    <xf numFmtId="182" fontId="0" fillId="6" borderId="0" xfId="0" applyNumberFormat="1" applyFill="1" applyAlignment="1">
      <alignment horizontal="right" vertical="center"/>
    </xf>
    <xf numFmtId="181" fontId="2" fillId="5" borderId="0" xfId="2" applyNumberFormat="1" applyFill="1" applyBorder="1">
      <alignment vertical="center"/>
    </xf>
    <xf numFmtId="179" fontId="2" fillId="5" borderId="3" xfId="2" applyNumberFormat="1" applyFont="1" applyFill="1" applyBorder="1">
      <alignment vertical="center"/>
    </xf>
    <xf numFmtId="179" fontId="2" fillId="5" borderId="4" xfId="2" applyNumberFormat="1" applyFont="1" applyFill="1" applyBorder="1">
      <alignment vertical="center"/>
    </xf>
    <xf numFmtId="0" fontId="9" fillId="6" borderId="0" xfId="0" applyFont="1" applyFill="1" applyAlignment="1">
      <alignment horizontal="center" vertical="center"/>
    </xf>
    <xf numFmtId="0" fontId="0" fillId="6" borderId="4" xfId="0" applyFill="1" applyBorder="1">
      <alignment vertical="center"/>
    </xf>
    <xf numFmtId="179" fontId="2" fillId="6" borderId="4" xfId="2" applyNumberFormat="1" applyFill="1" applyBorder="1">
      <alignment vertical="center"/>
    </xf>
    <xf numFmtId="179" fontId="2" fillId="6" borderId="0" xfId="2" applyNumberFormat="1" applyFont="1" applyFill="1">
      <alignment vertical="center"/>
    </xf>
    <xf numFmtId="178" fontId="2" fillId="6" borderId="0" xfId="2" applyNumberFormat="1" applyFill="1">
      <alignment vertical="center"/>
    </xf>
    <xf numFmtId="0" fontId="10" fillId="6" borderId="0" xfId="0" applyFont="1" applyFill="1" applyAlignment="1">
      <alignment horizontal="center" vertical="center"/>
    </xf>
    <xf numFmtId="0" fontId="0" fillId="6" borderId="0" xfId="0" applyFill="1">
      <alignment vertical="center"/>
    </xf>
    <xf numFmtId="179" fontId="2" fillId="6" borderId="13" xfId="2" applyNumberFormat="1" applyFill="1" applyBorder="1">
      <alignment vertical="center"/>
    </xf>
    <xf numFmtId="179" fontId="2" fillId="6" borderId="0" xfId="2" applyNumberFormat="1" applyFill="1" applyBorder="1">
      <alignment vertical="center"/>
    </xf>
    <xf numFmtId="38" fontId="2" fillId="6" borderId="0" xfId="2" applyFill="1" applyBorder="1">
      <alignment vertical="center"/>
    </xf>
    <xf numFmtId="178" fontId="2" fillId="6" borderId="0" xfId="2" applyNumberFormat="1" applyFill="1" applyBorder="1">
      <alignment vertical="center"/>
    </xf>
    <xf numFmtId="0" fontId="8" fillId="79" borderId="0" xfId="0" applyFont="1" applyFill="1">
      <alignment vertical="center"/>
    </xf>
    <xf numFmtId="0" fontId="8" fillId="79" borderId="0" xfId="0" applyFont="1" applyFill="1" applyAlignment="1">
      <alignment horizontal="center" vertical="center"/>
    </xf>
    <xf numFmtId="0" fontId="10" fillId="79" borderId="0" xfId="0" applyFont="1" applyFill="1" applyAlignment="1">
      <alignment horizontal="center" vertical="center"/>
    </xf>
    <xf numFmtId="188" fontId="2" fillId="0" borderId="0" xfId="2" applyNumberFormat="1" applyFont="1" applyFill="1" applyAlignment="1">
      <alignment horizontal="right" vertical="center"/>
    </xf>
    <xf numFmtId="179" fontId="0" fillId="0" borderId="3" xfId="2" applyNumberFormat="1" applyFont="1" applyFill="1" applyBorder="1">
      <alignment vertical="center"/>
    </xf>
    <xf numFmtId="179" fontId="2" fillId="12" borderId="3" xfId="2" applyNumberFormat="1" applyFont="1" applyFill="1" applyBorder="1">
      <alignment vertical="center"/>
    </xf>
    <xf numFmtId="179" fontId="2" fillId="12" borderId="4" xfId="2" applyNumberFormat="1" applyFill="1" applyBorder="1">
      <alignment vertical="center"/>
    </xf>
    <xf numFmtId="0" fontId="0" fillId="12" borderId="0" xfId="0" applyFill="1">
      <alignment vertical="center"/>
    </xf>
    <xf numFmtId="179" fontId="2" fillId="12" borderId="0" xfId="2" applyNumberFormat="1" applyFill="1" applyBorder="1">
      <alignment vertical="center"/>
    </xf>
    <xf numFmtId="179" fontId="0" fillId="12" borderId="0" xfId="0" applyNumberFormat="1" applyFill="1">
      <alignment vertical="center"/>
    </xf>
    <xf numFmtId="182" fontId="2" fillId="12" borderId="0" xfId="0" applyNumberFormat="1" applyFont="1" applyFill="1" applyAlignment="1">
      <alignment horizontal="right" vertical="center"/>
    </xf>
    <xf numFmtId="179" fontId="2" fillId="0" borderId="4" xfId="2" applyNumberFormat="1" applyFont="1" applyFill="1" applyBorder="1" applyAlignment="1">
      <alignment vertical="center"/>
    </xf>
    <xf numFmtId="182" fontId="0" fillId="12" borderId="0" xfId="0" applyNumberFormat="1" applyFill="1" applyAlignment="1">
      <alignment horizontal="right" vertical="center"/>
    </xf>
    <xf numFmtId="0" fontId="8" fillId="80" borderId="0" xfId="0" applyFont="1" applyFill="1">
      <alignment vertical="center"/>
    </xf>
    <xf numFmtId="0" fontId="8" fillId="80" borderId="0" xfId="0" applyFont="1" applyFill="1" applyAlignment="1">
      <alignment horizontal="center" vertical="center"/>
    </xf>
    <xf numFmtId="0" fontId="10" fillId="80" borderId="0" xfId="0" applyFont="1" applyFill="1" applyAlignment="1">
      <alignment horizontal="center" vertical="center"/>
    </xf>
    <xf numFmtId="0" fontId="4" fillId="80" borderId="0" xfId="0" applyFont="1" applyFill="1">
      <alignment vertical="center"/>
    </xf>
    <xf numFmtId="0" fontId="0" fillId="80" borderId="0" xfId="0" applyFill="1">
      <alignment vertical="center"/>
    </xf>
    <xf numFmtId="0" fontId="6" fillId="80" borderId="0" xfId="0" applyFont="1" applyFill="1">
      <alignment vertical="center"/>
    </xf>
    <xf numFmtId="0" fontId="253" fillId="0" borderId="0" xfId="0" applyFont="1">
      <alignment vertical="center"/>
    </xf>
    <xf numFmtId="0" fontId="254" fillId="0" borderId="0" xfId="0" applyFont="1">
      <alignment vertical="center"/>
    </xf>
    <xf numFmtId="0" fontId="255" fillId="0" borderId="0" xfId="0" applyFont="1">
      <alignment vertical="center"/>
    </xf>
    <xf numFmtId="179" fontId="0" fillId="0" borderId="1" xfId="2" applyNumberFormat="1" applyFont="1" applyFill="1" applyBorder="1">
      <alignment vertical="center"/>
    </xf>
    <xf numFmtId="0" fontId="9" fillId="0" borderId="6" xfId="0" applyFont="1" applyBorder="1">
      <alignment vertical="center"/>
    </xf>
    <xf numFmtId="182" fontId="2" fillId="5" borderId="0" xfId="2" applyNumberFormat="1" applyFont="1" applyFill="1" applyAlignment="1">
      <alignment horizontal="right" vertical="center"/>
    </xf>
    <xf numFmtId="182" fontId="2" fillId="5" borderId="0" xfId="0" applyNumberFormat="1" applyFont="1" applyFill="1" applyAlignment="1">
      <alignment horizontal="right" vertical="center"/>
    </xf>
    <xf numFmtId="38" fontId="2" fillId="5" borderId="0" xfId="2" applyFont="1" applyFill="1" applyAlignment="1">
      <alignment horizontal="right" vertical="center"/>
    </xf>
    <xf numFmtId="182" fontId="8" fillId="5" borderId="0" xfId="0" applyNumberFormat="1" applyFont="1" applyFill="1" applyAlignment="1">
      <alignment horizontal="center" vertical="center"/>
    </xf>
    <xf numFmtId="176" fontId="2" fillId="5" borderId="0" xfId="1" applyNumberFormat="1" applyFont="1" applyFill="1" applyAlignment="1">
      <alignment horizontal="right" vertical="center"/>
    </xf>
    <xf numFmtId="180" fontId="2" fillId="5" borderId="0" xfId="0" applyNumberFormat="1" applyFont="1" applyFill="1" applyAlignment="1">
      <alignment horizontal="right" vertical="center"/>
    </xf>
    <xf numFmtId="179" fontId="0" fillId="5" borderId="5" xfId="0" applyNumberFormat="1" applyFill="1" applyBorder="1">
      <alignment vertical="center"/>
    </xf>
    <xf numFmtId="179" fontId="0" fillId="5" borderId="4" xfId="0" applyNumberFormat="1" applyFill="1" applyBorder="1">
      <alignment vertical="center"/>
    </xf>
    <xf numFmtId="179" fontId="0" fillId="5" borderId="3" xfId="0" applyNumberFormat="1" applyFill="1" applyBorder="1">
      <alignment vertical="center"/>
    </xf>
    <xf numFmtId="0" fontId="0" fillId="5" borderId="4" xfId="0" applyFill="1" applyBorder="1">
      <alignment vertical="center"/>
    </xf>
    <xf numFmtId="178" fontId="2" fillId="5" borderId="0" xfId="2" applyNumberFormat="1" applyFill="1">
      <alignment vertical="center"/>
    </xf>
    <xf numFmtId="179" fontId="2" fillId="81" borderId="0" xfId="2" applyNumberFormat="1" applyFont="1" applyFill="1" applyBorder="1">
      <alignment vertical="center"/>
    </xf>
    <xf numFmtId="179" fontId="2" fillId="81" borderId="3" xfId="2" applyNumberFormat="1" applyFont="1" applyFill="1" applyBorder="1">
      <alignment vertical="center"/>
    </xf>
    <xf numFmtId="181" fontId="2" fillId="81" borderId="0" xfId="2" applyNumberFormat="1" applyFont="1" applyFill="1" applyAlignment="1">
      <alignment horizontal="right" vertical="center"/>
    </xf>
    <xf numFmtId="181" fontId="2" fillId="81" borderId="0" xfId="2" applyNumberFormat="1" applyFill="1" applyBorder="1">
      <alignment vertical="center"/>
    </xf>
    <xf numFmtId="38" fontId="2" fillId="81" borderId="0" xfId="2" applyFont="1" applyFill="1" applyAlignment="1">
      <alignment horizontal="right" vertical="center"/>
    </xf>
    <xf numFmtId="176" fontId="2" fillId="81" borderId="0" xfId="1" applyNumberFormat="1" applyFont="1" applyFill="1" applyAlignment="1">
      <alignment horizontal="right" vertical="center"/>
    </xf>
    <xf numFmtId="180" fontId="2" fillId="81" borderId="0" xfId="0" applyNumberFormat="1" applyFont="1" applyFill="1" applyAlignment="1">
      <alignment horizontal="right" vertical="center"/>
    </xf>
    <xf numFmtId="179" fontId="0" fillId="81" borderId="1" xfId="0" applyNumberFormat="1" applyFill="1" applyBorder="1">
      <alignment vertical="center"/>
    </xf>
    <xf numFmtId="38" fontId="2" fillId="81" borderId="0" xfId="2" applyFont="1" applyFill="1">
      <alignment vertical="center"/>
    </xf>
    <xf numFmtId="179" fontId="2" fillId="81" borderId="0" xfId="2" applyNumberFormat="1" applyFill="1">
      <alignment vertical="center"/>
    </xf>
    <xf numFmtId="179" fontId="2" fillId="81" borderId="1" xfId="2" applyNumberFormat="1" applyFill="1" applyBorder="1">
      <alignment vertical="center"/>
    </xf>
    <xf numFmtId="179" fontId="0" fillId="81" borderId="0" xfId="0" applyNumberFormat="1" applyFill="1">
      <alignment vertical="center"/>
    </xf>
    <xf numFmtId="179" fontId="0" fillId="81" borderId="5" xfId="0" applyNumberFormat="1" applyFill="1" applyBorder="1">
      <alignment vertical="center"/>
    </xf>
    <xf numFmtId="179" fontId="0" fillId="81" borderId="4" xfId="0" applyNumberFormat="1" applyFill="1" applyBorder="1">
      <alignment vertical="center"/>
    </xf>
    <xf numFmtId="179" fontId="0" fillId="81" borderId="3" xfId="0" applyNumberFormat="1" applyFill="1" applyBorder="1">
      <alignment vertical="center"/>
    </xf>
    <xf numFmtId="178" fontId="2" fillId="81" borderId="0" xfId="2" applyNumberFormat="1" applyFill="1">
      <alignment vertical="center"/>
    </xf>
    <xf numFmtId="179" fontId="2" fillId="81" borderId="2" xfId="2" applyNumberFormat="1" applyFill="1" applyBorder="1">
      <alignment vertical="center"/>
    </xf>
    <xf numFmtId="182" fontId="2" fillId="5" borderId="0" xfId="0" applyNumberFormat="1" applyFont="1" applyFill="1" applyAlignment="1">
      <alignment horizontal="center" vertical="center"/>
    </xf>
    <xf numFmtId="182" fontId="0" fillId="5" borderId="0" xfId="0" applyNumberFormat="1" applyFill="1" applyAlignment="1">
      <alignment horizontal="right" vertical="center"/>
    </xf>
    <xf numFmtId="38" fontId="2" fillId="81" borderId="1" xfId="2" applyFill="1" applyBorder="1">
      <alignment vertical="center"/>
    </xf>
    <xf numFmtId="38" fontId="2" fillId="12" borderId="1" xfId="2" applyFill="1" applyBorder="1">
      <alignment vertical="center"/>
    </xf>
    <xf numFmtId="38" fontId="2" fillId="81" borderId="0" xfId="2" applyFill="1">
      <alignment vertical="center"/>
    </xf>
    <xf numFmtId="38" fontId="2" fillId="12" borderId="0" xfId="2" applyFill="1">
      <alignment vertical="center"/>
    </xf>
    <xf numFmtId="179" fontId="0" fillId="5" borderId="3" xfId="2" applyNumberFormat="1" applyFont="1" applyFill="1" applyBorder="1" applyAlignment="1">
      <alignment horizontal="right" vertical="center"/>
    </xf>
    <xf numFmtId="179" fontId="2" fillId="5" borderId="1" xfId="2" applyNumberFormat="1" applyFill="1" applyBorder="1" applyAlignment="1">
      <alignment horizontal="right" vertical="center"/>
    </xf>
    <xf numFmtId="179" fontId="2" fillId="5" borderId="0" xfId="2" applyNumberFormat="1" applyFill="1" applyAlignment="1">
      <alignment horizontal="right" vertical="center"/>
    </xf>
    <xf numFmtId="179" fontId="2" fillId="5" borderId="2" xfId="2" applyNumberFormat="1" applyFill="1" applyBorder="1" applyAlignment="1">
      <alignment horizontal="right" vertical="center"/>
    </xf>
    <xf numFmtId="179" fontId="2" fillId="5" borderId="0" xfId="2" applyNumberFormat="1" applyFont="1" applyFill="1" applyBorder="1" applyAlignment="1">
      <alignment horizontal="right" vertical="center"/>
    </xf>
    <xf numFmtId="179" fontId="2" fillId="5" borderId="3" xfId="2" applyNumberFormat="1" applyFont="1" applyFill="1" applyBorder="1" applyAlignment="1">
      <alignment horizontal="right" vertical="center"/>
    </xf>
    <xf numFmtId="179" fontId="2" fillId="5" borderId="4" xfId="2" applyNumberFormat="1" applyFont="1" applyFill="1" applyBorder="1" applyAlignment="1">
      <alignment horizontal="right" vertical="center"/>
    </xf>
    <xf numFmtId="182" fontId="8" fillId="5" borderId="0" xfId="0" applyNumberFormat="1" applyFont="1" applyFill="1" applyAlignment="1">
      <alignment horizontal="right" vertical="center"/>
    </xf>
    <xf numFmtId="181" fontId="2" fillId="0" borderId="0" xfId="2" applyNumberFormat="1" applyFont="1" applyFill="1" applyBorder="1">
      <alignment vertical="center"/>
    </xf>
    <xf numFmtId="179" fontId="2" fillId="0" borderId="1" xfId="2" applyNumberFormat="1" applyFill="1" applyBorder="1" applyAlignment="1">
      <alignment horizontal="right" vertical="center"/>
    </xf>
    <xf numFmtId="179" fontId="2" fillId="81" borderId="0" xfId="2" applyNumberFormat="1" applyFont="1" applyFill="1">
      <alignment vertical="center"/>
    </xf>
    <xf numFmtId="40" fontId="2" fillId="81" borderId="0" xfId="2" applyNumberFormat="1" applyFont="1" applyFill="1" applyAlignment="1">
      <alignment horizontal="right" vertical="center"/>
    </xf>
    <xf numFmtId="38" fontId="2" fillId="0" borderId="11" xfId="2" applyFill="1" applyBorder="1">
      <alignment vertical="center"/>
    </xf>
    <xf numFmtId="0" fontId="256" fillId="0" borderId="0" xfId="0" applyFont="1">
      <alignment vertical="center"/>
    </xf>
    <xf numFmtId="0" fontId="77" fillId="0" borderId="0" xfId="0" applyFont="1">
      <alignment vertical="center"/>
    </xf>
    <xf numFmtId="0" fontId="0" fillId="0" borderId="64" xfId="0" applyBorder="1">
      <alignment vertical="center"/>
    </xf>
    <xf numFmtId="0" fontId="77" fillId="0" borderId="64" xfId="0" applyFont="1" applyBorder="1">
      <alignment vertical="center"/>
    </xf>
    <xf numFmtId="182" fontId="0" fillId="0" borderId="0" xfId="0" quotePrefix="1" applyNumberFormat="1" applyAlignment="1">
      <alignment horizontal="right" vertical="center"/>
    </xf>
    <xf numFmtId="179" fontId="0" fillId="0" borderId="0" xfId="2" applyNumberFormat="1" applyFont="1" applyFill="1" applyBorder="1">
      <alignment vertical="center"/>
    </xf>
    <xf numFmtId="40" fontId="18" fillId="81" borderId="0" xfId="2" applyNumberFormat="1" applyFont="1" applyFill="1" applyAlignment="1">
      <alignment horizontal="right" vertical="center"/>
    </xf>
    <xf numFmtId="180" fontId="2" fillId="81" borderId="0" xfId="2" applyNumberFormat="1" applyFont="1" applyFill="1" applyAlignment="1">
      <alignment horizontal="right" vertical="center"/>
    </xf>
    <xf numFmtId="38" fontId="18" fillId="81" borderId="0" xfId="2" applyFont="1" applyFill="1" applyAlignment="1">
      <alignment horizontal="right" vertical="center"/>
    </xf>
    <xf numFmtId="38" fontId="0" fillId="0" borderId="64" xfId="2" applyFont="1" applyBorder="1">
      <alignment vertical="center"/>
    </xf>
    <xf numFmtId="40" fontId="2" fillId="0" borderId="0" xfId="2" applyNumberFormat="1" applyFont="1" applyFill="1" applyBorder="1" applyAlignment="1">
      <alignment vertical="center"/>
    </xf>
    <xf numFmtId="179" fontId="0" fillId="0" borderId="4" xfId="2" applyNumberFormat="1" applyFont="1" applyFill="1" applyBorder="1" applyAlignment="1">
      <alignment horizontal="right" vertical="center"/>
    </xf>
    <xf numFmtId="40" fontId="2" fillId="0" borderId="0" xfId="2" applyNumberFormat="1" applyFont="1" applyFill="1" applyAlignment="1">
      <alignment horizontal="right" vertical="center"/>
    </xf>
    <xf numFmtId="40" fontId="2" fillId="5" borderId="0" xfId="2" applyNumberFormat="1" applyFont="1" applyFill="1" applyAlignment="1">
      <alignment horizontal="right" vertical="center"/>
    </xf>
    <xf numFmtId="38" fontId="0" fillId="0" borderId="64" xfId="0" applyNumberFormat="1" applyBorder="1">
      <alignment vertical="center"/>
    </xf>
    <xf numFmtId="38" fontId="0" fillId="0" borderId="11" xfId="2" applyFont="1" applyFill="1" applyBorder="1">
      <alignment vertical="center"/>
    </xf>
    <xf numFmtId="310" fontId="2" fillId="0" borderId="0" xfId="2" applyNumberFormat="1" applyFill="1">
      <alignment vertical="center"/>
    </xf>
    <xf numFmtId="310" fontId="2" fillId="0" borderId="1" xfId="2" applyNumberFormat="1" applyFill="1" applyBorder="1">
      <alignment vertical="center"/>
    </xf>
    <xf numFmtId="0" fontId="262" fillId="80" borderId="0" xfId="0" applyFont="1" applyFill="1" applyAlignment="1">
      <alignment horizontal="center" vertical="center" wrapText="1"/>
    </xf>
    <xf numFmtId="180" fontId="2" fillId="0" borderId="14" xfId="2" applyNumberFormat="1" applyFill="1" applyBorder="1">
      <alignment vertical="center"/>
    </xf>
    <xf numFmtId="0" fontId="0" fillId="0" borderId="11" xfId="0" applyBorder="1">
      <alignment vertical="center"/>
    </xf>
    <xf numFmtId="0" fontId="9" fillId="80" borderId="0" xfId="0" applyFont="1" applyFill="1" applyAlignment="1">
      <alignment horizontal="center" vertical="center"/>
    </xf>
    <xf numFmtId="0" fontId="8" fillId="5" borderId="0" xfId="0" applyFont="1" applyFill="1">
      <alignment vertical="center"/>
    </xf>
    <xf numFmtId="0" fontId="9" fillId="5" borderId="0" xfId="0" applyFont="1" applyFill="1" applyAlignment="1">
      <alignment horizontal="center" vertical="center"/>
    </xf>
    <xf numFmtId="179" fontId="2" fillId="0" borderId="0" xfId="2" applyNumberFormat="1" applyFill="1" applyAlignment="1">
      <alignment vertical="center"/>
    </xf>
    <xf numFmtId="179" fontId="2" fillId="0" borderId="7" xfId="2" applyNumberFormat="1" applyFill="1" applyBorder="1" applyAlignment="1">
      <alignment vertical="center"/>
    </xf>
    <xf numFmtId="179" fontId="2" fillId="0" borderId="0" xfId="2" applyNumberFormat="1" applyFill="1" applyAlignment="1">
      <alignment horizontal="right" vertical="center"/>
    </xf>
    <xf numFmtId="3" fontId="2" fillId="5" borderId="1" xfId="2" applyNumberFormat="1" applyFill="1" applyBorder="1">
      <alignment vertical="center"/>
    </xf>
    <xf numFmtId="0" fontId="0" fillId="0" borderId="12" xfId="0" applyBorder="1">
      <alignment vertical="center"/>
    </xf>
    <xf numFmtId="40" fontId="18" fillId="0" borderId="0" xfId="2" applyNumberFormat="1" applyFont="1" applyFill="1" applyAlignment="1">
      <alignment horizontal="right" vertical="center"/>
    </xf>
    <xf numFmtId="38" fontId="18" fillId="0" borderId="0" xfId="2" applyFont="1" applyFill="1" applyAlignment="1">
      <alignment horizontal="right" vertical="center"/>
    </xf>
    <xf numFmtId="179" fontId="0" fillId="0" borderId="1" xfId="2" applyNumberFormat="1" applyFont="1" applyFill="1" applyBorder="1" applyAlignment="1">
      <alignment horizontal="right" vertical="center"/>
    </xf>
    <xf numFmtId="179" fontId="0" fillId="0" borderId="1" xfId="0" applyNumberFormat="1" applyBorder="1" applyAlignment="1">
      <alignment horizontal="right" vertical="center"/>
    </xf>
    <xf numFmtId="0" fontId="263" fillId="80" borderId="0" xfId="0" applyFont="1" applyFill="1" applyAlignment="1">
      <alignment horizontal="center" vertical="center" wrapText="1"/>
    </xf>
    <xf numFmtId="179" fontId="0" fillId="0" borderId="3" xfId="2" applyNumberFormat="1" applyFont="1" applyFill="1" applyBorder="1" applyAlignment="1">
      <alignment horizontal="right" vertical="center"/>
    </xf>
    <xf numFmtId="310" fontId="0" fillId="0" borderId="7" xfId="2" applyNumberFormat="1" applyFont="1" applyFill="1" applyBorder="1" applyAlignment="1">
      <alignment vertical="center"/>
    </xf>
    <xf numFmtId="310" fontId="2" fillId="0" borderId="0" xfId="2" applyNumberFormat="1" applyFont="1" applyFill="1" applyBorder="1" applyAlignment="1">
      <alignment vertical="center"/>
    </xf>
    <xf numFmtId="38" fontId="2" fillId="0" borderId="1" xfId="2" applyFill="1" applyBorder="1" applyAlignment="1">
      <alignment horizontal="right" vertical="center"/>
    </xf>
    <xf numFmtId="38" fontId="2" fillId="0" borderId="7" xfId="2" applyFill="1" applyBorder="1" applyAlignment="1">
      <alignment horizontal="right" vertical="center"/>
    </xf>
    <xf numFmtId="38" fontId="2" fillId="0" borderId="0" xfId="2" applyFill="1" applyAlignment="1">
      <alignment horizontal="right" vertical="center"/>
    </xf>
    <xf numFmtId="38" fontId="2" fillId="0" borderId="0" xfId="2" applyFill="1" applyBorder="1" applyAlignment="1">
      <alignment horizontal="right" vertical="center"/>
    </xf>
    <xf numFmtId="179" fontId="2" fillId="0" borderId="0" xfId="2" applyNumberFormat="1" applyFont="1" applyFill="1" applyBorder="1" applyAlignment="1">
      <alignment horizontal="right" vertical="center"/>
    </xf>
    <xf numFmtId="179" fontId="2" fillId="0" borderId="4" xfId="2" applyNumberFormat="1" applyFont="1" applyFill="1" applyBorder="1" applyAlignment="1">
      <alignment horizontal="right" vertical="center"/>
    </xf>
    <xf numFmtId="179" fontId="2" fillId="0" borderId="3" xfId="2" applyNumberFormat="1" applyFont="1" applyFill="1" applyBorder="1" applyAlignment="1">
      <alignment horizontal="right" vertical="center"/>
    </xf>
    <xf numFmtId="179" fontId="2" fillId="0" borderId="65" xfId="2" applyNumberFormat="1" applyFont="1" applyFill="1" applyBorder="1" applyAlignment="1">
      <alignment horizontal="right" vertical="center"/>
    </xf>
    <xf numFmtId="0" fontId="6" fillId="0" borderId="0" xfId="0" applyFont="1" applyAlignment="1">
      <alignment horizontal="right" vertical="center"/>
    </xf>
    <xf numFmtId="40" fontId="0" fillId="0" borderId="0" xfId="2" applyNumberFormat="1" applyFont="1" applyFill="1" applyBorder="1" applyAlignment="1">
      <alignment horizontal="right" vertical="center"/>
    </xf>
    <xf numFmtId="179" fontId="0" fillId="0" borderId="7" xfId="0" applyNumberFormat="1" applyBorder="1" applyAlignment="1">
      <alignment horizontal="right" vertical="center"/>
    </xf>
    <xf numFmtId="179" fontId="0" fillId="0" borderId="0" xfId="0" applyNumberFormat="1" applyAlignment="1">
      <alignment horizontal="right" vertical="center"/>
    </xf>
    <xf numFmtId="179" fontId="2" fillId="0" borderId="0" xfId="2" applyNumberFormat="1" applyFill="1" applyBorder="1" applyAlignment="1">
      <alignment horizontal="right" vertical="center"/>
    </xf>
    <xf numFmtId="0" fontId="0" fillId="0" borderId="0" xfId="0" applyAlignment="1">
      <alignment horizontal="right" vertical="center"/>
    </xf>
    <xf numFmtId="3" fontId="0" fillId="0" borderId="64" xfId="0" applyNumberFormat="1" applyBorder="1" applyAlignment="1">
      <alignment horizontal="right" vertical="center"/>
    </xf>
    <xf numFmtId="179" fontId="0" fillId="0" borderId="66" xfId="0" applyNumberFormat="1" applyBorder="1" applyAlignment="1">
      <alignment horizontal="right" vertical="center"/>
    </xf>
    <xf numFmtId="179" fontId="0" fillId="0" borderId="5" xfId="0" applyNumberFormat="1" applyBorder="1" applyAlignment="1">
      <alignment horizontal="right" vertical="center"/>
    </xf>
    <xf numFmtId="179" fontId="0" fillId="0" borderId="6" xfId="0" applyNumberFormat="1" applyBorder="1" applyAlignment="1">
      <alignment horizontal="right" vertical="center"/>
    </xf>
    <xf numFmtId="179" fontId="0" fillId="0" borderId="4" xfId="0" applyNumberFormat="1" applyBorder="1" applyAlignment="1">
      <alignment horizontal="right" vertical="center"/>
    </xf>
    <xf numFmtId="179" fontId="0" fillId="0" borderId="3" xfId="0" applyNumberFormat="1" applyBorder="1" applyAlignment="1">
      <alignment horizontal="right" vertical="center"/>
    </xf>
    <xf numFmtId="179" fontId="0" fillId="0" borderId="12" xfId="0" applyNumberFormat="1" applyBorder="1" applyAlignment="1">
      <alignment horizontal="right" vertical="center"/>
    </xf>
    <xf numFmtId="179" fontId="2" fillId="0" borderId="4" xfId="2" applyNumberFormat="1" applyFill="1" applyBorder="1" applyAlignment="1">
      <alignment horizontal="right" vertical="center"/>
    </xf>
    <xf numFmtId="179" fontId="2" fillId="0" borderId="6" xfId="2" applyNumberFormat="1" applyFill="1" applyBorder="1" applyAlignment="1">
      <alignment horizontal="right" vertical="center"/>
    </xf>
    <xf numFmtId="178" fontId="2" fillId="0" borderId="6" xfId="2" applyNumberFormat="1" applyFill="1" applyBorder="1" applyAlignment="1">
      <alignment horizontal="right" vertical="center"/>
    </xf>
    <xf numFmtId="178" fontId="2" fillId="0" borderId="0" xfId="2" applyNumberFormat="1" applyFill="1" applyBorder="1" applyAlignment="1">
      <alignment horizontal="right" vertical="center"/>
    </xf>
    <xf numFmtId="0" fontId="9" fillId="0" borderId="0" xfId="0" applyFont="1" applyAlignment="1">
      <alignment horizontal="center" vertical="center" wrapText="1"/>
    </xf>
    <xf numFmtId="0" fontId="6" fillId="0" borderId="0" xfId="0" applyFont="1" applyAlignment="1">
      <alignment horizontal="center" vertical="center" wrapText="1"/>
    </xf>
    <xf numFmtId="0" fontId="77" fillId="0" borderId="0" xfId="0" applyFont="1" applyAlignment="1">
      <alignment horizontal="left" vertical="center" wrapText="1"/>
    </xf>
    <xf numFmtId="179" fontId="2" fillId="0" borderId="6" xfId="2" applyNumberFormat="1" applyFill="1" applyBorder="1" applyAlignment="1">
      <alignment horizontal="center" vertical="center"/>
    </xf>
    <xf numFmtId="0" fontId="8" fillId="80" borderId="0" xfId="0" applyFont="1" applyFill="1" applyAlignment="1">
      <alignment horizontal="center" vertical="center"/>
    </xf>
    <xf numFmtId="179" fontId="2" fillId="0" borderId="0" xfId="2" applyNumberFormat="1" applyFill="1" applyBorder="1" applyAlignment="1">
      <alignment horizontal="center" vertical="center"/>
    </xf>
    <xf numFmtId="178" fontId="2" fillId="0" borderId="6" xfId="2" applyNumberFormat="1" applyFill="1" applyBorder="1" applyAlignment="1">
      <alignment horizontal="center" vertical="center"/>
    </xf>
    <xf numFmtId="179" fontId="0" fillId="0" borderId="6" xfId="0" applyNumberFormat="1" applyBorder="1" applyAlignment="1">
      <alignment horizontal="center" vertical="center"/>
    </xf>
    <xf numFmtId="179" fontId="0" fillId="0" borderId="0" xfId="0" applyNumberFormat="1" applyAlignment="1">
      <alignment horizontal="center" vertical="center"/>
    </xf>
    <xf numFmtId="179" fontId="0" fillId="0" borderId="12" xfId="0" applyNumberFormat="1" applyBorder="1" applyAlignment="1">
      <alignment horizontal="center" vertical="center"/>
    </xf>
    <xf numFmtId="38" fontId="2" fillId="0" borderId="0" xfId="2" applyFill="1" applyBorder="1" applyAlignment="1">
      <alignment horizontal="center" vertical="center"/>
    </xf>
    <xf numFmtId="179" fontId="0" fillId="0" borderId="4" xfId="0" applyNumberFormat="1" applyBorder="1" applyAlignment="1">
      <alignment horizontal="center" vertical="center"/>
    </xf>
    <xf numFmtId="179" fontId="0" fillId="0" borderId="3" xfId="0" applyNumberFormat="1" applyBorder="1" applyAlignment="1">
      <alignment horizontal="center" vertical="center"/>
    </xf>
    <xf numFmtId="179" fontId="0" fillId="0" borderId="1" xfId="0" applyNumberFormat="1" applyBorder="1" applyAlignment="1">
      <alignment horizontal="center" vertical="center"/>
    </xf>
    <xf numFmtId="179" fontId="0" fillId="0" borderId="66" xfId="0" applyNumberFormat="1" applyBorder="1" applyAlignment="1">
      <alignment horizontal="center" vertical="center"/>
    </xf>
    <xf numFmtId="179" fontId="0" fillId="0" borderId="5" xfId="0" applyNumberFormat="1" applyBorder="1" applyAlignment="1">
      <alignment horizontal="center" vertical="center"/>
    </xf>
    <xf numFmtId="3" fontId="0" fillId="0" borderId="64" xfId="0" applyNumberFormat="1" applyBorder="1" applyAlignment="1">
      <alignment horizontal="center" vertical="center"/>
    </xf>
    <xf numFmtId="0" fontId="10" fillId="80" borderId="0" xfId="0" applyFont="1" applyFill="1" applyAlignment="1">
      <alignment horizontal="center" vertical="center"/>
    </xf>
    <xf numFmtId="0" fontId="8" fillId="80" borderId="0" xfId="0" applyFont="1" applyFill="1" applyAlignment="1">
      <alignment horizontal="center" vertical="center" wrapText="1"/>
    </xf>
    <xf numFmtId="179" fontId="0" fillId="0" borderId="7" xfId="0" applyNumberFormat="1" applyBorder="1" applyAlignment="1">
      <alignment horizontal="center" vertical="center"/>
    </xf>
    <xf numFmtId="38" fontId="2" fillId="0" borderId="0" xfId="2" applyFont="1" applyFill="1" applyBorder="1" applyAlignment="1">
      <alignment horizontal="center" vertical="center"/>
    </xf>
    <xf numFmtId="180" fontId="2" fillId="0" borderId="0" xfId="0" applyNumberFormat="1" applyFont="1" applyAlignment="1">
      <alignment horizontal="center" vertical="center"/>
    </xf>
    <xf numFmtId="38" fontId="2" fillId="0" borderId="0" xfId="2" applyFont="1" applyFill="1" applyAlignment="1">
      <alignment horizontal="center" vertical="center"/>
    </xf>
    <xf numFmtId="176" fontId="2" fillId="0" borderId="0" xfId="1" applyNumberFormat="1" applyFont="1" applyFill="1" applyAlignment="1">
      <alignment horizontal="center" vertical="center"/>
    </xf>
    <xf numFmtId="40" fontId="0" fillId="0" borderId="0" xfId="2" applyNumberFormat="1" applyFont="1" applyFill="1" applyBorder="1" applyAlignment="1">
      <alignment horizontal="center" vertical="center"/>
    </xf>
    <xf numFmtId="179" fontId="2" fillId="0" borderId="0" xfId="2" applyNumberFormat="1" applyFont="1" applyFill="1" applyBorder="1" applyAlignment="1">
      <alignment horizontal="center" vertical="center"/>
    </xf>
    <xf numFmtId="179" fontId="2" fillId="0" borderId="4" xfId="2" applyNumberFormat="1" applyFont="1" applyFill="1" applyBorder="1" applyAlignment="1">
      <alignment horizontal="center" vertical="center"/>
    </xf>
    <xf numFmtId="181" fontId="2" fillId="0" borderId="0" xfId="0" applyNumberFormat="1" applyFont="1" applyAlignment="1">
      <alignment horizontal="center" vertical="center"/>
    </xf>
    <xf numFmtId="182" fontId="2" fillId="0" borderId="0" xfId="0" applyNumberFormat="1" applyFont="1" applyAlignment="1">
      <alignment horizontal="center" vertical="center"/>
    </xf>
    <xf numFmtId="179" fontId="2" fillId="0" borderId="3" xfId="2" applyNumberFormat="1" applyFont="1" applyFill="1" applyBorder="1" applyAlignment="1">
      <alignment horizontal="center" vertical="center"/>
    </xf>
    <xf numFmtId="179" fontId="0" fillId="0" borderId="3" xfId="2" applyNumberFormat="1" applyFont="1" applyFill="1" applyBorder="1" applyAlignment="1">
      <alignment horizontal="center" vertical="center"/>
    </xf>
    <xf numFmtId="179" fontId="2" fillId="0" borderId="65" xfId="2" applyNumberFormat="1" applyFont="1" applyFill="1" applyBorder="1" applyAlignment="1">
      <alignment horizontal="center" vertical="center"/>
    </xf>
    <xf numFmtId="38" fontId="2" fillId="0" borderId="1" xfId="2" applyFill="1" applyBorder="1" applyAlignment="1">
      <alignment horizontal="center" vertical="center"/>
    </xf>
    <xf numFmtId="38" fontId="2" fillId="0" borderId="7" xfId="2" applyFill="1" applyBorder="1" applyAlignment="1">
      <alignment horizontal="center" vertical="center"/>
    </xf>
    <xf numFmtId="38" fontId="2" fillId="0" borderId="0" xfId="2" applyFill="1" applyAlignment="1">
      <alignment horizontal="center" vertical="center"/>
    </xf>
    <xf numFmtId="310" fontId="0" fillId="0" borderId="0" xfId="2" applyNumberFormat="1" applyFont="1" applyFill="1" applyAlignment="1">
      <alignment horizontal="right" vertical="center"/>
    </xf>
    <xf numFmtId="310" fontId="2" fillId="0" borderId="0" xfId="2" applyNumberFormat="1" applyFill="1" applyAlignment="1">
      <alignment horizontal="right" vertical="center"/>
    </xf>
    <xf numFmtId="179" fontId="2" fillId="0" borderId="0" xfId="2" applyNumberFormat="1" applyFill="1" applyAlignment="1">
      <alignment horizontal="right" vertical="center"/>
    </xf>
    <xf numFmtId="310" fontId="0" fillId="0" borderId="7" xfId="2" applyNumberFormat="1" applyFont="1" applyFill="1" applyBorder="1" applyAlignment="1">
      <alignment horizontal="right" vertical="center"/>
    </xf>
    <xf numFmtId="310" fontId="2" fillId="0" borderId="0" xfId="2" applyNumberFormat="1" applyFont="1" applyFill="1" applyBorder="1" applyAlignment="1">
      <alignment horizontal="right" vertical="center"/>
    </xf>
    <xf numFmtId="179" fontId="0" fillId="0" borderId="0" xfId="2" applyNumberFormat="1" applyFont="1" applyFill="1" applyBorder="1" applyAlignment="1">
      <alignment horizontal="right" vertical="center"/>
    </xf>
  </cellXfs>
  <cellStyles count="946">
    <cellStyle name="_x0013_" xfId="404" xr:uid="{00000000-0005-0000-0000-000000000000}"/>
    <cellStyle name="$" xfId="405" xr:uid="{00000000-0005-0000-0000-000001000000}"/>
    <cellStyle name=".Warning" xfId="406" xr:uid="{00000000-0005-0000-0000-000002000000}"/>
    <cellStyle name="??" xfId="407" xr:uid="{00000000-0005-0000-0000-000003000000}"/>
    <cellStyle name="?? [0.00]_PERSONAL" xfId="408" xr:uid="{00000000-0005-0000-0000-000004000000}"/>
    <cellStyle name="?? [0]_VERA" xfId="409" xr:uid="{00000000-0005-0000-0000-000005000000}"/>
    <cellStyle name="???? [0.00]_PERSONAL" xfId="410" xr:uid="{00000000-0005-0000-0000-000006000000}"/>
    <cellStyle name="?????_VERA" xfId="411" xr:uid="{00000000-0005-0000-0000-000007000000}"/>
    <cellStyle name="????_PERSONAL" xfId="412" xr:uid="{00000000-0005-0000-0000-000008000000}"/>
    <cellStyle name="??_BUY" xfId="413" xr:uid="{00000000-0005-0000-0000-000009000000}"/>
    <cellStyle name="_%(SignOnly)" xfId="414" xr:uid="{00000000-0005-0000-0000-00000A000000}"/>
    <cellStyle name="_%(SignSpaceOnly)" xfId="415" xr:uid="{00000000-0005-0000-0000-00000B000000}"/>
    <cellStyle name="_0222高萩社長シティ夕食会" xfId="416" xr:uid="{00000000-0005-0000-0000-00000C000000}"/>
    <cellStyle name="_081020PP4ﾌｫﾛｰ設備投資集計R5" xfId="417" xr:uid="{00000000-0005-0000-0000-00000D000000}"/>
    <cellStyle name="_090116 【探鉱費】4次中計 再修正 評価井ｺｽﾄ計上方法変更(20090116探鉱部資源量COSアップデート)" xfId="418" xr:uid="{00000000-0005-0000-0000-00000E000000}"/>
    <cellStyle name="_10年度末BS予想（12月策定時点）送付" xfId="419" xr:uid="{00000000-0005-0000-0000-00000F000000}"/>
    <cellStyle name="_11年度予算策定時_10年度末各社BS予想（送付）" xfId="420" xr:uid="{00000000-0005-0000-0000-000010000000}"/>
    <cellStyle name="_200901【見直しPP4】設備投資集計" xfId="421" xr:uid="{00000000-0005-0000-0000-000011000000}"/>
    <cellStyle name="_200901【見直しPP4】損益集計" xfId="422" xr:uid="{00000000-0005-0000-0000-000012000000}"/>
    <cellStyle name="_20090108PNG関連投資見直し (2)" xfId="423" xr:uid="{00000000-0005-0000-0000-000013000000}"/>
    <cellStyle name="_20090128生産量分析　取締役会" xfId="424" xr:uid="{00000000-0005-0000-0000-000014000000}"/>
    <cellStyle name="_2009年MLP予算rev.4(2009.1見直し版)" xfId="425" xr:uid="{00000000-0005-0000-0000-000015000000}"/>
    <cellStyle name="_2009年MLP予算rev.Final" xfId="426" xr:uid="{00000000-0005-0000-0000-000016000000}"/>
    <cellStyle name="_201004総合エネ戦(WTI95$)" xfId="427" xr:uid="{00000000-0005-0000-0000-000017000000}"/>
    <cellStyle name="_4次中計 再修正まとめ(20090128)R" xfId="428" xr:uid="{00000000-0005-0000-0000-000018000000}"/>
    <cellStyle name="_Book1" xfId="429" xr:uid="{00000000-0005-0000-0000-000019000000}"/>
    <cellStyle name="_Bridge_Oil&amp;Gas_Upstream_再交換_2009.03.03_Summary Sheet" xfId="430" xr:uid="{00000000-0005-0000-0000-00001A000000}"/>
    <cellStyle name="_Bridge_Oil&amp;Gas_Upstream_再交換_2009.03.03_Summary Sheet_scenario2" xfId="431" xr:uid="{00000000-0005-0000-0000-00001B000000}"/>
    <cellStyle name="_Coll(H21-23中計、オランダ会社含)" xfId="432" xr:uid="{00000000-0005-0000-0000-00001C000000}"/>
    <cellStyle name="_Comma" xfId="433" xr:uid="{00000000-0005-0000-0000-00001D000000}"/>
    <cellStyle name="_Comma_dcf" xfId="434" xr:uid="{00000000-0005-0000-0000-00001E000000}"/>
    <cellStyle name="_Copper Mountain Financial Model" xfId="435" xr:uid="{00000000-0005-0000-0000-00001F000000}"/>
    <cellStyle name="_Currency" xfId="436" xr:uid="{00000000-0005-0000-0000-000020000000}"/>
    <cellStyle name="_Currency_18D Uralkali Summary Business Plan (PfFrScen)" xfId="437" xr:uid="{00000000-0005-0000-0000-000021000000}"/>
    <cellStyle name="_Currency_D1_Prod1" xfId="438" xr:uid="{00000000-0005-0000-0000-000022000000}"/>
    <cellStyle name="_Currency_D2_Opex" xfId="439" xr:uid="{00000000-0005-0000-0000-000023000000}"/>
    <cellStyle name="_Currency_dcf" xfId="440" xr:uid="{00000000-0005-0000-0000-000024000000}"/>
    <cellStyle name="_Currency_dcf_D1_Prod1" xfId="441" xr:uid="{00000000-0005-0000-0000-000025000000}"/>
    <cellStyle name="_Currency_dcf_D2_Opex" xfId="442" xr:uid="{00000000-0005-0000-0000-000026000000}"/>
    <cellStyle name="_Currency_DRG Data" xfId="443" xr:uid="{00000000-0005-0000-0000-000027000000}"/>
    <cellStyle name="_Currency_Key macto indicators" xfId="444" xr:uid="{00000000-0005-0000-0000-000028000000}"/>
    <cellStyle name="_CurrencySpace" xfId="445" xr:uid="{00000000-0005-0000-0000-000029000000}"/>
    <cellStyle name="_CurrencySpace_dcf" xfId="446" xr:uid="{00000000-0005-0000-0000-00002A000000}"/>
    <cellStyle name="_dcf" xfId="447" xr:uid="{00000000-0005-0000-0000-00002B000000}"/>
    <cellStyle name="_Divaエクセル(2008年末)_2" xfId="448" xr:uid="{00000000-0005-0000-0000-00002C000000}"/>
    <cellStyle name="_Escondida" xfId="449" xr:uid="{00000000-0005-0000-0000-00002D000000}"/>
    <cellStyle name="_Escondida 1" xfId="450" xr:uid="{00000000-0005-0000-0000-00002E000000}"/>
    <cellStyle name="_Escondida(H20-22中計、JECO JEFCO含)作業中" xfId="451" xr:uid="{00000000-0005-0000-0000-00002F000000}"/>
    <cellStyle name="_Escondida_1" xfId="452" xr:uid="{00000000-0005-0000-0000-000030000000}"/>
    <cellStyle name="_Euro" xfId="453" xr:uid="{00000000-0005-0000-0000-000031000000}"/>
    <cellStyle name="_Financial Model MC 15-Nov-07" xfId="454" xr:uid="{00000000-0005-0000-0000-000032000000}"/>
    <cellStyle name="_Financial Model MC-10 Option C" xfId="455" xr:uid="{00000000-0005-0000-0000-000033000000}"/>
    <cellStyle name="_Heading" xfId="456" xr:uid="{00000000-0005-0000-0000-000034000000}"/>
    <cellStyle name="_Heading_Debt schedule" xfId="457" xr:uid="{00000000-0005-0000-0000-000035000000}"/>
    <cellStyle name="_Heading_DRG Data" xfId="458" xr:uid="{00000000-0005-0000-0000-000036000000}"/>
    <cellStyle name="_Heading_Key macto indicators" xfId="459" xr:uid="{00000000-0005-0000-0000-000037000000}"/>
    <cellStyle name="_Heading_Meeting october 13_tmk" xfId="460" xr:uid="{00000000-0005-0000-0000-000038000000}"/>
    <cellStyle name="_Heading_prestemp" xfId="461" xr:uid="{00000000-0005-0000-0000-000039000000}"/>
    <cellStyle name="_Highlight" xfId="462" xr:uid="{00000000-0005-0000-0000-00003A000000}"/>
    <cellStyle name="_MLP(H20-22中計、オランダ会社含)175rev　Cu-Mo価格修正" xfId="463" xr:uid="{00000000-0005-0000-0000-00003B000000}"/>
    <cellStyle name="_MTM" xfId="464" xr:uid="{00000000-0005-0000-0000-00003C000000}"/>
    <cellStyle name="_Multiple" xfId="465" xr:uid="{00000000-0005-0000-0000-00003D000000}"/>
    <cellStyle name="_Multiple_dcf" xfId="466" xr:uid="{00000000-0005-0000-0000-00003E000000}"/>
    <cellStyle name="_MultipleSpace" xfId="467" xr:uid="{00000000-0005-0000-0000-00003F000000}"/>
    <cellStyle name="_MultipleSpace_dcf" xfId="468" xr:uid="{00000000-0005-0000-0000-000040000000}"/>
    <cellStyle name="_Percent" xfId="469" xr:uid="{00000000-0005-0000-0000-000041000000}"/>
    <cellStyle name="_PercentSpace" xfId="470" xr:uid="{00000000-0005-0000-0000-000042000000}"/>
    <cellStyle name="_PR H-302049 Mineara Los Pelambres Financial Mode_Appendix B" xfId="471" xr:uid="{00000000-0005-0000-0000-000043000000}"/>
    <cellStyle name="_PR H-302049 Project Major Escondida Financial Model Appendix B" xfId="472" xr:uid="{00000000-0005-0000-0000-000044000000}"/>
    <cellStyle name="_PR H-302049 Project MajorCollahuasi Financial Model Appendix B" xfId="473" xr:uid="{00000000-0005-0000-0000-000045000000}"/>
    <cellStyle name="_Report Table" xfId="474" xr:uid="{00000000-0005-0000-0000-000046000000}"/>
    <cellStyle name="_ROCE" xfId="475" xr:uid="{00000000-0005-0000-0000-000047000000}"/>
    <cellStyle name="_SubHeading" xfId="476" xr:uid="{00000000-0005-0000-0000-000048000000}"/>
    <cellStyle name="_SubHeading_Debt schedule" xfId="477" xr:uid="{00000000-0005-0000-0000-000049000000}"/>
    <cellStyle name="_SubHeading_DRG Data" xfId="478" xr:uid="{00000000-0005-0000-0000-00004A000000}"/>
    <cellStyle name="_SubHeading_Key macto indicators" xfId="479" xr:uid="{00000000-0005-0000-0000-00004B000000}"/>
    <cellStyle name="_SubHeading_Meeting october 13_tmk" xfId="480" xr:uid="{00000000-0005-0000-0000-00004C000000}"/>
    <cellStyle name="_SubHeading_prestemp" xfId="481" xr:uid="{00000000-0005-0000-0000-00004D000000}"/>
    <cellStyle name="_Table" xfId="482" xr:uid="{00000000-0005-0000-0000-00004E000000}"/>
    <cellStyle name="_Table_Debt schedule" xfId="483" xr:uid="{00000000-0005-0000-0000-00004F000000}"/>
    <cellStyle name="_Table_DRG Data" xfId="484" xr:uid="{00000000-0005-0000-0000-000050000000}"/>
    <cellStyle name="_Table_Key macto indicators" xfId="485" xr:uid="{00000000-0005-0000-0000-000051000000}"/>
    <cellStyle name="_Table_Meeting october 13_tmk" xfId="486" xr:uid="{00000000-0005-0000-0000-000052000000}"/>
    <cellStyle name="_TableHead" xfId="487" xr:uid="{00000000-0005-0000-0000-000053000000}"/>
    <cellStyle name="_TableHead_Debt schedule" xfId="488" xr:uid="{00000000-0005-0000-0000-000054000000}"/>
    <cellStyle name="_TableHead_DRG Data" xfId="489" xr:uid="{00000000-0005-0000-0000-000055000000}"/>
    <cellStyle name="_TableHead_Key macto indicators" xfId="490" xr:uid="{00000000-0005-0000-0000-000056000000}"/>
    <cellStyle name="_TableHead_Meeting october 13_tmk" xfId="491" xr:uid="{00000000-0005-0000-0000-000057000000}"/>
    <cellStyle name="_TableRowHead" xfId="492" xr:uid="{00000000-0005-0000-0000-000058000000}"/>
    <cellStyle name="_TableRowHead_Debt schedule" xfId="493" xr:uid="{00000000-0005-0000-0000-000059000000}"/>
    <cellStyle name="_TableRowHead_DRG Data" xfId="494" xr:uid="{00000000-0005-0000-0000-00005A000000}"/>
    <cellStyle name="_TableRowHead_Key macto indicators" xfId="495" xr:uid="{00000000-0005-0000-0000-00005B000000}"/>
    <cellStyle name="_TableRowHead_Meeting october 13_tmk" xfId="496" xr:uid="{00000000-0005-0000-0000-00005C000000}"/>
    <cellStyle name="_TableSuperHead" xfId="497" xr:uid="{00000000-0005-0000-0000-00005D000000}"/>
    <cellStyle name="_TableSuperHead_Copy of Other costs_TAGMENT (2)" xfId="498" xr:uid="{00000000-0005-0000-0000-00005E000000}"/>
    <cellStyle name="_TableSuperHead_dcf" xfId="499" xr:uid="{00000000-0005-0000-0000-00005F000000}"/>
    <cellStyle name="_TableSuperHead_DRG Data" xfId="500" xr:uid="{00000000-0005-0000-0000-000060000000}"/>
    <cellStyle name="_TableSuperHead_üäÉ »a«ú¡«º ¡á 2005-2009úú" xfId="501" xr:uid="{00000000-0005-0000-0000-000061000000}"/>
    <cellStyle name="_TableSuperHead_WACC Analysis MK" xfId="502" xr:uid="{00000000-0005-0000-0000-000062000000}"/>
    <cellStyle name="_WACC" xfId="503" xr:uid="{00000000-0005-0000-0000-000063000000}"/>
    <cellStyle name="_チリ3鉱山見通し180￠(Final)" xfId="504" xr:uid="{00000000-0005-0000-0000-000064000000}"/>
    <cellStyle name="_ベラウ検証　中計ベースCash Flow Consolidation(ROCE計算)" xfId="505" xr:uid="{00000000-0005-0000-0000-000065000000}"/>
    <cellStyle name="_開発費分析" xfId="506" xr:uid="{00000000-0005-0000-0000-000066000000}"/>
    <cellStyle name="_設備投資&amp;生産量R2" xfId="507" xr:uid="{00000000-0005-0000-0000-000067000000}"/>
    <cellStyle name="_全体検証　中計ベースCash Flow Consolidation(ROCE計算)" xfId="508" xr:uid="{00000000-0005-0000-0000-000068000000}"/>
    <cellStyle name="_中計ベースCash Flow Consolidation(前提変更)" xfId="509" xr:uid="{00000000-0005-0000-0000-000069000000}"/>
    <cellStyle name="=C:\WINNT35\SYSTEM32\COMMAND.COM" xfId="510" xr:uid="{00000000-0005-0000-0000-00006A000000}"/>
    <cellStyle name="ÊÝ [0.00]_20-Jan" xfId="511" xr:uid="{00000000-0005-0000-0000-00006B000000}"/>
    <cellStyle name="ÊÝ_20-Jan" xfId="512" xr:uid="{00000000-0005-0000-0000-00006C000000}"/>
    <cellStyle name="W_¨èBS" xfId="513" xr:uid="{00000000-0005-0000-0000-00006D000000}"/>
    <cellStyle name="0 dp" xfId="3" xr:uid="{00000000-0005-0000-0000-00006E000000}"/>
    <cellStyle name="02_Rule above and below" xfId="514" xr:uid="{00000000-0005-0000-0000-00006F000000}"/>
    <cellStyle name="03_Table Notes" xfId="515" xr:uid="{00000000-0005-0000-0000-000070000000}"/>
    <cellStyle name="04_Bold table figs" xfId="516" xr:uid="{00000000-0005-0000-0000-000071000000}"/>
    <cellStyle name="05_table figs" xfId="517" xr:uid="{00000000-0005-0000-0000-000072000000}"/>
    <cellStyle name="06_per cent" xfId="518" xr:uid="{00000000-0005-0000-0000-000073000000}"/>
    <cellStyle name="07_Bold table text" xfId="519" xr:uid="{00000000-0005-0000-0000-000074000000}"/>
    <cellStyle name="0dp" xfId="4" xr:uid="{00000000-0005-0000-0000-000075000000}"/>
    <cellStyle name="1decimal" xfId="520" xr:uid="{00000000-0005-0000-0000-000076000000}"/>
    <cellStyle name="1dp" xfId="5" xr:uid="{00000000-0005-0000-0000-000077000000}"/>
    <cellStyle name="1st Gray" xfId="521" xr:uid="{00000000-0005-0000-0000-000078000000}"/>
    <cellStyle name="20% - Accent1" xfId="6" xr:uid="{00000000-0005-0000-0000-000079000000}"/>
    <cellStyle name="20% - Accent2" xfId="7" xr:uid="{00000000-0005-0000-0000-00007A000000}"/>
    <cellStyle name="20% - Accent3" xfId="8" xr:uid="{00000000-0005-0000-0000-00007B000000}"/>
    <cellStyle name="20% - Accent4" xfId="9" xr:uid="{00000000-0005-0000-0000-00007C000000}"/>
    <cellStyle name="20% - Accent5" xfId="10" xr:uid="{00000000-0005-0000-0000-00007D000000}"/>
    <cellStyle name="20% - Accent6" xfId="11" xr:uid="{00000000-0005-0000-0000-00007E000000}"/>
    <cellStyle name="20% - Énfasis1" xfId="522" xr:uid="{00000000-0005-0000-0000-00007F000000}"/>
    <cellStyle name="20% - Énfasis2" xfId="523" xr:uid="{00000000-0005-0000-0000-000080000000}"/>
    <cellStyle name="20% - Énfasis3" xfId="524" xr:uid="{00000000-0005-0000-0000-000081000000}"/>
    <cellStyle name="20% - Énfasis3 3" xfId="525" xr:uid="{00000000-0005-0000-0000-000082000000}"/>
    <cellStyle name="20% - Énfasis3_Investment" xfId="526" xr:uid="{00000000-0005-0000-0000-000083000000}"/>
    <cellStyle name="20% - Énfasis4" xfId="527" xr:uid="{00000000-0005-0000-0000-000084000000}"/>
    <cellStyle name="20% - Énfasis5" xfId="528" xr:uid="{00000000-0005-0000-0000-000085000000}"/>
    <cellStyle name="20% - Énfasis6" xfId="529" xr:uid="{00000000-0005-0000-0000-000086000000}"/>
    <cellStyle name="20% - アクセント 1 2" xfId="530" xr:uid="{00000000-0005-0000-0000-000087000000}"/>
    <cellStyle name="20% - アクセント 1 3" xfId="12" xr:uid="{00000000-0005-0000-0000-000088000000}"/>
    <cellStyle name="20% - アクセント 2 2" xfId="531" xr:uid="{00000000-0005-0000-0000-000089000000}"/>
    <cellStyle name="20% - アクセント 2 3" xfId="13" xr:uid="{00000000-0005-0000-0000-00008A000000}"/>
    <cellStyle name="20% - アクセント 3 2" xfId="532" xr:uid="{00000000-0005-0000-0000-00008B000000}"/>
    <cellStyle name="20% - アクセント 3 3" xfId="14" xr:uid="{00000000-0005-0000-0000-00008C000000}"/>
    <cellStyle name="20% - アクセント 4 2" xfId="533" xr:uid="{00000000-0005-0000-0000-00008D000000}"/>
    <cellStyle name="20% - アクセント 4 3" xfId="15" xr:uid="{00000000-0005-0000-0000-00008E000000}"/>
    <cellStyle name="20% - アクセント 5 2" xfId="534" xr:uid="{00000000-0005-0000-0000-00008F000000}"/>
    <cellStyle name="20% - アクセント 5 3" xfId="16" xr:uid="{00000000-0005-0000-0000-000090000000}"/>
    <cellStyle name="20% - アクセント 6 2" xfId="535" xr:uid="{00000000-0005-0000-0000-000091000000}"/>
    <cellStyle name="20% - アクセント 6 3" xfId="17" xr:uid="{00000000-0005-0000-0000-000092000000}"/>
    <cellStyle name="20% - 강조색1" xfId="18" xr:uid="{00000000-0005-0000-0000-000093000000}"/>
    <cellStyle name="20% - 강조색2" xfId="19" xr:uid="{00000000-0005-0000-0000-000094000000}"/>
    <cellStyle name="20% - 강조색3" xfId="20" xr:uid="{00000000-0005-0000-0000-000095000000}"/>
    <cellStyle name="20% - 강조색4" xfId="21" xr:uid="{00000000-0005-0000-0000-000096000000}"/>
    <cellStyle name="20% - 강조색5" xfId="22" xr:uid="{00000000-0005-0000-0000-000097000000}"/>
    <cellStyle name="20% - 강조색6" xfId="23" xr:uid="{00000000-0005-0000-0000-000098000000}"/>
    <cellStyle name="20% - 强调文字颜色 1" xfId="24" xr:uid="{00000000-0005-0000-0000-000099000000}"/>
    <cellStyle name="20% - 强调文字颜色 2" xfId="25" xr:uid="{00000000-0005-0000-0000-00009A000000}"/>
    <cellStyle name="20% - 强调文字颜色 3" xfId="26" xr:uid="{00000000-0005-0000-0000-00009B000000}"/>
    <cellStyle name="20% - 强调文字颜色 4" xfId="27" xr:uid="{00000000-0005-0000-0000-00009C000000}"/>
    <cellStyle name="20% - 强调文字颜色 5" xfId="28" xr:uid="{00000000-0005-0000-0000-00009D000000}"/>
    <cellStyle name="20% - 强调文字颜色 6" xfId="29" xr:uid="{00000000-0005-0000-0000-00009E000000}"/>
    <cellStyle name="2dec" xfId="536" xr:uid="{00000000-0005-0000-0000-00009F000000}"/>
    <cellStyle name="2dp" xfId="30" xr:uid="{00000000-0005-0000-0000-0000A0000000}"/>
    <cellStyle name="40% - Accent1" xfId="31" xr:uid="{00000000-0005-0000-0000-0000A1000000}"/>
    <cellStyle name="40% - Accent2" xfId="32" xr:uid="{00000000-0005-0000-0000-0000A2000000}"/>
    <cellStyle name="40% - Accent3" xfId="33" xr:uid="{00000000-0005-0000-0000-0000A3000000}"/>
    <cellStyle name="40% - Accent4" xfId="34" xr:uid="{00000000-0005-0000-0000-0000A4000000}"/>
    <cellStyle name="40% - Accent5" xfId="35" xr:uid="{00000000-0005-0000-0000-0000A5000000}"/>
    <cellStyle name="40% - Accent6" xfId="36" xr:uid="{00000000-0005-0000-0000-0000A6000000}"/>
    <cellStyle name="40% - Énfasis1" xfId="537" xr:uid="{00000000-0005-0000-0000-0000A7000000}"/>
    <cellStyle name="40% - Énfasis2" xfId="538" xr:uid="{00000000-0005-0000-0000-0000A8000000}"/>
    <cellStyle name="40% - Énfasis3" xfId="539" xr:uid="{00000000-0005-0000-0000-0000A9000000}"/>
    <cellStyle name="40% - Énfasis4" xfId="540" xr:uid="{00000000-0005-0000-0000-0000AA000000}"/>
    <cellStyle name="40% - Énfasis5" xfId="541" xr:uid="{00000000-0005-0000-0000-0000AB000000}"/>
    <cellStyle name="40% - Énfasis6" xfId="542" xr:uid="{00000000-0005-0000-0000-0000AC000000}"/>
    <cellStyle name="40% - アクセント 1 2" xfId="543" xr:uid="{00000000-0005-0000-0000-0000AD000000}"/>
    <cellStyle name="40% - アクセント 1 3" xfId="37" xr:uid="{00000000-0005-0000-0000-0000AE000000}"/>
    <cellStyle name="40% - アクセント 2 2" xfId="544" xr:uid="{00000000-0005-0000-0000-0000AF000000}"/>
    <cellStyle name="40% - アクセント 2 3" xfId="38" xr:uid="{00000000-0005-0000-0000-0000B0000000}"/>
    <cellStyle name="40% - アクセント 3 2" xfId="545" xr:uid="{00000000-0005-0000-0000-0000B1000000}"/>
    <cellStyle name="40% - アクセント 3 3" xfId="39" xr:uid="{00000000-0005-0000-0000-0000B2000000}"/>
    <cellStyle name="40% - アクセント 4 2" xfId="546" xr:uid="{00000000-0005-0000-0000-0000B3000000}"/>
    <cellStyle name="40% - アクセント 4 3" xfId="40" xr:uid="{00000000-0005-0000-0000-0000B4000000}"/>
    <cellStyle name="40% - アクセント 5 2" xfId="547" xr:uid="{00000000-0005-0000-0000-0000B5000000}"/>
    <cellStyle name="40% - アクセント 5 3" xfId="41" xr:uid="{00000000-0005-0000-0000-0000B6000000}"/>
    <cellStyle name="40% - アクセント 6 2" xfId="548" xr:uid="{00000000-0005-0000-0000-0000B7000000}"/>
    <cellStyle name="40% - アクセント 6 3" xfId="42" xr:uid="{00000000-0005-0000-0000-0000B8000000}"/>
    <cellStyle name="40% - 강조색1" xfId="43" xr:uid="{00000000-0005-0000-0000-0000B9000000}"/>
    <cellStyle name="40% - 강조색2" xfId="44" xr:uid="{00000000-0005-0000-0000-0000BA000000}"/>
    <cellStyle name="40% - 강조색3" xfId="45" xr:uid="{00000000-0005-0000-0000-0000BB000000}"/>
    <cellStyle name="40% - 강조색4" xfId="46" xr:uid="{00000000-0005-0000-0000-0000BC000000}"/>
    <cellStyle name="40% - 강조색5" xfId="47" xr:uid="{00000000-0005-0000-0000-0000BD000000}"/>
    <cellStyle name="40% - 강조색6" xfId="48" xr:uid="{00000000-0005-0000-0000-0000BE000000}"/>
    <cellStyle name="40% - 强调文字颜色 1" xfId="49" xr:uid="{00000000-0005-0000-0000-0000BF000000}"/>
    <cellStyle name="40% - 强调文字颜色 2" xfId="50" xr:uid="{00000000-0005-0000-0000-0000C0000000}"/>
    <cellStyle name="40% - 强调文字颜色 3" xfId="51" xr:uid="{00000000-0005-0000-0000-0000C1000000}"/>
    <cellStyle name="40% - 强调文字颜色 4" xfId="52" xr:uid="{00000000-0005-0000-0000-0000C2000000}"/>
    <cellStyle name="40% - 强调文字颜色 5" xfId="53" xr:uid="{00000000-0005-0000-0000-0000C3000000}"/>
    <cellStyle name="40% - 强调文字颜色 6" xfId="54" xr:uid="{00000000-0005-0000-0000-0000C4000000}"/>
    <cellStyle name="60% - Accent1" xfId="55" xr:uid="{00000000-0005-0000-0000-0000C5000000}"/>
    <cellStyle name="60% - Accent2" xfId="56" xr:uid="{00000000-0005-0000-0000-0000C6000000}"/>
    <cellStyle name="60% - Accent3" xfId="57" xr:uid="{00000000-0005-0000-0000-0000C7000000}"/>
    <cellStyle name="60% - Accent4" xfId="58" xr:uid="{00000000-0005-0000-0000-0000C8000000}"/>
    <cellStyle name="60% - Accent5" xfId="59" xr:uid="{00000000-0005-0000-0000-0000C9000000}"/>
    <cellStyle name="60% - Accent6" xfId="60" xr:uid="{00000000-0005-0000-0000-0000CA000000}"/>
    <cellStyle name="60% - Énfasis1" xfId="549" xr:uid="{00000000-0005-0000-0000-0000CB000000}"/>
    <cellStyle name="60% - Énfasis2" xfId="550" xr:uid="{00000000-0005-0000-0000-0000CC000000}"/>
    <cellStyle name="60% - Énfasis3" xfId="551" xr:uid="{00000000-0005-0000-0000-0000CD000000}"/>
    <cellStyle name="60% - Énfasis4" xfId="552" xr:uid="{00000000-0005-0000-0000-0000CE000000}"/>
    <cellStyle name="60% - Énfasis5" xfId="553" xr:uid="{00000000-0005-0000-0000-0000CF000000}"/>
    <cellStyle name="60% - Énfasis6" xfId="554" xr:uid="{00000000-0005-0000-0000-0000D0000000}"/>
    <cellStyle name="60% - アクセント 1 2" xfId="555" xr:uid="{00000000-0005-0000-0000-0000D1000000}"/>
    <cellStyle name="60% - アクセント 1 3" xfId="61" xr:uid="{00000000-0005-0000-0000-0000D2000000}"/>
    <cellStyle name="60% - アクセント 2 2" xfId="556" xr:uid="{00000000-0005-0000-0000-0000D3000000}"/>
    <cellStyle name="60% - アクセント 2 3" xfId="62" xr:uid="{00000000-0005-0000-0000-0000D4000000}"/>
    <cellStyle name="60% - アクセント 3 2" xfId="557" xr:uid="{00000000-0005-0000-0000-0000D5000000}"/>
    <cellStyle name="60% - アクセント 3 3" xfId="63" xr:uid="{00000000-0005-0000-0000-0000D6000000}"/>
    <cellStyle name="60% - アクセント 4 2" xfId="558" xr:uid="{00000000-0005-0000-0000-0000D7000000}"/>
    <cellStyle name="60% - アクセント 4 3" xfId="64" xr:uid="{00000000-0005-0000-0000-0000D8000000}"/>
    <cellStyle name="60% - アクセント 5 2" xfId="559" xr:uid="{00000000-0005-0000-0000-0000D9000000}"/>
    <cellStyle name="60% - アクセント 5 3" xfId="65" xr:uid="{00000000-0005-0000-0000-0000DA000000}"/>
    <cellStyle name="60% - アクセント 6 2" xfId="560" xr:uid="{00000000-0005-0000-0000-0000DB000000}"/>
    <cellStyle name="60% - アクセント 6 3" xfId="66" xr:uid="{00000000-0005-0000-0000-0000DC000000}"/>
    <cellStyle name="60% - 강조색1" xfId="67" xr:uid="{00000000-0005-0000-0000-0000DD000000}"/>
    <cellStyle name="60% - 강조색2" xfId="68" xr:uid="{00000000-0005-0000-0000-0000DE000000}"/>
    <cellStyle name="60% - 강조색3" xfId="69" xr:uid="{00000000-0005-0000-0000-0000DF000000}"/>
    <cellStyle name="60% - 강조색4" xfId="70" xr:uid="{00000000-0005-0000-0000-0000E0000000}"/>
    <cellStyle name="60% - 강조색5" xfId="71" xr:uid="{00000000-0005-0000-0000-0000E1000000}"/>
    <cellStyle name="60% - 강조색6" xfId="72" xr:uid="{00000000-0005-0000-0000-0000E2000000}"/>
    <cellStyle name="60% - 强调文字颜色 1" xfId="73" xr:uid="{00000000-0005-0000-0000-0000E3000000}"/>
    <cellStyle name="60% - 强调文字颜色 2" xfId="74" xr:uid="{00000000-0005-0000-0000-0000E4000000}"/>
    <cellStyle name="60% - 强调文字颜色 3" xfId="75" xr:uid="{00000000-0005-0000-0000-0000E5000000}"/>
    <cellStyle name="60% - 强调文字颜色 4" xfId="76" xr:uid="{00000000-0005-0000-0000-0000E6000000}"/>
    <cellStyle name="60% - 强调文字颜色 5" xfId="77" xr:uid="{00000000-0005-0000-0000-0000E7000000}"/>
    <cellStyle name="60% - 强调文字颜色 6" xfId="78" xr:uid="{00000000-0005-0000-0000-0000E8000000}"/>
    <cellStyle name="Accent1" xfId="79" xr:uid="{00000000-0005-0000-0000-0000E9000000}"/>
    <cellStyle name="Accent2" xfId="80" xr:uid="{00000000-0005-0000-0000-0000EA000000}"/>
    <cellStyle name="Accent3" xfId="81" xr:uid="{00000000-0005-0000-0000-0000EB000000}"/>
    <cellStyle name="Accent4" xfId="82" xr:uid="{00000000-0005-0000-0000-0000EC000000}"/>
    <cellStyle name="Accent5" xfId="83" xr:uid="{00000000-0005-0000-0000-0000ED000000}"/>
    <cellStyle name="Accent6" xfId="84" xr:uid="{00000000-0005-0000-0000-0000EE000000}"/>
    <cellStyle name="Adjustable" xfId="561" xr:uid="{00000000-0005-0000-0000-0000EF000000}"/>
    <cellStyle name="AMN" xfId="562" xr:uid="{00000000-0005-0000-0000-0000F0000000}"/>
    <cellStyle name="B" xfId="563" xr:uid="{00000000-0005-0000-0000-0000F1000000}"/>
    <cellStyle name="Bad" xfId="85" xr:uid="{00000000-0005-0000-0000-0000F2000000}"/>
    <cellStyle name="BB" xfId="564" xr:uid="{00000000-0005-0000-0000-0000F3000000}"/>
    <cellStyle name="BE Pickup Link" xfId="565" xr:uid="{00000000-0005-0000-0000-0000F4000000}"/>
    <cellStyle name="Blank" xfId="566" xr:uid="{00000000-0005-0000-0000-0000F5000000}"/>
    <cellStyle name="BlankP" xfId="567" xr:uid="{00000000-0005-0000-0000-0000F6000000}"/>
    <cellStyle name="Body Colour" xfId="568" xr:uid="{00000000-0005-0000-0000-0000F7000000}"/>
    <cellStyle name="BodyDesc" xfId="569" xr:uid="{00000000-0005-0000-0000-0000F8000000}"/>
    <cellStyle name="bold" xfId="570" xr:uid="{00000000-0005-0000-0000-0000F9000000}"/>
    <cellStyle name="Book Link" xfId="571" xr:uid="{00000000-0005-0000-0000-0000FA000000}"/>
    <cellStyle name="BP YTD" xfId="572" xr:uid="{00000000-0005-0000-0000-0000FB000000}"/>
    <cellStyle name="Buena" xfId="573" xr:uid="{00000000-0005-0000-0000-0000FC000000}"/>
    <cellStyle name="C:\Documents and Settings\jennkj\My Documents" xfId="574" xr:uid="{00000000-0005-0000-0000-0000FD000000}"/>
    <cellStyle name="C01_Main head" xfId="575" xr:uid="{00000000-0005-0000-0000-0000FE000000}"/>
    <cellStyle name="C02_Column heads" xfId="576" xr:uid="{00000000-0005-0000-0000-0000FF000000}"/>
    <cellStyle name="C03_Sub head bold" xfId="577" xr:uid="{00000000-0005-0000-0000-000000010000}"/>
    <cellStyle name="C03a_Sub head" xfId="578" xr:uid="{00000000-0005-0000-0000-000001010000}"/>
    <cellStyle name="C04_Total text white bold" xfId="579" xr:uid="{00000000-0005-0000-0000-000002010000}"/>
    <cellStyle name="C04a_Total text black with rule" xfId="580" xr:uid="{00000000-0005-0000-0000-000003010000}"/>
    <cellStyle name="C05_Main text" xfId="581" xr:uid="{00000000-0005-0000-0000-000004010000}"/>
    <cellStyle name="C06_Figs" xfId="582" xr:uid="{00000000-0005-0000-0000-000005010000}"/>
    <cellStyle name="C07_Figs 1 dec percent" xfId="583" xr:uid="{00000000-0005-0000-0000-000006010000}"/>
    <cellStyle name="C08_Figs 1 decimal" xfId="584" xr:uid="{00000000-0005-0000-0000-000007010000}"/>
    <cellStyle name="C09_Notes" xfId="585" xr:uid="{00000000-0005-0000-0000-000008010000}"/>
    <cellStyle name="Cabecera 1" xfId="586" xr:uid="{00000000-0005-0000-0000-000009010000}"/>
    <cellStyle name="Cabecera 2" xfId="587" xr:uid="{00000000-0005-0000-0000-00000A010000}"/>
    <cellStyle name="Calc" xfId="86" xr:uid="{00000000-0005-0000-0000-00000B010000}"/>
    <cellStyle name="Calc Currency (0)" xfId="87" xr:uid="{00000000-0005-0000-0000-00000C010000}"/>
    <cellStyle name="Calc Currency (2)" xfId="588" xr:uid="{00000000-0005-0000-0000-00000D010000}"/>
    <cellStyle name="Calc Percent (0)" xfId="589" xr:uid="{00000000-0005-0000-0000-00000E010000}"/>
    <cellStyle name="Calc Percent (1)" xfId="590" xr:uid="{00000000-0005-0000-0000-00000F010000}"/>
    <cellStyle name="Calc Percent (2)" xfId="591" xr:uid="{00000000-0005-0000-0000-000010010000}"/>
    <cellStyle name="Calc Units (0)" xfId="592" xr:uid="{00000000-0005-0000-0000-000011010000}"/>
    <cellStyle name="Calc Units (1)" xfId="593" xr:uid="{00000000-0005-0000-0000-000012010000}"/>
    <cellStyle name="Calc Units (2)" xfId="594" xr:uid="{00000000-0005-0000-0000-000013010000}"/>
    <cellStyle name="Calculation" xfId="88" xr:uid="{00000000-0005-0000-0000-000014010000}"/>
    <cellStyle name="Cálculo" xfId="595" xr:uid="{00000000-0005-0000-0000-000015010000}"/>
    <cellStyle name="Cat" xfId="596" xr:uid="{00000000-0005-0000-0000-000016010000}"/>
    <cellStyle name="Celda de comprobación" xfId="597" xr:uid="{00000000-0005-0000-0000-000017010000}"/>
    <cellStyle name="Celda vinculada" xfId="598" xr:uid="{00000000-0005-0000-0000-000018010000}"/>
    <cellStyle name="Center" xfId="89" xr:uid="{00000000-0005-0000-0000-000019010000}"/>
    <cellStyle name="Center (0)" xfId="90" xr:uid="{00000000-0005-0000-0000-00001A010000}"/>
    <cellStyle name="Center_2020補修予算編成(MI=15)" xfId="91" xr:uid="{00000000-0005-0000-0000-00001B010000}"/>
    <cellStyle name="CHANGE" xfId="92" xr:uid="{00000000-0005-0000-0000-00001C010000}"/>
    <cellStyle name="Chapter" xfId="599" xr:uid="{00000000-0005-0000-0000-00001D010000}"/>
    <cellStyle name="CHART" xfId="600" xr:uid="{00000000-0005-0000-0000-00001E010000}"/>
    <cellStyle name="check" xfId="93" xr:uid="{00000000-0005-0000-0000-00001F010000}"/>
    <cellStyle name="Check Cell" xfId="94" xr:uid="{00000000-0005-0000-0000-000020010000}"/>
    <cellStyle name="Client calc" xfId="95" xr:uid="{00000000-0005-0000-0000-000021010000}"/>
    <cellStyle name="Column Heads" xfId="601" xr:uid="{00000000-0005-0000-0000-000022010000}"/>
    <cellStyle name="ColumnHeading" xfId="602" xr:uid="{00000000-0005-0000-0000-000023010000}"/>
    <cellStyle name="Comma  - Style1" xfId="96" xr:uid="{00000000-0005-0000-0000-000024010000}"/>
    <cellStyle name="Comma  - Style2" xfId="97" xr:uid="{00000000-0005-0000-0000-000025010000}"/>
    <cellStyle name="Comma  - Style3" xfId="98" xr:uid="{00000000-0005-0000-0000-000026010000}"/>
    <cellStyle name="Comma  - Style4" xfId="99" xr:uid="{00000000-0005-0000-0000-000027010000}"/>
    <cellStyle name="Comma  - Style5" xfId="100" xr:uid="{00000000-0005-0000-0000-000028010000}"/>
    <cellStyle name="Comma  - Style6" xfId="101" xr:uid="{00000000-0005-0000-0000-000029010000}"/>
    <cellStyle name="Comma  - Style7" xfId="102" xr:uid="{00000000-0005-0000-0000-00002A010000}"/>
    <cellStyle name="Comma  - Style8" xfId="103" xr:uid="{00000000-0005-0000-0000-00002B010000}"/>
    <cellStyle name="Comma [-]" xfId="104" xr:uid="{00000000-0005-0000-0000-00002C010000}"/>
    <cellStyle name="Comma [0]_【07本決算】連結設備投資集計表 R4" xfId="603" xr:uid="{00000000-0005-0000-0000-00002D010000}"/>
    <cellStyle name="Comma [00]" xfId="604" xr:uid="{00000000-0005-0000-0000-00002E010000}"/>
    <cellStyle name="Comma [1]" xfId="105" xr:uid="{00000000-0005-0000-0000-00002F010000}"/>
    <cellStyle name="Comma [2]" xfId="106" xr:uid="{00000000-0005-0000-0000-000030010000}"/>
    <cellStyle name="Comma [Blank]" xfId="107" xr:uid="{00000000-0005-0000-0000-000031010000}"/>
    <cellStyle name="Comma 2" xfId="605" xr:uid="{00000000-0005-0000-0000-000032010000}"/>
    <cellStyle name="Comma 3" xfId="606" xr:uid="{00000000-0005-0000-0000-000033010000}"/>
    <cellStyle name="Comma[1]" xfId="108" xr:uid="{00000000-0005-0000-0000-000034010000}"/>
    <cellStyle name="Comma[2]" xfId="109" xr:uid="{00000000-0005-0000-0000-000035010000}"/>
    <cellStyle name="Comma_A" xfId="110" xr:uid="{00000000-0005-0000-0000-000036010000}"/>
    <cellStyle name="Comma0" xfId="607" xr:uid="{00000000-0005-0000-0000-000037010000}"/>
    <cellStyle name="Comma0 - Modelo1" xfId="608" xr:uid="{00000000-0005-0000-0000-000038010000}"/>
    <cellStyle name="Comma0 - Style1" xfId="609" xr:uid="{00000000-0005-0000-0000-000039010000}"/>
    <cellStyle name="Comma1" xfId="610" xr:uid="{00000000-0005-0000-0000-00003A010000}"/>
    <cellStyle name="Comma1 - Modelo2" xfId="611" xr:uid="{00000000-0005-0000-0000-00003B010000}"/>
    <cellStyle name="Comma1 - Style2" xfId="612" xr:uid="{00000000-0005-0000-0000-00003C010000}"/>
    <cellStyle name="Comma1_Historical" xfId="613" xr:uid="{00000000-0005-0000-0000-00003D010000}"/>
    <cellStyle name="Comma2" xfId="614" xr:uid="{00000000-0005-0000-0000-00003E010000}"/>
    <cellStyle name="Consultant Entry" xfId="111" xr:uid="{00000000-0005-0000-0000-00003F010000}"/>
    <cellStyle name="Consultant Unprotected" xfId="112" xr:uid="{00000000-0005-0000-0000-000040010000}"/>
    <cellStyle name="COPY" xfId="113" xr:uid="{00000000-0005-0000-0000-000041010000}"/>
    <cellStyle name="COPY0" xfId="114" xr:uid="{00000000-0005-0000-0000-000042010000}"/>
    <cellStyle name="COPY1" xfId="115" xr:uid="{00000000-0005-0000-0000-000043010000}"/>
    <cellStyle name="COPY2" xfId="116" xr:uid="{00000000-0005-0000-0000-000044010000}"/>
    <cellStyle name="Copy3_" xfId="117" xr:uid="{00000000-0005-0000-0000-000045010000}"/>
    <cellStyle name="COSTS" xfId="615" xr:uid="{00000000-0005-0000-0000-000046010000}"/>
    <cellStyle name="CountIT" xfId="118" xr:uid="{00000000-0005-0000-0000-000047010000}"/>
    <cellStyle name="CountryTitle" xfId="616" xr:uid="{00000000-0005-0000-0000-000048010000}"/>
    <cellStyle name="Critical" xfId="617" xr:uid="{00000000-0005-0000-0000-000049010000}"/>
    <cellStyle name="Currency [0]_A" xfId="119" xr:uid="{00000000-0005-0000-0000-00004A010000}"/>
    <cellStyle name="Currency 2" xfId="618" xr:uid="{00000000-0005-0000-0000-00004B010000}"/>
    <cellStyle name="Currency_A" xfId="120" xr:uid="{00000000-0005-0000-0000-00004C010000}"/>
    <cellStyle name="Currency0" xfId="619" xr:uid="{00000000-0005-0000-0000-00004D010000}"/>
    <cellStyle name="dak" xfId="121" xr:uid="{00000000-0005-0000-0000-00004E010000}"/>
    <cellStyle name="Data" xfId="620" xr:uid="{00000000-0005-0000-0000-00004F010000}"/>
    <cellStyle name="Date" xfId="122" xr:uid="{00000000-0005-0000-0000-000050010000}"/>
    <cellStyle name="DC" xfId="123" xr:uid="{00000000-0005-0000-0000-000051010000}"/>
    <cellStyle name="DC2 comment" xfId="124" xr:uid="{00000000-0005-0000-0000-000052010000}"/>
    <cellStyle name="DCalc (1)" xfId="125" xr:uid="{00000000-0005-0000-0000-000053010000}"/>
    <cellStyle name="DCC" xfId="126" xr:uid="{00000000-0005-0000-0000-000054010000}"/>
    <cellStyle name="DCMessage" xfId="127" xr:uid="{00000000-0005-0000-0000-000055010000}"/>
    <cellStyle name="Delete" xfId="621" xr:uid="{00000000-0005-0000-0000-000056010000}"/>
    <cellStyle name="Dens" xfId="128" xr:uid="{00000000-0005-0000-0000-000057010000}"/>
    <cellStyle name="depart" xfId="622" xr:uid="{00000000-0005-0000-0000-000058010000}"/>
    <cellStyle name="Dia" xfId="623" xr:uid="{00000000-0005-0000-0000-000059010000}"/>
    <cellStyle name="dp0" xfId="129" xr:uid="{00000000-0005-0000-0000-00005A010000}"/>
    <cellStyle name="dp0,-" xfId="130" xr:uid="{00000000-0005-0000-0000-00005B010000}"/>
    <cellStyle name="dp0_(0319)損益まとめ" xfId="131" xr:uid="{00000000-0005-0000-0000-00005C010000}"/>
    <cellStyle name="dp0dash" xfId="132" xr:uid="{00000000-0005-0000-0000-00005D010000}"/>
    <cellStyle name="dp1" xfId="133" xr:uid="{00000000-0005-0000-0000-00005E010000}"/>
    <cellStyle name="dp1,-" xfId="134" xr:uid="{00000000-0005-0000-0000-00005F010000}"/>
    <cellStyle name="dp1_(0319)損益まとめ" xfId="135" xr:uid="{00000000-0005-0000-0000-000060010000}"/>
    <cellStyle name="dp2" xfId="136" xr:uid="{00000000-0005-0000-0000-000061010000}"/>
    <cellStyle name="dp2,-" xfId="137" xr:uid="{00000000-0005-0000-0000-000062010000}"/>
    <cellStyle name="dp2_(0319)損益まとめ" xfId="138" xr:uid="{00000000-0005-0000-0000-000063010000}"/>
    <cellStyle name="ElecEff" xfId="139" xr:uid="{00000000-0005-0000-0000-000064010000}"/>
    <cellStyle name="Empty" xfId="624" xr:uid="{00000000-0005-0000-0000-000065010000}"/>
    <cellStyle name="Encabez1" xfId="625" xr:uid="{00000000-0005-0000-0000-000066010000}"/>
    <cellStyle name="Encabez2" xfId="626" xr:uid="{00000000-0005-0000-0000-000067010000}"/>
    <cellStyle name="Encabezado 1" xfId="627" xr:uid="{00000000-0005-0000-0000-000068010000}"/>
    <cellStyle name="Encabezado 2" xfId="628" xr:uid="{00000000-0005-0000-0000-000069010000}"/>
    <cellStyle name="Encabezado 4" xfId="629" xr:uid="{00000000-0005-0000-0000-00006A010000}"/>
    <cellStyle name="End-Totals" xfId="630" xr:uid="{00000000-0005-0000-0000-00006B010000}"/>
    <cellStyle name="Énfasis1" xfId="631" xr:uid="{00000000-0005-0000-0000-00006C010000}"/>
    <cellStyle name="Énfasis1 2" xfId="632" xr:uid="{00000000-0005-0000-0000-00006D010000}"/>
    <cellStyle name="Énfasis1_PR H-302049 Mineara Los Pelambres Financial Mode_Appendix B" xfId="633" xr:uid="{00000000-0005-0000-0000-00006E010000}"/>
    <cellStyle name="Énfasis2" xfId="634" xr:uid="{00000000-0005-0000-0000-00006F010000}"/>
    <cellStyle name="Énfasis2 2" xfId="635" xr:uid="{00000000-0005-0000-0000-000070010000}"/>
    <cellStyle name="Énfasis3" xfId="636" xr:uid="{00000000-0005-0000-0000-000071010000}"/>
    <cellStyle name="Énfasis4" xfId="637" xr:uid="{00000000-0005-0000-0000-000072010000}"/>
    <cellStyle name="Énfasis4 2" xfId="638" xr:uid="{00000000-0005-0000-0000-000073010000}"/>
    <cellStyle name="Énfasis4_PR H-302049 Mineara Los Pelambres Financial Mode_Appendix B" xfId="639" xr:uid="{00000000-0005-0000-0000-000074010000}"/>
    <cellStyle name="Énfasis5" xfId="640" xr:uid="{00000000-0005-0000-0000-000075010000}"/>
    <cellStyle name="Énfasis5 2" xfId="641" xr:uid="{00000000-0005-0000-0000-000076010000}"/>
    <cellStyle name="Énfasis5_PR H-302049 Mineara Los Pelambres Financial Mode_Appendix B" xfId="642" xr:uid="{00000000-0005-0000-0000-000077010000}"/>
    <cellStyle name="Énfasis6" xfId="643" xr:uid="{00000000-0005-0000-0000-000078010000}"/>
    <cellStyle name="Énfasis6 2" xfId="644" xr:uid="{00000000-0005-0000-0000-000079010000}"/>
    <cellStyle name="Énfasis6_Investment" xfId="645" xr:uid="{00000000-0005-0000-0000-00007A010000}"/>
    <cellStyle name="Entrada" xfId="646" xr:uid="{00000000-0005-0000-0000-00007B010000}"/>
    <cellStyle name="Entry" xfId="647" xr:uid="{00000000-0005-0000-0000-00007C010000}"/>
    <cellStyle name="Error" xfId="648" xr:uid="{00000000-0005-0000-0000-00007D010000}"/>
    <cellStyle name="Estilo 1" xfId="649" xr:uid="{00000000-0005-0000-0000-00007E010000}"/>
    <cellStyle name="Estilo 1 10" xfId="650" xr:uid="{00000000-0005-0000-0000-00007F010000}"/>
    <cellStyle name="Estilo 1 2" xfId="651" xr:uid="{00000000-0005-0000-0000-000080010000}"/>
    <cellStyle name="Estilo 1 3" xfId="652" xr:uid="{00000000-0005-0000-0000-000081010000}"/>
    <cellStyle name="Estilo 1 4" xfId="653" xr:uid="{00000000-0005-0000-0000-000082010000}"/>
    <cellStyle name="Estilo 1 5" xfId="654" xr:uid="{00000000-0005-0000-0000-000083010000}"/>
    <cellStyle name="Estilo 1 6" xfId="655" xr:uid="{00000000-0005-0000-0000-000084010000}"/>
    <cellStyle name="Estilo 1 7" xfId="656" xr:uid="{00000000-0005-0000-0000-000085010000}"/>
    <cellStyle name="Estilo 1 8" xfId="657" xr:uid="{00000000-0005-0000-0000-000086010000}"/>
    <cellStyle name="Estilo 1 9" xfId="658" xr:uid="{00000000-0005-0000-0000-000087010000}"/>
    <cellStyle name="Euro" xfId="659" xr:uid="{00000000-0005-0000-0000-000088010000}"/>
    <cellStyle name="Euro 2" xfId="660" xr:uid="{00000000-0005-0000-0000-000089010000}"/>
    <cellStyle name="Euro 3" xfId="661" xr:uid="{00000000-0005-0000-0000-00008A010000}"/>
    <cellStyle name="Euro 4" xfId="662" xr:uid="{00000000-0005-0000-0000-00008B010000}"/>
    <cellStyle name="Euro 5" xfId="663" xr:uid="{00000000-0005-0000-0000-00008C010000}"/>
    <cellStyle name="Euro 6" xfId="664" xr:uid="{00000000-0005-0000-0000-00008D010000}"/>
    <cellStyle name="Euro 7" xfId="665" xr:uid="{00000000-0005-0000-0000-00008E010000}"/>
    <cellStyle name="Euro 8" xfId="666" xr:uid="{00000000-0005-0000-0000-00008F010000}"/>
    <cellStyle name="Euro 9" xfId="667" xr:uid="{00000000-0005-0000-0000-000090010000}"/>
    <cellStyle name="Euro_Escondida" xfId="668" xr:uid="{00000000-0005-0000-0000-000091010000}"/>
    <cellStyle name="Explanatory Text" xfId="140" xr:uid="{00000000-0005-0000-0000-000092010000}"/>
    <cellStyle name="F2" xfId="669" xr:uid="{00000000-0005-0000-0000-000093010000}"/>
    <cellStyle name="F3" xfId="670" xr:uid="{00000000-0005-0000-0000-000094010000}"/>
    <cellStyle name="F4" xfId="671" xr:uid="{00000000-0005-0000-0000-000095010000}"/>
    <cellStyle name="F5" xfId="672" xr:uid="{00000000-0005-0000-0000-000096010000}"/>
    <cellStyle name="F6" xfId="673" xr:uid="{00000000-0005-0000-0000-000097010000}"/>
    <cellStyle name="F7" xfId="674" xr:uid="{00000000-0005-0000-0000-000098010000}"/>
    <cellStyle name="F8" xfId="675" xr:uid="{00000000-0005-0000-0000-000099010000}"/>
    <cellStyle name="FCST" xfId="676" xr:uid="{00000000-0005-0000-0000-00009A010000}"/>
    <cellStyle name="Fecha" xfId="677" xr:uid="{00000000-0005-0000-0000-00009B010000}"/>
    <cellStyle name="Fecha2 - Modelo1" xfId="678" xr:uid="{00000000-0005-0000-0000-00009C010000}"/>
    <cellStyle name="Fijo" xfId="679" xr:uid="{00000000-0005-0000-0000-00009D010000}"/>
    <cellStyle name="Financiero" xfId="680" xr:uid="{00000000-0005-0000-0000-00009E010000}"/>
    <cellStyle name="Fixed" xfId="681" xr:uid="{00000000-0005-0000-0000-00009F010000}"/>
    <cellStyle name="Followed Hyperlink" xfId="141" xr:uid="{00000000-0005-0000-0000-0000A0010000}"/>
    <cellStyle name="Footnote" xfId="682" xr:uid="{00000000-0005-0000-0000-0000A1010000}"/>
    <cellStyle name="FORECAST" xfId="683" xr:uid="{00000000-0005-0000-0000-0000A2010000}"/>
    <cellStyle name="FormatCode" xfId="142" xr:uid="{00000000-0005-0000-0000-0000A3010000}"/>
    <cellStyle name="formula" xfId="684" xr:uid="{00000000-0005-0000-0000-0000A4010000}"/>
    <cellStyle name="Good" xfId="143" xr:uid="{00000000-0005-0000-0000-0000A5010000}"/>
    <cellStyle name="GreenDCC" xfId="144" xr:uid="{00000000-0005-0000-0000-0000A6010000}"/>
    <cellStyle name="Grow" xfId="685" xr:uid="{00000000-0005-0000-0000-0000A7010000}"/>
    <cellStyle name="GY" xfId="686" xr:uid="{00000000-0005-0000-0000-0000A8010000}"/>
    <cellStyle name="H 2" xfId="687" xr:uid="{00000000-0005-0000-0000-0000A9010000}"/>
    <cellStyle name="Header1" xfId="145" xr:uid="{00000000-0005-0000-0000-0000AA010000}"/>
    <cellStyle name="Header2" xfId="146" xr:uid="{00000000-0005-0000-0000-0000AB010000}"/>
    <cellStyle name="Heading" xfId="688" xr:uid="{00000000-0005-0000-0000-0000AC010000}"/>
    <cellStyle name="Heading 1" xfId="147" xr:uid="{00000000-0005-0000-0000-0000AD010000}"/>
    <cellStyle name="Heading 2" xfId="148" xr:uid="{00000000-0005-0000-0000-0000AE010000}"/>
    <cellStyle name="Heading 3" xfId="149" xr:uid="{00000000-0005-0000-0000-0000AF010000}"/>
    <cellStyle name="Heading 4" xfId="150" xr:uid="{00000000-0005-0000-0000-0000B0010000}"/>
    <cellStyle name="Heading1" xfId="689" xr:uid="{00000000-0005-0000-0000-0000B1010000}"/>
    <cellStyle name="Heading2" xfId="690" xr:uid="{00000000-0005-0000-0000-0000B2010000}"/>
    <cellStyle name="Heading3" xfId="691" xr:uid="{00000000-0005-0000-0000-0000B3010000}"/>
    <cellStyle name="Headings" xfId="692" xr:uid="{00000000-0005-0000-0000-0000B4010000}"/>
    <cellStyle name="Hheader" xfId="693" xr:uid="{00000000-0005-0000-0000-0000B5010000}"/>
    <cellStyle name="Hidden" xfId="151" xr:uid="{00000000-0005-0000-0000-0000B6010000}"/>
    <cellStyle name="Hipervínculo_InfDir" xfId="694" xr:uid="{00000000-0005-0000-0000-0000B7010000}"/>
    <cellStyle name="History" xfId="695" xr:uid="{00000000-0005-0000-0000-0000B8010000}"/>
    <cellStyle name="Hyperlink" xfId="152" xr:uid="{00000000-0005-0000-0000-0000B9010000}"/>
    <cellStyle name="imulator" xfId="153" xr:uid="{00000000-0005-0000-0000-0000BA010000}"/>
    <cellStyle name="In_Sys" xfId="696" xr:uid="{00000000-0005-0000-0000-0000BB010000}"/>
    <cellStyle name="Incorrecto" xfId="697" xr:uid="{00000000-0005-0000-0000-0000BC010000}"/>
    <cellStyle name="inp_date" xfId="698" xr:uid="{00000000-0005-0000-0000-0000BD010000}"/>
    <cellStyle name="Input" xfId="154" xr:uid="{00000000-0005-0000-0000-0000BE010000}"/>
    <cellStyle name="Input Cell" xfId="699" xr:uid="{00000000-0005-0000-0000-0000BF010000}"/>
    <cellStyle name="Input%" xfId="700" xr:uid="{00000000-0005-0000-0000-0000C0010000}"/>
    <cellStyle name="Input%1d" xfId="701" xr:uid="{00000000-0005-0000-0000-0000C1010000}"/>
    <cellStyle name="Input%2d" xfId="702" xr:uid="{00000000-0005-0000-0000-0000C2010000}"/>
    <cellStyle name="Input_1d" xfId="703" xr:uid="{00000000-0005-0000-0000-0000C3010000}"/>
    <cellStyle name="Input1" xfId="155" xr:uid="{00000000-0005-0000-0000-0000C4010000}"/>
    <cellStyle name="Input1d" xfId="704" xr:uid="{00000000-0005-0000-0000-0000C5010000}"/>
    <cellStyle name="Input-1d" xfId="705" xr:uid="{00000000-0005-0000-0000-0000C6010000}"/>
    <cellStyle name="Input2" xfId="156" xr:uid="{00000000-0005-0000-0000-0000C7010000}"/>
    <cellStyle name="Input2d" xfId="706" xr:uid="{00000000-0005-0000-0000-0000C8010000}"/>
    <cellStyle name="Input3" xfId="157" xr:uid="{00000000-0005-0000-0000-0000C9010000}"/>
    <cellStyle name="Input3d" xfId="707" xr:uid="{00000000-0005-0000-0000-0000CA010000}"/>
    <cellStyle name="Input4" xfId="158" xr:uid="{00000000-0005-0000-0000-0000CB010000}"/>
    <cellStyle name="KEN" xfId="159" xr:uid="{00000000-0005-0000-0000-0000CC010000}"/>
    <cellStyle name="Level1" xfId="708" xr:uid="{00000000-0005-0000-0000-0000CD010000}"/>
    <cellStyle name="Level1 Italics" xfId="709" xr:uid="{00000000-0005-0000-0000-0000CE010000}"/>
    <cellStyle name="Level2" xfId="710" xr:uid="{00000000-0005-0000-0000-0000CF010000}"/>
    <cellStyle name="LINK0_" xfId="160" xr:uid="{00000000-0005-0000-0000-0000D0010000}"/>
    <cellStyle name="LINK1_" xfId="161" xr:uid="{00000000-0005-0000-0000-0000D1010000}"/>
    <cellStyle name="LINK2_" xfId="162" xr:uid="{00000000-0005-0000-0000-0000D2010000}"/>
    <cellStyle name="linked" xfId="711" xr:uid="{00000000-0005-0000-0000-0000D3010000}"/>
    <cellStyle name="Linked Cell" xfId="163" xr:uid="{00000000-0005-0000-0000-0000D4010000}"/>
    <cellStyle name="LM Mass Specific Enthalpy" xfId="164" xr:uid="{00000000-0005-0000-0000-0000D5010000}"/>
    <cellStyle name="LM Power" xfId="165" xr:uid="{00000000-0005-0000-0000-0000D6010000}"/>
    <cellStyle name="LM Quality" xfId="166" xr:uid="{00000000-0005-0000-0000-0000D7010000}"/>
    <cellStyle name="LM Temperature" xfId="167" xr:uid="{00000000-0005-0000-0000-0000D8010000}"/>
    <cellStyle name="LNum" xfId="168" xr:uid="{00000000-0005-0000-0000-0000D9010000}"/>
    <cellStyle name="Locations" xfId="712" xr:uid="{00000000-0005-0000-0000-0000DA010000}"/>
    <cellStyle name="LPress" xfId="169" xr:uid="{00000000-0005-0000-0000-0000DB010000}"/>
    <cellStyle name="MACRO" xfId="713" xr:uid="{00000000-0005-0000-0000-0000DC010000}"/>
    <cellStyle name="Major Heading" xfId="714" xr:uid="{00000000-0005-0000-0000-0000DD010000}"/>
    <cellStyle name="manual" xfId="170" xr:uid="{00000000-0005-0000-0000-0000DE010000}"/>
    <cellStyle name="Millares [0] 2" xfId="715" xr:uid="{00000000-0005-0000-0000-0000DF010000}"/>
    <cellStyle name="Millares [0]_Tabla InfTC" xfId="716" xr:uid="{00000000-0005-0000-0000-0000E0010000}"/>
    <cellStyle name="Millares 2" xfId="717" xr:uid="{00000000-0005-0000-0000-0000E1010000}"/>
    <cellStyle name="Millares 3" xfId="718" xr:uid="{00000000-0005-0000-0000-0000E2010000}"/>
    <cellStyle name="Millares 4" xfId="719" xr:uid="{00000000-0005-0000-0000-0000E3010000}"/>
    <cellStyle name="Millares_Anexo B Noviembre 011" xfId="720" xr:uid="{00000000-0005-0000-0000-0000E4010000}"/>
    <cellStyle name="MNG's" xfId="721" xr:uid="{00000000-0005-0000-0000-0000E5010000}"/>
    <cellStyle name="MNum" xfId="171" xr:uid="{00000000-0005-0000-0000-0000E6010000}"/>
    <cellStyle name="Model_Calculation" xfId="722" xr:uid="{00000000-0005-0000-0000-0000E7010000}"/>
    <cellStyle name="Monetario" xfId="723" xr:uid="{00000000-0005-0000-0000-0000E8010000}"/>
    <cellStyle name="Monetario0" xfId="724" xr:uid="{00000000-0005-0000-0000-0000E9010000}"/>
    <cellStyle name="ms明朝9" xfId="172" xr:uid="{00000000-0005-0000-0000-0000EA010000}"/>
    <cellStyle name="multiple" xfId="725" xr:uid="{00000000-0005-0000-0000-0000EB010000}"/>
    <cellStyle name="NA" xfId="726" xr:uid="{00000000-0005-0000-0000-0000EC010000}"/>
    <cellStyle name="Neutral" xfId="173" xr:uid="{00000000-0005-0000-0000-0000ED010000}"/>
    <cellStyle name="New" xfId="174" xr:uid="{00000000-0005-0000-0000-0000EE010000}"/>
    <cellStyle name="no dec" xfId="727" xr:uid="{00000000-0005-0000-0000-0000EF010000}"/>
    <cellStyle name="no1" xfId="728" xr:uid="{00000000-0005-0000-0000-0000F0010000}"/>
    <cellStyle name="no2" xfId="729" xr:uid="{00000000-0005-0000-0000-0000F1010000}"/>
    <cellStyle name="no3" xfId="730" xr:uid="{00000000-0005-0000-0000-0000F2010000}"/>
    <cellStyle name="No4" xfId="731" xr:uid="{00000000-0005-0000-0000-0000F3010000}"/>
    <cellStyle name="No5" xfId="732" xr:uid="{00000000-0005-0000-0000-0000F4010000}"/>
    <cellStyle name="Nocomma" xfId="733" xr:uid="{00000000-0005-0000-0000-0000F5010000}"/>
    <cellStyle name="No-definido" xfId="734" xr:uid="{00000000-0005-0000-0000-0000F6010000}"/>
    <cellStyle name="Nominal $" xfId="735" xr:uid="{00000000-0005-0000-0000-0000F7010000}"/>
    <cellStyle name="Normal - Style1" xfId="175" xr:uid="{00000000-0005-0000-0000-0000F8010000}"/>
    <cellStyle name="Normal - スタイル1" xfId="176" xr:uid="{00000000-0005-0000-0000-0000F9010000}"/>
    <cellStyle name="Normal - スタイル2" xfId="177" xr:uid="{00000000-0005-0000-0000-0000FA010000}"/>
    <cellStyle name="Normal - スタイル3" xfId="178" xr:uid="{00000000-0005-0000-0000-0000FB010000}"/>
    <cellStyle name="Normal - スタイル4" xfId="179" xr:uid="{00000000-0005-0000-0000-0000FC010000}"/>
    <cellStyle name="Normal - スタイル5" xfId="180" xr:uid="{00000000-0005-0000-0000-0000FD010000}"/>
    <cellStyle name="Normal - スタイル6" xfId="181" xr:uid="{00000000-0005-0000-0000-0000FE010000}"/>
    <cellStyle name="Normal - スタイル7" xfId="182" xr:uid="{00000000-0005-0000-0000-0000FF010000}"/>
    <cellStyle name="Normal - スタイル8" xfId="183" xr:uid="{00000000-0005-0000-0000-000000020000}"/>
    <cellStyle name="Normal [0]" xfId="736" xr:uid="{00000000-0005-0000-0000-000001020000}"/>
    <cellStyle name="Normal [2]" xfId="737" xr:uid="{00000000-0005-0000-0000-000002020000}"/>
    <cellStyle name="Normal 10" xfId="738" xr:uid="{00000000-0005-0000-0000-000003020000}"/>
    <cellStyle name="Normal 11" xfId="739" xr:uid="{00000000-0005-0000-0000-000004020000}"/>
    <cellStyle name="Normal 12" xfId="740" xr:uid="{00000000-0005-0000-0000-000005020000}"/>
    <cellStyle name="Normal 2" xfId="741" xr:uid="{00000000-0005-0000-0000-000006020000}"/>
    <cellStyle name="Normal 2 2" xfId="742" xr:uid="{00000000-0005-0000-0000-000007020000}"/>
    <cellStyle name="Normal 2 3" xfId="743" xr:uid="{00000000-0005-0000-0000-000008020000}"/>
    <cellStyle name="Normal 2 4" xfId="744" xr:uid="{00000000-0005-0000-0000-000009020000}"/>
    <cellStyle name="Normal 2 5" xfId="745" xr:uid="{00000000-0005-0000-0000-00000A020000}"/>
    <cellStyle name="Normal 2 6" xfId="746" xr:uid="{00000000-0005-0000-0000-00000B020000}"/>
    <cellStyle name="Normal 2 7" xfId="747" xr:uid="{00000000-0005-0000-0000-00000C020000}"/>
    <cellStyle name="Normal 2_Inversiones 181007" xfId="748" xr:uid="{00000000-0005-0000-0000-00000D020000}"/>
    <cellStyle name="Normal 3" xfId="749" xr:uid="{00000000-0005-0000-0000-00000E020000}"/>
    <cellStyle name="Normal 3 2" xfId="750" xr:uid="{00000000-0005-0000-0000-00000F020000}"/>
    <cellStyle name="Normal 3_Investment" xfId="751" xr:uid="{00000000-0005-0000-0000-000010020000}"/>
    <cellStyle name="Normal 4" xfId="752" xr:uid="{00000000-0005-0000-0000-000011020000}"/>
    <cellStyle name="Normal 4 2" xfId="753" xr:uid="{00000000-0005-0000-0000-000012020000}"/>
    <cellStyle name="Normal 4 3" xfId="754" xr:uid="{00000000-0005-0000-0000-000013020000}"/>
    <cellStyle name="Normal 4_Investment" xfId="755" xr:uid="{00000000-0005-0000-0000-000014020000}"/>
    <cellStyle name="Normal 5" xfId="756" xr:uid="{00000000-0005-0000-0000-000015020000}"/>
    <cellStyle name="Normal 6" xfId="757" xr:uid="{00000000-0005-0000-0000-000016020000}"/>
    <cellStyle name="Normal 7" xfId="758" xr:uid="{00000000-0005-0000-0000-000017020000}"/>
    <cellStyle name="Normal 7 2" xfId="759" xr:uid="{00000000-0005-0000-0000-000018020000}"/>
    <cellStyle name="Normal 7_PR H-302049 Mineara Los Pelambres Financial Mode_Appendix B" xfId="760" xr:uid="{00000000-0005-0000-0000-000019020000}"/>
    <cellStyle name="Normal 8" xfId="761" xr:uid="{00000000-0005-0000-0000-00001A020000}"/>
    <cellStyle name="Normal 9" xfId="762" xr:uid="{00000000-0005-0000-0000-00001B020000}"/>
    <cellStyle name="Normal_#18-Internet" xfId="184" xr:uid="{00000000-0005-0000-0000-00001C020000}"/>
    <cellStyle name="Normal1d" xfId="763" xr:uid="{00000000-0005-0000-0000-00001D020000}"/>
    <cellStyle name="Normal-1d" xfId="764" xr:uid="{00000000-0005-0000-0000-00001E020000}"/>
    <cellStyle name="Normal2d" xfId="765" xr:uid="{00000000-0005-0000-0000-00001F020000}"/>
    <cellStyle name="Notas" xfId="766" xr:uid="{00000000-0005-0000-0000-000020020000}"/>
    <cellStyle name="Notas 2" xfId="767" xr:uid="{00000000-0005-0000-0000-000021020000}"/>
    <cellStyle name="Notas_PR H-302049 Mineara Los Pelambres Financial Mode_Appendix B" xfId="768" xr:uid="{00000000-0005-0000-0000-000022020000}"/>
    <cellStyle name="Note" xfId="185" xr:uid="{00000000-0005-0000-0000-000023020000}"/>
    <cellStyle name="Notes" xfId="769" xr:uid="{00000000-0005-0000-0000-000024020000}"/>
    <cellStyle name="NoZero" xfId="186" xr:uid="{00000000-0005-0000-0000-000025020000}"/>
    <cellStyle name="NoZero0dp" xfId="187" xr:uid="{00000000-0005-0000-0000-000026020000}"/>
    <cellStyle name="NoZeroFixed" xfId="188" xr:uid="{00000000-0005-0000-0000-000027020000}"/>
    <cellStyle name="NoZeroFixed1" xfId="189" xr:uid="{00000000-0005-0000-0000-000028020000}"/>
    <cellStyle name="NoZeroFixed2" xfId="190" xr:uid="{00000000-0005-0000-0000-000029020000}"/>
    <cellStyle name="Num1" xfId="191" xr:uid="{00000000-0005-0000-0000-00002A020000}"/>
    <cellStyle name="Num2" xfId="192" xr:uid="{00000000-0005-0000-0000-00002B020000}"/>
    <cellStyle name="Output" xfId="193" xr:uid="{00000000-0005-0000-0000-00002C020000}"/>
    <cellStyle name="OVERRIDE" xfId="194" xr:uid="{00000000-0005-0000-0000-00002D020000}"/>
    <cellStyle name="P $,(0)" xfId="195" xr:uid="{00000000-0005-0000-0000-00002E020000}"/>
    <cellStyle name="P $,(2)" xfId="196" xr:uid="{00000000-0005-0000-0000-00002F020000}"/>
    <cellStyle name="P $,0" xfId="197" xr:uid="{00000000-0005-0000-0000-000030020000}"/>
    <cellStyle name="P, (0)" xfId="198" xr:uid="{00000000-0005-0000-0000-000031020000}"/>
    <cellStyle name="P, (1)" xfId="199" xr:uid="{00000000-0005-0000-0000-000032020000}"/>
    <cellStyle name="P, (2)" xfId="200" xr:uid="{00000000-0005-0000-0000-000033020000}"/>
    <cellStyle name="P, (3)" xfId="201" xr:uid="{00000000-0005-0000-0000-000034020000}"/>
    <cellStyle name="P, (4)" xfId="202" xr:uid="{00000000-0005-0000-0000-000035020000}"/>
    <cellStyle name="P, [0]" xfId="203" xr:uid="{00000000-0005-0000-0000-000036020000}"/>
    <cellStyle name="P, [1]" xfId="204" xr:uid="{00000000-0005-0000-0000-000037020000}"/>
    <cellStyle name="P, [2]" xfId="205" xr:uid="{00000000-0005-0000-0000-000038020000}"/>
    <cellStyle name="Percent 2" xfId="770" xr:uid="{00000000-0005-0000-0000-000039020000}"/>
    <cellStyle name="Percent_IPForecasts" xfId="771" xr:uid="{00000000-0005-0000-0000-00003A020000}"/>
    <cellStyle name="Percent1" xfId="772" xr:uid="{00000000-0005-0000-0000-00003B020000}"/>
    <cellStyle name="Percent1d" xfId="773" xr:uid="{00000000-0005-0000-0000-00003C020000}"/>
    <cellStyle name="Percent2" xfId="774" xr:uid="{00000000-0005-0000-0000-00003D020000}"/>
    <cellStyle name="Percent2d" xfId="775" xr:uid="{00000000-0005-0000-0000-00003E020000}"/>
    <cellStyle name="PillarData" xfId="776" xr:uid="{00000000-0005-0000-0000-00003F020000}"/>
    <cellStyle name="PillarHeading" xfId="777" xr:uid="{00000000-0005-0000-0000-000040020000}"/>
    <cellStyle name="PillarText" xfId="778" xr:uid="{00000000-0005-0000-0000-000041020000}"/>
    <cellStyle name="PillarTotal" xfId="779" xr:uid="{00000000-0005-0000-0000-000042020000}"/>
    <cellStyle name="POP" xfId="780" xr:uid="{00000000-0005-0000-0000-000043020000}"/>
    <cellStyle name="Porcentaje" xfId="781" xr:uid="{00000000-0005-0000-0000-000044020000}"/>
    <cellStyle name="Porcentual 2" xfId="782" xr:uid="{00000000-0005-0000-0000-000045020000}"/>
    <cellStyle name="Porcentual 3" xfId="783" xr:uid="{00000000-0005-0000-0000-000046020000}"/>
    <cellStyle name="Porcentual 3 2" xfId="784" xr:uid="{00000000-0005-0000-0000-000047020000}"/>
    <cellStyle name="Porcentual 4" xfId="785" xr:uid="{00000000-0005-0000-0000-000048020000}"/>
    <cellStyle name="Porcentual 5" xfId="786" xr:uid="{00000000-0005-0000-0000-000049020000}"/>
    <cellStyle name="Porcentual 6" xfId="787" xr:uid="{00000000-0005-0000-0000-00004A020000}"/>
    <cellStyle name="Pr Fixed (0)" xfId="206" xr:uid="{00000000-0005-0000-0000-00004B020000}"/>
    <cellStyle name="Pr Fixed (1)" xfId="207" xr:uid="{00000000-0005-0000-0000-00004C020000}"/>
    <cellStyle name="Pr Fixed (2)" xfId="208" xr:uid="{00000000-0005-0000-0000-00004D020000}"/>
    <cellStyle name="Pr Fixed (3)" xfId="209" xr:uid="{00000000-0005-0000-0000-00004E020000}"/>
    <cellStyle name="Pr Fixed [0]" xfId="210" xr:uid="{00000000-0005-0000-0000-00004F020000}"/>
    <cellStyle name="Pr Fixed [1]" xfId="211" xr:uid="{00000000-0005-0000-0000-000050020000}"/>
    <cellStyle name="Pr Fixed [2]" xfId="212" xr:uid="{00000000-0005-0000-0000-000051020000}"/>
    <cellStyle name="Pr Fixed [3]" xfId="213" xr:uid="{00000000-0005-0000-0000-000052020000}"/>
    <cellStyle name="Pr, -0" xfId="214" xr:uid="{00000000-0005-0000-0000-000053020000}"/>
    <cellStyle name="Prot $,(0)" xfId="215" xr:uid="{00000000-0005-0000-0000-000054020000}"/>
    <cellStyle name="Prot $,(2)" xfId="216" xr:uid="{00000000-0005-0000-0000-000055020000}"/>
    <cellStyle name="Prot Fixed (0)" xfId="217" xr:uid="{00000000-0005-0000-0000-000056020000}"/>
    <cellStyle name="Prot Fixed (1)" xfId="218" xr:uid="{00000000-0005-0000-0000-000057020000}"/>
    <cellStyle name="Prot, (0)" xfId="219" xr:uid="{00000000-0005-0000-0000-000058020000}"/>
    <cellStyle name="Prot, (1)" xfId="220" xr:uid="{00000000-0005-0000-0000-000059020000}"/>
    <cellStyle name="Prot, Fixed (2)" xfId="221" xr:uid="{00000000-0005-0000-0000-00005A020000}"/>
    <cellStyle name="Prot, Fixed (3)" xfId="222" xr:uid="{00000000-0005-0000-0000-00005B020000}"/>
    <cellStyle name="Protected" xfId="223" xr:uid="{00000000-0005-0000-0000-00005C020000}"/>
    <cellStyle name="Protected 0" xfId="224" xr:uid="{00000000-0005-0000-0000-00005D020000}"/>
    <cellStyle name="Protected_2010中期経営計画EXCEL貼付データ(1)" xfId="788" xr:uid="{00000000-0005-0000-0000-00005E020000}"/>
    <cellStyle name="Punto" xfId="789" xr:uid="{00000000-0005-0000-0000-00005F020000}"/>
    <cellStyle name="Punto0" xfId="790" xr:uid="{00000000-0005-0000-0000-000060020000}"/>
    <cellStyle name="Punto0 - Modelo1" xfId="791" xr:uid="{00000000-0005-0000-0000-000061020000}"/>
    <cellStyle name="Punto1 - Modelo1" xfId="792" xr:uid="{00000000-0005-0000-0000-000062020000}"/>
    <cellStyle name="Punto1 - Modelo2" xfId="793" xr:uid="{00000000-0005-0000-0000-000063020000}"/>
    <cellStyle name="Quarter" xfId="225" xr:uid="{00000000-0005-0000-0000-000064020000}"/>
    <cellStyle name="Real $" xfId="794" xr:uid="{00000000-0005-0000-0000-000065020000}"/>
    <cellStyle name="RedDC" xfId="226" xr:uid="{00000000-0005-0000-0000-000066020000}"/>
    <cellStyle name="Repeat Commet" xfId="227" xr:uid="{00000000-0005-0000-0000-000067020000}"/>
    <cellStyle name="Repeat Commetn" xfId="228" xr:uid="{00000000-0005-0000-0000-000068020000}"/>
    <cellStyle name="Results % 3 dp" xfId="795" xr:uid="{00000000-0005-0000-0000-000069020000}"/>
    <cellStyle name="Results 3 dp" xfId="796" xr:uid="{00000000-0005-0000-0000-00006A020000}"/>
    <cellStyle name="RM" xfId="797" xr:uid="{00000000-0005-0000-0000-00006B020000}"/>
    <cellStyle name="RowHeading" xfId="798" xr:uid="{00000000-0005-0000-0000-00006C020000}"/>
    <cellStyle name="RSD" xfId="799" xr:uid="{00000000-0005-0000-0000-00006D020000}"/>
    <cellStyle name="Salida" xfId="800" xr:uid="{00000000-0005-0000-0000-00006E020000}"/>
    <cellStyle name="salmon - Style1" xfId="801" xr:uid="{00000000-0005-0000-0000-00006F020000}"/>
    <cellStyle name="SAPBEXaggData" xfId="229" xr:uid="{00000000-0005-0000-0000-000070020000}"/>
    <cellStyle name="SAPBEXaggDataEmph" xfId="230" xr:uid="{00000000-0005-0000-0000-000071020000}"/>
    <cellStyle name="SAPBEXaggItem" xfId="231" xr:uid="{00000000-0005-0000-0000-000072020000}"/>
    <cellStyle name="SAPBEXaggItemX" xfId="232" xr:uid="{00000000-0005-0000-0000-000073020000}"/>
    <cellStyle name="SAPBEXchaText" xfId="233" xr:uid="{00000000-0005-0000-0000-000074020000}"/>
    <cellStyle name="SAPBEXexcBad7" xfId="234" xr:uid="{00000000-0005-0000-0000-000075020000}"/>
    <cellStyle name="SAPBEXexcBad8" xfId="235" xr:uid="{00000000-0005-0000-0000-000076020000}"/>
    <cellStyle name="SAPBEXexcBad9" xfId="236" xr:uid="{00000000-0005-0000-0000-000077020000}"/>
    <cellStyle name="SAPBEXexcCritical4" xfId="237" xr:uid="{00000000-0005-0000-0000-000078020000}"/>
    <cellStyle name="SAPBEXexcCritical5" xfId="238" xr:uid="{00000000-0005-0000-0000-000079020000}"/>
    <cellStyle name="SAPBEXexcCritical6" xfId="239" xr:uid="{00000000-0005-0000-0000-00007A020000}"/>
    <cellStyle name="SAPBEXexcGood1" xfId="240" xr:uid="{00000000-0005-0000-0000-00007B020000}"/>
    <cellStyle name="SAPBEXexcGood2" xfId="241" xr:uid="{00000000-0005-0000-0000-00007C020000}"/>
    <cellStyle name="SAPBEXexcGood3" xfId="242" xr:uid="{00000000-0005-0000-0000-00007D020000}"/>
    <cellStyle name="SAPBEXfilterDrill" xfId="243" xr:uid="{00000000-0005-0000-0000-00007E020000}"/>
    <cellStyle name="SAPBEXfilterItem" xfId="244" xr:uid="{00000000-0005-0000-0000-00007F020000}"/>
    <cellStyle name="SAPBEXfilterText" xfId="245" xr:uid="{00000000-0005-0000-0000-000080020000}"/>
    <cellStyle name="SAPBEXformats" xfId="246" xr:uid="{00000000-0005-0000-0000-000081020000}"/>
    <cellStyle name="SAPBEXheaderItem" xfId="247" xr:uid="{00000000-0005-0000-0000-000082020000}"/>
    <cellStyle name="SAPBEXheaderText" xfId="248" xr:uid="{00000000-0005-0000-0000-000083020000}"/>
    <cellStyle name="SAPBEXHLevel0" xfId="249" xr:uid="{00000000-0005-0000-0000-000084020000}"/>
    <cellStyle name="SAPBEXHLevel0X" xfId="250" xr:uid="{00000000-0005-0000-0000-000085020000}"/>
    <cellStyle name="SAPBEXHLevel1" xfId="251" xr:uid="{00000000-0005-0000-0000-000086020000}"/>
    <cellStyle name="SAPBEXHLevel1X" xfId="252" xr:uid="{00000000-0005-0000-0000-000087020000}"/>
    <cellStyle name="SAPBEXHLevel2" xfId="253" xr:uid="{00000000-0005-0000-0000-000088020000}"/>
    <cellStyle name="SAPBEXHLevel2X" xfId="254" xr:uid="{00000000-0005-0000-0000-000089020000}"/>
    <cellStyle name="SAPBEXHLevel3" xfId="255" xr:uid="{00000000-0005-0000-0000-00008A020000}"/>
    <cellStyle name="SAPBEXHLevel3X" xfId="256" xr:uid="{00000000-0005-0000-0000-00008B020000}"/>
    <cellStyle name="SAPBEXresData" xfId="257" xr:uid="{00000000-0005-0000-0000-00008C020000}"/>
    <cellStyle name="SAPBEXresDataEmph" xfId="258" xr:uid="{00000000-0005-0000-0000-00008D020000}"/>
    <cellStyle name="SAPBEXresItem" xfId="259" xr:uid="{00000000-0005-0000-0000-00008E020000}"/>
    <cellStyle name="SAPBEXresItemX" xfId="260" xr:uid="{00000000-0005-0000-0000-00008F020000}"/>
    <cellStyle name="SAPBEXstdData" xfId="261" xr:uid="{00000000-0005-0000-0000-000090020000}"/>
    <cellStyle name="SAPBEXstdDataEmph" xfId="262" xr:uid="{00000000-0005-0000-0000-000091020000}"/>
    <cellStyle name="SAPBEXstdItem" xfId="263" xr:uid="{00000000-0005-0000-0000-000092020000}"/>
    <cellStyle name="SAPBEXstdItemX" xfId="264" xr:uid="{00000000-0005-0000-0000-000093020000}"/>
    <cellStyle name="SAPBEXtitle" xfId="265" xr:uid="{00000000-0005-0000-0000-000094020000}"/>
    <cellStyle name="SAPBEXundefined" xfId="266" xr:uid="{00000000-0005-0000-0000-000095020000}"/>
    <cellStyle name="Scientific" xfId="267" xr:uid="{00000000-0005-0000-0000-000096020000}"/>
    <cellStyle name="SCUserDesc" xfId="802" xr:uid="{00000000-0005-0000-0000-000097020000}"/>
    <cellStyle name="SCUserRow" xfId="803" xr:uid="{00000000-0005-0000-0000-000098020000}"/>
    <cellStyle name="SDENTRY" xfId="804" xr:uid="{00000000-0005-0000-0000-000099020000}"/>
    <cellStyle name="SDHeader" xfId="805" xr:uid="{00000000-0005-0000-0000-00009A020000}"/>
    <cellStyle name="SEcategory" xfId="806" xr:uid="{00000000-0005-0000-0000-00009B020000}"/>
    <cellStyle name="SEentry" xfId="807" xr:uid="{00000000-0005-0000-0000-00009C020000}"/>
    <cellStyle name="SEformula" xfId="808" xr:uid="{00000000-0005-0000-0000-00009D020000}"/>
    <cellStyle name="SEheader" xfId="809" xr:uid="{00000000-0005-0000-0000-00009E020000}"/>
    <cellStyle name="SElocked" xfId="810" xr:uid="{00000000-0005-0000-0000-00009F020000}"/>
    <cellStyle name="SEPentry" xfId="811" xr:uid="{00000000-0005-0000-0000-0000A0020000}"/>
    <cellStyle name="SHeader" xfId="812" xr:uid="{00000000-0005-0000-0000-0000A1020000}"/>
    <cellStyle name="Sheet Link" xfId="813" xr:uid="{00000000-0005-0000-0000-0000A2020000}"/>
    <cellStyle name="sideways" xfId="814" xr:uid="{00000000-0005-0000-0000-0000A3020000}"/>
    <cellStyle name="SOUserDesc" xfId="815" xr:uid="{00000000-0005-0000-0000-0000A4020000}"/>
    <cellStyle name="SOUserRow" xfId="816" xr:uid="{00000000-0005-0000-0000-0000A5020000}"/>
    <cellStyle name="Special" xfId="817" xr:uid="{00000000-0005-0000-0000-0000A6020000}"/>
    <cellStyle name="SPENTRY" xfId="818" xr:uid="{00000000-0005-0000-0000-0000A7020000}"/>
    <cellStyle name="SPFORMULA" xfId="819" xr:uid="{00000000-0005-0000-0000-0000A8020000}"/>
    <cellStyle name="SPHeader" xfId="820" xr:uid="{00000000-0005-0000-0000-0000A9020000}"/>
    <cellStyle name="SPLocked" xfId="821" xr:uid="{00000000-0005-0000-0000-0000AA020000}"/>
    <cellStyle name="SPress" xfId="268" xr:uid="{00000000-0005-0000-0000-0000AB020000}"/>
    <cellStyle name="SRheader" xfId="822" xr:uid="{00000000-0005-0000-0000-0000AC020000}"/>
    <cellStyle name="Style 21" xfId="823" xr:uid="{00000000-0005-0000-0000-0000AD020000}"/>
    <cellStyle name="Style 22" xfId="824" xr:uid="{00000000-0005-0000-0000-0000AE020000}"/>
    <cellStyle name="Style 23" xfId="825" xr:uid="{00000000-0005-0000-0000-0000AF020000}"/>
    <cellStyle name="Style 24" xfId="826" xr:uid="{00000000-0005-0000-0000-0000B0020000}"/>
    <cellStyle name="Style 25" xfId="827" xr:uid="{00000000-0005-0000-0000-0000B1020000}"/>
    <cellStyle name="Style 26" xfId="828" xr:uid="{00000000-0005-0000-0000-0000B2020000}"/>
    <cellStyle name="Style 27" xfId="829" xr:uid="{00000000-0005-0000-0000-0000B3020000}"/>
    <cellStyle name="Style 28" xfId="830" xr:uid="{00000000-0005-0000-0000-0000B4020000}"/>
    <cellStyle name="Style 29" xfId="831" xr:uid="{00000000-0005-0000-0000-0000B5020000}"/>
    <cellStyle name="Style 30" xfId="832" xr:uid="{00000000-0005-0000-0000-0000B6020000}"/>
    <cellStyle name="Style 31" xfId="833" xr:uid="{00000000-0005-0000-0000-0000B7020000}"/>
    <cellStyle name="Style 32" xfId="834" xr:uid="{00000000-0005-0000-0000-0000B8020000}"/>
    <cellStyle name="Style 33" xfId="835" xr:uid="{00000000-0005-0000-0000-0000B9020000}"/>
    <cellStyle name="Style 34" xfId="836" xr:uid="{00000000-0005-0000-0000-0000BA020000}"/>
    <cellStyle name="Style 35" xfId="837" xr:uid="{00000000-0005-0000-0000-0000BB020000}"/>
    <cellStyle name="Style 36" xfId="838" xr:uid="{00000000-0005-0000-0000-0000BC020000}"/>
    <cellStyle name="Style 37" xfId="839" xr:uid="{00000000-0005-0000-0000-0000BD020000}"/>
    <cellStyle name="Style 38" xfId="840" xr:uid="{00000000-0005-0000-0000-0000BE020000}"/>
    <cellStyle name="Style 39" xfId="841" xr:uid="{00000000-0005-0000-0000-0000BF020000}"/>
    <cellStyle name="Style 40" xfId="842" xr:uid="{00000000-0005-0000-0000-0000C0020000}"/>
    <cellStyle name="Style 41" xfId="843" xr:uid="{00000000-0005-0000-0000-0000C1020000}"/>
    <cellStyle name="Style 42" xfId="844" xr:uid="{00000000-0005-0000-0000-0000C2020000}"/>
    <cellStyle name="Style 43" xfId="845" xr:uid="{00000000-0005-0000-0000-0000C3020000}"/>
    <cellStyle name="Style 44" xfId="846" xr:uid="{00000000-0005-0000-0000-0000C4020000}"/>
    <cellStyle name="Style 45" xfId="847" xr:uid="{00000000-0005-0000-0000-0000C5020000}"/>
    <cellStyle name="Style 46" xfId="848" xr:uid="{00000000-0005-0000-0000-0000C6020000}"/>
    <cellStyle name="Style 47" xfId="849" xr:uid="{00000000-0005-0000-0000-0000C7020000}"/>
    <cellStyle name="Style 48" xfId="850" xr:uid="{00000000-0005-0000-0000-0000C8020000}"/>
    <cellStyle name="Style 49" xfId="851" xr:uid="{00000000-0005-0000-0000-0000C9020000}"/>
    <cellStyle name="Style 50" xfId="852" xr:uid="{00000000-0005-0000-0000-0000CA020000}"/>
    <cellStyle name="Style 51" xfId="853" xr:uid="{00000000-0005-0000-0000-0000CB020000}"/>
    <cellStyle name="Style 52" xfId="854" xr:uid="{00000000-0005-0000-0000-0000CC020000}"/>
    <cellStyle name="Style 53" xfId="855" xr:uid="{00000000-0005-0000-0000-0000CD020000}"/>
    <cellStyle name="Style 54" xfId="856" xr:uid="{00000000-0005-0000-0000-0000CE020000}"/>
    <cellStyle name="Style 55" xfId="857" xr:uid="{00000000-0005-0000-0000-0000CF020000}"/>
    <cellStyle name="Style 56" xfId="858" xr:uid="{00000000-0005-0000-0000-0000D0020000}"/>
    <cellStyle name="Style 57" xfId="859" xr:uid="{00000000-0005-0000-0000-0000D1020000}"/>
    <cellStyle name="Style 58" xfId="860" xr:uid="{00000000-0005-0000-0000-0000D2020000}"/>
    <cellStyle name="Style 59" xfId="861" xr:uid="{00000000-0005-0000-0000-0000D3020000}"/>
    <cellStyle name="Style 60" xfId="862" xr:uid="{00000000-0005-0000-0000-0000D4020000}"/>
    <cellStyle name="Style 61" xfId="863" xr:uid="{00000000-0005-0000-0000-0000D5020000}"/>
    <cellStyle name="Style 62" xfId="864" xr:uid="{00000000-0005-0000-0000-0000D6020000}"/>
    <cellStyle name="Style 63" xfId="865" xr:uid="{00000000-0005-0000-0000-0000D7020000}"/>
    <cellStyle name="Style 64" xfId="866" xr:uid="{00000000-0005-0000-0000-0000D8020000}"/>
    <cellStyle name="Style 65" xfId="867" xr:uid="{00000000-0005-0000-0000-0000D9020000}"/>
    <cellStyle name="STYLE1 - Style1" xfId="868" xr:uid="{00000000-0005-0000-0000-0000DA020000}"/>
    <cellStyle name="STYLE2 - Style2" xfId="869" xr:uid="{00000000-0005-0000-0000-0000DB020000}"/>
    <cellStyle name="STYLE3 - Style3" xfId="870" xr:uid="{00000000-0005-0000-0000-0000DC020000}"/>
    <cellStyle name="STYLE4 - Style4" xfId="871" xr:uid="{00000000-0005-0000-0000-0000DD020000}"/>
    <cellStyle name="SubHeading" xfId="872" xr:uid="{00000000-0005-0000-0000-0000DE020000}"/>
    <cellStyle name="SubsidTitle" xfId="873" xr:uid="{00000000-0005-0000-0000-0000DF020000}"/>
    <cellStyle name="Sub-Totals" xfId="874" xr:uid="{00000000-0005-0000-0000-0000E0020000}"/>
    <cellStyle name="sum" xfId="269" xr:uid="{00000000-0005-0000-0000-0000E1020000}"/>
    <cellStyle name="Supress" xfId="270" xr:uid="{00000000-0005-0000-0000-0000E2020000}"/>
    <cellStyle name="T2ProcessType" xfId="271" xr:uid="{00000000-0005-0000-0000-0000E3020000}"/>
    <cellStyle name="Table Heading" xfId="875" xr:uid="{00000000-0005-0000-0000-0000E4020000}"/>
    <cellStyle name="Table Title" xfId="876" xr:uid="{00000000-0005-0000-0000-0000E5020000}"/>
    <cellStyle name="Table Units" xfId="877" xr:uid="{00000000-0005-0000-0000-0000E6020000}"/>
    <cellStyle name="TableCell" xfId="878" xr:uid="{00000000-0005-0000-0000-0000E7020000}"/>
    <cellStyle name="test" xfId="879" xr:uid="{00000000-0005-0000-0000-0000E8020000}"/>
    <cellStyle name="Text" xfId="272" xr:uid="{00000000-0005-0000-0000-0000E9020000}"/>
    <cellStyle name="Texto de advertencia" xfId="880" xr:uid="{00000000-0005-0000-0000-0000EA020000}"/>
    <cellStyle name="Texto explicativo" xfId="881" xr:uid="{00000000-0005-0000-0000-0000EB020000}"/>
    <cellStyle name="Title" xfId="273" xr:uid="{00000000-0005-0000-0000-0000EC020000}"/>
    <cellStyle name="Title 1" xfId="882" xr:uid="{00000000-0005-0000-0000-0000ED020000}"/>
    <cellStyle name="Title Shade" xfId="274" xr:uid="{00000000-0005-0000-0000-0000EE020000}"/>
    <cellStyle name="Title Shade Average" xfId="275" xr:uid="{00000000-0005-0000-0000-0000EF020000}"/>
    <cellStyle name="Title Shade Caps" xfId="276" xr:uid="{00000000-0005-0000-0000-0000F0020000}"/>
    <cellStyle name="Title Shade_00T2" xfId="277" xr:uid="{00000000-0005-0000-0000-0000F1020000}"/>
    <cellStyle name="Title_CopperConsumption" xfId="883" xr:uid="{00000000-0005-0000-0000-0000F2020000}"/>
    <cellStyle name="Titles" xfId="278" xr:uid="{00000000-0005-0000-0000-0000F3020000}"/>
    <cellStyle name="Título" xfId="884" xr:uid="{00000000-0005-0000-0000-0000F4020000}"/>
    <cellStyle name="Título 1" xfId="885" xr:uid="{00000000-0005-0000-0000-0000F5020000}"/>
    <cellStyle name="Título 1 2" xfId="886" xr:uid="{00000000-0005-0000-0000-0000F6020000}"/>
    <cellStyle name="Título 1_PR H-302049 Mineara Los Pelambres Financial Mode_Appendix B" xfId="887" xr:uid="{00000000-0005-0000-0000-0000F7020000}"/>
    <cellStyle name="Título 2" xfId="888" xr:uid="{00000000-0005-0000-0000-0000F8020000}"/>
    <cellStyle name="Título 2 2" xfId="889" xr:uid="{00000000-0005-0000-0000-0000F9020000}"/>
    <cellStyle name="Título 2_PR H-302049 Mineara Los Pelambres Financial Mode_Appendix B" xfId="890" xr:uid="{00000000-0005-0000-0000-0000FA020000}"/>
    <cellStyle name="Título 3" xfId="891" xr:uid="{00000000-0005-0000-0000-0000FB020000}"/>
    <cellStyle name="Título_Investment" xfId="892" xr:uid="{00000000-0005-0000-0000-0000FC020000}"/>
    <cellStyle name="tons" xfId="893" xr:uid="{00000000-0005-0000-0000-0000FD020000}"/>
    <cellStyle name="Top Column Head" xfId="894" xr:uid="{00000000-0005-0000-0000-0000FE020000}"/>
    <cellStyle name="TorF" xfId="279" xr:uid="{00000000-0005-0000-0000-0000FF020000}"/>
    <cellStyle name="Total" xfId="280" xr:uid="{00000000-0005-0000-0000-000000030000}"/>
    <cellStyle name="Totals" xfId="895" xr:uid="{00000000-0005-0000-0000-000001030000}"/>
    <cellStyle name="Totals [0]" xfId="896" xr:uid="{00000000-0005-0000-0000-000002030000}"/>
    <cellStyle name="Totals [2]" xfId="897" xr:uid="{00000000-0005-0000-0000-000003030000}"/>
    <cellStyle name="TRANSFER" xfId="281" xr:uid="{00000000-0005-0000-0000-000004030000}"/>
    <cellStyle name="Transfer0_" xfId="282" xr:uid="{00000000-0005-0000-0000-000005030000}"/>
    <cellStyle name="Transfer1_" xfId="283" xr:uid="{00000000-0005-0000-0000-000006030000}"/>
    <cellStyle name="Transfer2_" xfId="284" xr:uid="{00000000-0005-0000-0000-000007030000}"/>
    <cellStyle name="Ugly - Style2" xfId="898" xr:uid="{00000000-0005-0000-0000-000008030000}"/>
    <cellStyle name="UnitID" xfId="285" xr:uid="{00000000-0005-0000-0000-000009030000}"/>
    <cellStyle name="Unp $,(0)" xfId="286" xr:uid="{00000000-0005-0000-0000-00000A030000}"/>
    <cellStyle name="Unp $,(2)" xfId="287" xr:uid="{00000000-0005-0000-0000-00000B030000}"/>
    <cellStyle name="Unp Comma (0)" xfId="288" xr:uid="{00000000-0005-0000-0000-00000C030000}"/>
    <cellStyle name="Unp Comma (0) neg" xfId="289" xr:uid="{00000000-0005-0000-0000-00000D030000}"/>
    <cellStyle name="Unp Comma (0)_20101201 野村フォーラムEXCEL貼付データ" xfId="899" xr:uid="{00000000-0005-0000-0000-00000E030000}"/>
    <cellStyle name="Unp Comma [0]" xfId="290" xr:uid="{00000000-0005-0000-0000-00000F030000}"/>
    <cellStyle name="Unp Comma 0" xfId="291" xr:uid="{00000000-0005-0000-0000-000010030000}"/>
    <cellStyle name="Unp comment" xfId="292" xr:uid="{00000000-0005-0000-0000-000011030000}"/>
    <cellStyle name="Unp Fixed (0)" xfId="293" xr:uid="{00000000-0005-0000-0000-000012030000}"/>
    <cellStyle name="Unp Fixed (1)" xfId="294" xr:uid="{00000000-0005-0000-0000-000013030000}"/>
    <cellStyle name="Unp Fixed (2)" xfId="295" xr:uid="{00000000-0005-0000-0000-000014030000}"/>
    <cellStyle name="Unp Fixed (3)" xfId="296" xr:uid="{00000000-0005-0000-0000-000015030000}"/>
    <cellStyle name="Unp Fixed (4)" xfId="297" xr:uid="{00000000-0005-0000-0000-000016030000}"/>
    <cellStyle name="Unp Fixed-1" xfId="298" xr:uid="{00000000-0005-0000-0000-000017030000}"/>
    <cellStyle name="Unp Gen" xfId="299" xr:uid="{00000000-0005-0000-0000-000018030000}"/>
    <cellStyle name="Unp Name" xfId="300" xr:uid="{00000000-0005-0000-0000-000019030000}"/>
    <cellStyle name="Unp NegComma [0]" xfId="301" xr:uid="{00000000-0005-0000-0000-00001A030000}"/>
    <cellStyle name="Unp Percent" xfId="302" xr:uid="{00000000-0005-0000-0000-00001B030000}"/>
    <cellStyle name="Unp Pos$, [2]" xfId="303" xr:uid="{00000000-0005-0000-0000-00001C030000}"/>
    <cellStyle name="Unp PosComma [0]" xfId="304" xr:uid="{00000000-0005-0000-0000-00001D030000}"/>
    <cellStyle name="Unp PosFixed [1]" xfId="305" xr:uid="{00000000-0005-0000-0000-00001E030000}"/>
    <cellStyle name="Unp PosFixed [2]" xfId="306" xr:uid="{00000000-0005-0000-0000-00001F030000}"/>
    <cellStyle name="Unp PosFixed [3]" xfId="307" xr:uid="{00000000-0005-0000-0000-000020030000}"/>
    <cellStyle name="Unp PosFixed [4]" xfId="308" xr:uid="{00000000-0005-0000-0000-000021030000}"/>
    <cellStyle name="Unp PosPercent" xfId="309" xr:uid="{00000000-0005-0000-0000-000022030000}"/>
    <cellStyle name="Unp, -0" xfId="310" xr:uid="{00000000-0005-0000-0000-000023030000}"/>
    <cellStyle name="Unprotected" xfId="311" xr:uid="{00000000-0005-0000-0000-000024030000}"/>
    <cellStyle name="VAR" xfId="900" xr:uid="{00000000-0005-0000-0000-000025030000}"/>
    <cellStyle name="Verification" xfId="312" xr:uid="{00000000-0005-0000-0000-000026030000}"/>
    <cellStyle name="Vheader" xfId="901" xr:uid="{00000000-0005-0000-0000-000027030000}"/>
    <cellStyle name="Warning" xfId="902" xr:uid="{00000000-0005-0000-0000-000028030000}"/>
    <cellStyle name="Warning Text" xfId="313" xr:uid="{00000000-0005-0000-0000-000029030000}"/>
    <cellStyle name="Warning%" xfId="903" xr:uid="{00000000-0005-0000-0000-00002A030000}"/>
    <cellStyle name="Warning_2'99WKG" xfId="904" xr:uid="{00000000-0005-0000-0000-00002B030000}"/>
    <cellStyle name="Warning1d" xfId="905" xr:uid="{00000000-0005-0000-0000-00002C030000}"/>
    <cellStyle name="Warning2d" xfId="906" xr:uid="{00000000-0005-0000-0000-00002D030000}"/>
    <cellStyle name="x" xfId="907" xr:uid="{00000000-0005-0000-0000-00002E030000}"/>
    <cellStyle name="year" xfId="908" xr:uid="{00000000-0005-0000-0000-00002F030000}"/>
    <cellStyle name="YEARS" xfId="909" xr:uid="{00000000-0005-0000-0000-000030030000}"/>
    <cellStyle name="YellowDCC" xfId="314" xr:uid="{00000000-0005-0000-0000-000031030000}"/>
    <cellStyle name="YorN" xfId="315" xr:uid="{00000000-0005-0000-0000-000032030000}"/>
    <cellStyle name="YTD" xfId="910" xr:uid="{00000000-0005-0000-0000-000033030000}"/>
    <cellStyle name="Обычный_Бюджет Октября (0)" xfId="911" xr:uid="{00000000-0005-0000-0000-000034030000}"/>
    <cellStyle name="Тысячи [0]_бумага" xfId="912" xr:uid="{00000000-0005-0000-0000-000035030000}"/>
    <cellStyle name="Тысячи_бумага" xfId="913" xr:uid="{00000000-0005-0000-0000-000036030000}"/>
    <cellStyle name="Финансовый_russia_1999" xfId="914" xr:uid="{00000000-0005-0000-0000-000037030000}"/>
    <cellStyle name="アクセント 1 2" xfId="915" xr:uid="{00000000-0005-0000-0000-000038030000}"/>
    <cellStyle name="アクセント 1 3" xfId="316" xr:uid="{00000000-0005-0000-0000-000039030000}"/>
    <cellStyle name="アクセント 2 2" xfId="916" xr:uid="{00000000-0005-0000-0000-00003A030000}"/>
    <cellStyle name="アクセント 2 3" xfId="317" xr:uid="{00000000-0005-0000-0000-00003B030000}"/>
    <cellStyle name="アクセント 3 2" xfId="917" xr:uid="{00000000-0005-0000-0000-00003C030000}"/>
    <cellStyle name="アクセント 3 3" xfId="318" xr:uid="{00000000-0005-0000-0000-00003D030000}"/>
    <cellStyle name="アクセント 4 2" xfId="918" xr:uid="{00000000-0005-0000-0000-00003E030000}"/>
    <cellStyle name="アクセント 4 3" xfId="319" xr:uid="{00000000-0005-0000-0000-00003F030000}"/>
    <cellStyle name="アクセント 5 2" xfId="919" xr:uid="{00000000-0005-0000-0000-000040030000}"/>
    <cellStyle name="アクセント 5 3" xfId="320" xr:uid="{00000000-0005-0000-0000-000041030000}"/>
    <cellStyle name="アクセント 6 2" xfId="920" xr:uid="{00000000-0005-0000-0000-000042030000}"/>
    <cellStyle name="アクセント 6 3" xfId="321" xr:uid="{00000000-0005-0000-0000-000043030000}"/>
    <cellStyle name="けんじ" xfId="322" xr:uid="{00000000-0005-0000-0000-000044030000}"/>
    <cellStyle name="スタイル 1" xfId="323" xr:uid="{00000000-0005-0000-0000-000045030000}"/>
    <cellStyle name="スタイル1" xfId="324" xr:uid="{00000000-0005-0000-0000-000046030000}"/>
    <cellStyle name="スタイル2" xfId="325" xr:uid="{00000000-0005-0000-0000-000047030000}"/>
    <cellStyle name="スタイル3" xfId="326" xr:uid="{00000000-0005-0000-0000-000048030000}"/>
    <cellStyle name="スタイル4" xfId="327" xr:uid="{00000000-0005-0000-0000-000049030000}"/>
    <cellStyle name="スタイル5" xfId="328" xr:uid="{00000000-0005-0000-0000-00004A030000}"/>
    <cellStyle name="スタイル6" xfId="329" xr:uid="{00000000-0005-0000-0000-00004B030000}"/>
    <cellStyle name="スタイル7" xfId="330" xr:uid="{00000000-0005-0000-0000-00004C030000}"/>
    <cellStyle name="スタイル8" xfId="331" xr:uid="{00000000-0005-0000-0000-00004D030000}"/>
    <cellStyle name="タイトル 2" xfId="921" xr:uid="{00000000-0005-0000-0000-00004E030000}"/>
    <cellStyle name="タイトル 3" xfId="332" xr:uid="{00000000-0005-0000-0000-00004F030000}"/>
    <cellStyle name="チェック セル 2" xfId="922" xr:uid="{00000000-0005-0000-0000-000050030000}"/>
    <cellStyle name="チェック セル 3" xfId="333" xr:uid="{00000000-0005-0000-0000-000051030000}"/>
    <cellStyle name="どちらでもない 2" xfId="923" xr:uid="{00000000-0005-0000-0000-000052030000}"/>
    <cellStyle name="どちらでもない 3" xfId="334" xr:uid="{00000000-0005-0000-0000-000053030000}"/>
    <cellStyle name="パーセント" xfId="1" builtinId="5"/>
    <cellStyle name="パーセント 2" xfId="924" xr:uid="{00000000-0005-0000-0000-000055030000}"/>
    <cellStyle name="フォント" xfId="925" xr:uid="{00000000-0005-0000-0000-000056030000}"/>
    <cellStyle name="メモ 2" xfId="926" xr:uid="{00000000-0005-0000-0000-000057030000}"/>
    <cellStyle name="メモ 3" xfId="335" xr:uid="{00000000-0005-0000-0000-000058030000}"/>
    <cellStyle name="リンク セル 2" xfId="927" xr:uid="{00000000-0005-0000-0000-000059030000}"/>
    <cellStyle name="リンク セル 3" xfId="336" xr:uid="{00000000-0005-0000-0000-00005A030000}"/>
    <cellStyle name="강조색1" xfId="337" xr:uid="{00000000-0005-0000-0000-00005B030000}"/>
    <cellStyle name="강조색2" xfId="338" xr:uid="{00000000-0005-0000-0000-00005C030000}"/>
    <cellStyle name="강조색3" xfId="339" xr:uid="{00000000-0005-0000-0000-00005D030000}"/>
    <cellStyle name="강조색4" xfId="340" xr:uid="{00000000-0005-0000-0000-00005E030000}"/>
    <cellStyle name="강조색5" xfId="341" xr:uid="{00000000-0005-0000-0000-00005F030000}"/>
    <cellStyle name="강조색6" xfId="342" xr:uid="{00000000-0005-0000-0000-000060030000}"/>
    <cellStyle name="경고문" xfId="343" xr:uid="{00000000-0005-0000-0000-000061030000}"/>
    <cellStyle name="계산" xfId="344" xr:uid="{00000000-0005-0000-0000-000062030000}"/>
    <cellStyle name="悪い 2" xfId="928" xr:uid="{00000000-0005-0000-0000-000063030000}"/>
    <cellStyle name="悪い 3" xfId="345" xr:uid="{00000000-0005-0000-0000-000064030000}"/>
    <cellStyle name="一覧表" xfId="346" xr:uid="{00000000-0005-0000-0000-000065030000}"/>
    <cellStyle name="나쁨" xfId="347" xr:uid="{00000000-0005-0000-0000-000066030000}"/>
    <cellStyle name="解释性文本" xfId="348" xr:uid="{00000000-0005-0000-0000-000067030000}"/>
    <cellStyle name="計算 2" xfId="929" xr:uid="{00000000-0005-0000-0000-000068030000}"/>
    <cellStyle name="計算 3" xfId="349" xr:uid="{00000000-0005-0000-0000-000069030000}"/>
    <cellStyle name="警告文 2" xfId="930" xr:uid="{00000000-0005-0000-0000-00006A030000}"/>
    <cellStyle name="警告文 3" xfId="350" xr:uid="{00000000-0005-0000-0000-00006B030000}"/>
    <cellStyle name="警告文本" xfId="351" xr:uid="{00000000-0005-0000-0000-00006C030000}"/>
    <cellStyle name="桁区切り" xfId="2" builtinId="6"/>
    <cellStyle name="桁区切り [0.0]" xfId="352" xr:uid="{00000000-0005-0000-0000-00006E030000}"/>
    <cellStyle name="桁区切り [0.000]" xfId="353" xr:uid="{00000000-0005-0000-0000-00006F030000}"/>
    <cellStyle name="桁区切り 2" xfId="931" xr:uid="{00000000-0005-0000-0000-000070030000}"/>
    <cellStyle name="桁区切り 3" xfId="932" xr:uid="{00000000-0005-0000-0000-000071030000}"/>
    <cellStyle name="桁区切り 4" xfId="933" xr:uid="{00000000-0005-0000-0000-000072030000}"/>
    <cellStyle name="見出し 1 2" xfId="934" xr:uid="{00000000-0005-0000-0000-000073030000}"/>
    <cellStyle name="見出し 1 3" xfId="354" xr:uid="{00000000-0005-0000-0000-000074030000}"/>
    <cellStyle name="見出し 2 2" xfId="935" xr:uid="{00000000-0005-0000-0000-000075030000}"/>
    <cellStyle name="見出し 2 3" xfId="355" xr:uid="{00000000-0005-0000-0000-000076030000}"/>
    <cellStyle name="見出し 3 2" xfId="936" xr:uid="{00000000-0005-0000-0000-000077030000}"/>
    <cellStyle name="見出し 3 3" xfId="356" xr:uid="{00000000-0005-0000-0000-000078030000}"/>
    <cellStyle name="見出し 4 2" xfId="937" xr:uid="{00000000-0005-0000-0000-000079030000}"/>
    <cellStyle name="見出し 4 3" xfId="357" xr:uid="{00000000-0005-0000-0000-00007A030000}"/>
    <cellStyle name="好" xfId="358" xr:uid="{00000000-0005-0000-0000-00007B030000}"/>
    <cellStyle name="好_Budget Price Forecast (Nov 2009 - Dec 2010) (PCIJ)(森補足)" xfId="359" xr:uid="{00000000-0005-0000-0000-00007C030000}"/>
    <cellStyle name="差" xfId="360" xr:uid="{00000000-0005-0000-0000-00007D030000}"/>
    <cellStyle name="集計 2" xfId="938" xr:uid="{00000000-0005-0000-0000-00007E030000}"/>
    <cellStyle name="集計 3" xfId="361" xr:uid="{00000000-0005-0000-0000-00007F030000}"/>
    <cellStyle name="出力 2" xfId="939" xr:uid="{00000000-0005-0000-0000-000080030000}"/>
    <cellStyle name="出力 3" xfId="362" xr:uid="{00000000-0005-0000-0000-000081030000}"/>
    <cellStyle name="説明文 2" xfId="940" xr:uid="{00000000-0005-0000-0000-000082030000}"/>
    <cellStyle name="説明文 3" xfId="363" xr:uid="{00000000-0005-0000-0000-000083030000}"/>
    <cellStyle name="注释" xfId="364" xr:uid="{00000000-0005-0000-0000-000084030000}"/>
    <cellStyle name="入力 2" xfId="941" xr:uid="{00000000-0005-0000-0000-000085030000}"/>
    <cellStyle name="入力 3" xfId="365" xr:uid="{00000000-0005-0000-0000-000086030000}"/>
    <cellStyle name="標準" xfId="0" builtinId="0"/>
    <cellStyle name="標準 2" xfId="402" xr:uid="{00000000-0005-0000-0000-000088030000}"/>
    <cellStyle name="標準 3" xfId="942" xr:uid="{00000000-0005-0000-0000-000089030000}"/>
    <cellStyle name="標準 4" xfId="943" xr:uid="{00000000-0005-0000-0000-00008A030000}"/>
    <cellStyle name="標準 5" xfId="944" xr:uid="{00000000-0005-0000-0000-00008B030000}"/>
    <cellStyle name="標準 6" xfId="403" xr:uid="{00000000-0005-0000-0000-00008C030000}"/>
    <cellStyle name="表題" xfId="366" xr:uid="{00000000-0005-0000-0000-00008D030000}"/>
    <cellStyle name="메모" xfId="367" xr:uid="{00000000-0005-0000-0000-00008E030000}"/>
    <cellStyle name="未定義" xfId="368" xr:uid="{00000000-0005-0000-0000-00008F030000}"/>
    <cellStyle name="良い 2" xfId="945" xr:uid="{00000000-0005-0000-0000-000090030000}"/>
    <cellStyle name="良い 3" xfId="369" xr:uid="{00000000-0005-0000-0000-000091030000}"/>
    <cellStyle name="보통" xfId="370" xr:uid="{00000000-0005-0000-0000-000092030000}"/>
    <cellStyle name="설명 텍스트" xfId="371" xr:uid="{00000000-0005-0000-0000-000093030000}"/>
    <cellStyle name="셀 확인" xfId="372" xr:uid="{00000000-0005-0000-0000-000094030000}"/>
    <cellStyle name="연결된 셀" xfId="373" xr:uid="{00000000-0005-0000-0000-000095030000}"/>
    <cellStyle name="요약" xfId="374" xr:uid="{00000000-0005-0000-0000-000096030000}"/>
    <cellStyle name="입력" xfId="375" xr:uid="{00000000-0005-0000-0000-000097030000}"/>
    <cellStyle name="제목" xfId="376" xr:uid="{00000000-0005-0000-0000-000098030000}"/>
    <cellStyle name="제목 1" xfId="377" xr:uid="{00000000-0005-0000-0000-000099030000}"/>
    <cellStyle name="제목 2" xfId="378" xr:uid="{00000000-0005-0000-0000-00009A030000}"/>
    <cellStyle name="제목 3" xfId="379" xr:uid="{00000000-0005-0000-0000-00009B030000}"/>
    <cellStyle name="제목 4" xfId="380" xr:uid="{00000000-0005-0000-0000-00009C030000}"/>
    <cellStyle name="좋음" xfId="381" xr:uid="{00000000-0005-0000-0000-00009D030000}"/>
    <cellStyle name="출력" xfId="382" xr:uid="{00000000-0005-0000-0000-00009E030000}"/>
    <cellStyle name="强调文字颜色 1" xfId="383" xr:uid="{00000000-0005-0000-0000-00009F030000}"/>
    <cellStyle name="强调文字颜色 2" xfId="384" xr:uid="{00000000-0005-0000-0000-0000A0030000}"/>
    <cellStyle name="强调文字颜色 3" xfId="385" xr:uid="{00000000-0005-0000-0000-0000A1030000}"/>
    <cellStyle name="强调文字颜色 4" xfId="386" xr:uid="{00000000-0005-0000-0000-0000A2030000}"/>
    <cellStyle name="强调文字颜色 5" xfId="387" xr:uid="{00000000-0005-0000-0000-0000A3030000}"/>
    <cellStyle name="强调文字颜色 6" xfId="388" xr:uid="{00000000-0005-0000-0000-0000A4030000}"/>
    <cellStyle name="标题" xfId="389" xr:uid="{00000000-0005-0000-0000-0000A5030000}"/>
    <cellStyle name="标题 1" xfId="390" xr:uid="{00000000-0005-0000-0000-0000A6030000}"/>
    <cellStyle name="标题 2" xfId="391" xr:uid="{00000000-0005-0000-0000-0000A7030000}"/>
    <cellStyle name="标题 3" xfId="392" xr:uid="{00000000-0005-0000-0000-0000A8030000}"/>
    <cellStyle name="标题 4" xfId="393" xr:uid="{00000000-0005-0000-0000-0000A9030000}"/>
    <cellStyle name="样式 1" xfId="394" xr:uid="{00000000-0005-0000-0000-0000AA030000}"/>
    <cellStyle name="检查单元格" xfId="395" xr:uid="{00000000-0005-0000-0000-0000AB030000}"/>
    <cellStyle name="汇总" xfId="396" xr:uid="{00000000-0005-0000-0000-0000AC030000}"/>
    <cellStyle name="计算" xfId="397" xr:uid="{00000000-0005-0000-0000-0000AD030000}"/>
    <cellStyle name="输出" xfId="398" xr:uid="{00000000-0005-0000-0000-0000AE030000}"/>
    <cellStyle name="输入" xfId="399" xr:uid="{00000000-0005-0000-0000-0000AF030000}"/>
    <cellStyle name="适中" xfId="400" xr:uid="{00000000-0005-0000-0000-0000B0030000}"/>
    <cellStyle name="链接单元格" xfId="401" xr:uid="{00000000-0005-0000-0000-0000B1030000}"/>
  </cellStyles>
  <dxfs count="0"/>
  <tableStyles count="0" defaultTableStyle="TableStyleMedium2" defaultPivotStyle="PivotStyleLight16"/>
  <colors>
    <mruColors>
      <color rgb="FFE94709"/>
      <color rgb="FF808080"/>
      <color rgb="FFBFBFBF"/>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638175</xdr:colOff>
      <xdr:row>104</xdr:row>
      <xdr:rowOff>133350</xdr:rowOff>
    </xdr:from>
    <xdr:ext cx="323850" cy="209032"/>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790575" y="16849725"/>
          <a:ext cx="323850" cy="209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700">
              <a:latin typeface="+mn-ea"/>
              <a:ea typeface="+mn-ea"/>
            </a:rPr>
            <a:t>*1</a:t>
          </a:r>
          <a:endParaRPr kumimoji="1" lang="ja-JP" altLang="en-US" sz="700">
            <a:latin typeface="+mn-ea"/>
            <a:ea typeface="+mn-ea"/>
          </a:endParaRPr>
        </a:p>
      </xdr:txBody>
    </xdr:sp>
    <xdr:clientData/>
  </xdr:oneCellAnchor>
  <xdr:oneCellAnchor>
    <xdr:from>
      <xdr:col>1</xdr:col>
      <xdr:colOff>638175</xdr:colOff>
      <xdr:row>110</xdr:row>
      <xdr:rowOff>133350</xdr:rowOff>
    </xdr:from>
    <xdr:ext cx="323850" cy="209032"/>
    <xdr:sp macro="" textlink="">
      <xdr:nvSpPr>
        <xdr:cNvPr id="4" name="テキスト ボックス 3">
          <a:extLst>
            <a:ext uri="{FF2B5EF4-FFF2-40B4-BE49-F238E27FC236}">
              <a16:creationId xmlns:a16="http://schemas.microsoft.com/office/drawing/2014/main" id="{00000000-0008-0000-0100-000004000000}"/>
            </a:ext>
          </a:extLst>
        </xdr:cNvPr>
        <xdr:cNvSpPr txBox="1"/>
      </xdr:nvSpPr>
      <xdr:spPr>
        <a:xfrm>
          <a:off x="790575" y="17878425"/>
          <a:ext cx="323850" cy="209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700">
              <a:latin typeface="+mn-ea"/>
              <a:ea typeface="+mn-ea"/>
            </a:rPr>
            <a:t>*1</a:t>
          </a:r>
          <a:endParaRPr kumimoji="1" lang="ja-JP" altLang="en-US" sz="700">
            <a:latin typeface="+mn-ea"/>
            <a:ea typeface="+mn-ea"/>
          </a:endParaRPr>
        </a:p>
      </xdr:txBody>
    </xdr:sp>
    <xdr:clientData/>
  </xdr:oneCellAnchor>
  <xdr:oneCellAnchor>
    <xdr:from>
      <xdr:col>1</xdr:col>
      <xdr:colOff>628650</xdr:colOff>
      <xdr:row>98</xdr:row>
      <xdr:rowOff>133350</xdr:rowOff>
    </xdr:from>
    <xdr:ext cx="323850" cy="209032"/>
    <xdr:sp macro="" textlink="">
      <xdr:nvSpPr>
        <xdr:cNvPr id="5" name="テキスト ボックス 4">
          <a:extLst>
            <a:ext uri="{FF2B5EF4-FFF2-40B4-BE49-F238E27FC236}">
              <a16:creationId xmlns:a16="http://schemas.microsoft.com/office/drawing/2014/main" id="{00000000-0008-0000-0100-000005000000}"/>
            </a:ext>
          </a:extLst>
        </xdr:cNvPr>
        <xdr:cNvSpPr txBox="1"/>
      </xdr:nvSpPr>
      <xdr:spPr>
        <a:xfrm>
          <a:off x="781050" y="15792450"/>
          <a:ext cx="323850" cy="209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700">
              <a:latin typeface="+mn-ea"/>
              <a:ea typeface="+mn-ea"/>
            </a:rPr>
            <a:t>*1</a:t>
          </a:r>
          <a:endParaRPr kumimoji="1" lang="ja-JP" altLang="en-US" sz="700">
            <a:latin typeface="+mn-ea"/>
            <a:ea typeface="+mn-ea"/>
          </a:endParaRPr>
        </a:p>
      </xdr:txBody>
    </xdr:sp>
    <xdr:clientData/>
  </xdr:oneCellAnchor>
  <xdr:oneCellAnchor>
    <xdr:from>
      <xdr:col>1</xdr:col>
      <xdr:colOff>638175</xdr:colOff>
      <xdr:row>116</xdr:row>
      <xdr:rowOff>123825</xdr:rowOff>
    </xdr:from>
    <xdr:ext cx="323850" cy="209032"/>
    <xdr:sp macro="" textlink="">
      <xdr:nvSpPr>
        <xdr:cNvPr id="7" name="テキスト ボックス 6">
          <a:extLst>
            <a:ext uri="{FF2B5EF4-FFF2-40B4-BE49-F238E27FC236}">
              <a16:creationId xmlns:a16="http://schemas.microsoft.com/office/drawing/2014/main" id="{00000000-0008-0000-0100-000007000000}"/>
            </a:ext>
          </a:extLst>
        </xdr:cNvPr>
        <xdr:cNvSpPr txBox="1"/>
      </xdr:nvSpPr>
      <xdr:spPr>
        <a:xfrm>
          <a:off x="790575" y="18783300"/>
          <a:ext cx="323850" cy="209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700">
              <a:latin typeface="+mn-ea"/>
              <a:ea typeface="+mn-ea"/>
            </a:rPr>
            <a:t>*1</a:t>
          </a:r>
          <a:endParaRPr kumimoji="1" lang="ja-JP" altLang="en-US" sz="700">
            <a:latin typeface="+mn-ea"/>
            <a:ea typeface="+mn-ea"/>
          </a:endParaRPr>
        </a:p>
      </xdr:txBody>
    </xdr:sp>
    <xdr:clientData/>
  </xdr:oneCellAnchor>
  <xdr:oneCellAnchor>
    <xdr:from>
      <xdr:col>1</xdr:col>
      <xdr:colOff>495299</xdr:colOff>
      <xdr:row>99</xdr:row>
      <xdr:rowOff>133350</xdr:rowOff>
    </xdr:from>
    <xdr:ext cx="447675" cy="209032"/>
    <xdr:sp macro="" textlink="">
      <xdr:nvSpPr>
        <xdr:cNvPr id="8" name="テキスト ボックス 7">
          <a:extLst>
            <a:ext uri="{FF2B5EF4-FFF2-40B4-BE49-F238E27FC236}">
              <a16:creationId xmlns:a16="http://schemas.microsoft.com/office/drawing/2014/main" id="{00000000-0008-0000-0100-000008000000}"/>
            </a:ext>
          </a:extLst>
        </xdr:cNvPr>
        <xdr:cNvSpPr txBox="1"/>
      </xdr:nvSpPr>
      <xdr:spPr>
        <a:xfrm>
          <a:off x="647699" y="15963900"/>
          <a:ext cx="447675" cy="209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700">
              <a:latin typeface="+mn-ea"/>
              <a:ea typeface="+mn-ea"/>
            </a:rPr>
            <a:t>*1, *2</a:t>
          </a:r>
          <a:endParaRPr kumimoji="1" lang="ja-JP" altLang="en-US" sz="700">
            <a:latin typeface="+mn-ea"/>
            <a:ea typeface="+mn-ea"/>
          </a:endParaRPr>
        </a:p>
      </xdr:txBody>
    </xdr:sp>
    <xdr:clientData/>
  </xdr:oneCellAnchor>
  <xdr:oneCellAnchor>
    <xdr:from>
      <xdr:col>1</xdr:col>
      <xdr:colOff>495300</xdr:colOff>
      <xdr:row>105</xdr:row>
      <xdr:rowOff>142875</xdr:rowOff>
    </xdr:from>
    <xdr:ext cx="447675" cy="209032"/>
    <xdr:sp macro="" textlink="">
      <xdr:nvSpPr>
        <xdr:cNvPr id="9" name="テキスト ボックス 8">
          <a:extLst>
            <a:ext uri="{FF2B5EF4-FFF2-40B4-BE49-F238E27FC236}">
              <a16:creationId xmlns:a16="http://schemas.microsoft.com/office/drawing/2014/main" id="{00000000-0008-0000-0100-000009000000}"/>
            </a:ext>
          </a:extLst>
        </xdr:cNvPr>
        <xdr:cNvSpPr txBox="1"/>
      </xdr:nvSpPr>
      <xdr:spPr>
        <a:xfrm>
          <a:off x="647700" y="17030700"/>
          <a:ext cx="447675" cy="209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700">
              <a:latin typeface="+mn-ea"/>
              <a:ea typeface="+mn-ea"/>
            </a:rPr>
            <a:t>*1, *2</a:t>
          </a:r>
          <a:endParaRPr kumimoji="1" lang="ja-JP" altLang="en-US" sz="700">
            <a:latin typeface="+mn-ea"/>
            <a:ea typeface="+mn-ea"/>
          </a:endParaRPr>
        </a:p>
      </xdr:txBody>
    </xdr:sp>
    <xdr:clientData/>
  </xdr:oneCellAnchor>
  <xdr:oneCellAnchor>
    <xdr:from>
      <xdr:col>1</xdr:col>
      <xdr:colOff>476250</xdr:colOff>
      <xdr:row>111</xdr:row>
      <xdr:rowOff>123825</xdr:rowOff>
    </xdr:from>
    <xdr:ext cx="447675" cy="209032"/>
    <xdr:sp macro="" textlink="">
      <xdr:nvSpPr>
        <xdr:cNvPr id="10" name="テキスト ボックス 9">
          <a:extLst>
            <a:ext uri="{FF2B5EF4-FFF2-40B4-BE49-F238E27FC236}">
              <a16:creationId xmlns:a16="http://schemas.microsoft.com/office/drawing/2014/main" id="{00000000-0008-0000-0100-00000A000000}"/>
            </a:ext>
          </a:extLst>
        </xdr:cNvPr>
        <xdr:cNvSpPr txBox="1"/>
      </xdr:nvSpPr>
      <xdr:spPr>
        <a:xfrm>
          <a:off x="628650" y="18040350"/>
          <a:ext cx="447675" cy="209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700">
              <a:latin typeface="+mn-ea"/>
              <a:ea typeface="+mn-ea"/>
            </a:rPr>
            <a:t>*1, *2</a:t>
          </a:r>
          <a:endParaRPr kumimoji="1" lang="ja-JP" altLang="en-US" sz="700">
            <a:latin typeface="+mn-ea"/>
            <a:ea typeface="+mn-ea"/>
          </a:endParaRPr>
        </a:p>
      </xdr:txBody>
    </xdr:sp>
    <xdr:clientData/>
  </xdr:oneCellAnchor>
  <xdr:oneCellAnchor>
    <xdr:from>
      <xdr:col>1</xdr:col>
      <xdr:colOff>485775</xdr:colOff>
      <xdr:row>117</xdr:row>
      <xdr:rowOff>142875</xdr:rowOff>
    </xdr:from>
    <xdr:ext cx="447675" cy="209032"/>
    <xdr:sp macro="" textlink="">
      <xdr:nvSpPr>
        <xdr:cNvPr id="12" name="テキスト ボックス 11">
          <a:extLst>
            <a:ext uri="{FF2B5EF4-FFF2-40B4-BE49-F238E27FC236}">
              <a16:creationId xmlns:a16="http://schemas.microsoft.com/office/drawing/2014/main" id="{00000000-0008-0000-0100-00000C000000}"/>
            </a:ext>
          </a:extLst>
        </xdr:cNvPr>
        <xdr:cNvSpPr txBox="1"/>
      </xdr:nvSpPr>
      <xdr:spPr>
        <a:xfrm>
          <a:off x="638175" y="18973800"/>
          <a:ext cx="447675" cy="209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700">
              <a:latin typeface="+mn-ea"/>
              <a:ea typeface="+mn-ea"/>
            </a:rPr>
            <a:t>*1, *2</a:t>
          </a:r>
          <a:endParaRPr kumimoji="1" lang="ja-JP" altLang="en-US" sz="700">
            <a:latin typeface="+mn-ea"/>
            <a:ea typeface="+mn-ea"/>
          </a:endParaRP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B2F7-AB49-4465-9FF9-2AF5B6C9246F}">
  <sheetPr>
    <tabColor rgb="FFFFFF00"/>
    <pageSetUpPr fitToPage="1"/>
  </sheetPr>
  <dimension ref="A1:BJ170"/>
  <sheetViews>
    <sheetView showGridLines="0" tabSelected="1" view="pageBreakPreview" zoomScale="87" zoomScaleNormal="100" zoomScaleSheetLayoutView="100" workbookViewId="0">
      <pane xSplit="3" ySplit="2" topLeftCell="D65" activePane="bottomRight" state="frozen"/>
      <selection activeCell="Y36" sqref="Y36"/>
      <selection pane="topRight" activeCell="Y36" sqref="Y36"/>
      <selection pane="bottomLeft" activeCell="Y36" sqref="Y36"/>
      <selection pane="bottomRight" activeCell="P79" sqref="P79"/>
    </sheetView>
  </sheetViews>
  <sheetFormatPr defaultRowHeight="13.2"/>
  <cols>
    <col min="1" max="1" width="2" customWidth="1"/>
    <col min="2" max="2" width="48" customWidth="1"/>
    <col min="3" max="3" width="0.88671875" customWidth="1"/>
    <col min="4" max="6" width="10.77734375" customWidth="1"/>
    <col min="7" max="7" width="1.21875" customWidth="1"/>
    <col min="8" max="10" width="10.77734375" customWidth="1"/>
    <col min="11" max="11" width="1.33203125" customWidth="1"/>
    <col min="12" max="12" width="10.77734375" customWidth="1"/>
    <col min="13" max="14" width="10.6640625" customWidth="1"/>
    <col min="15" max="15" width="0.88671875" customWidth="1"/>
    <col min="16" max="18" width="10.6640625" customWidth="1"/>
    <col min="19" max="19" width="0.88671875" customWidth="1"/>
    <col min="20" max="20" width="10.6640625" customWidth="1"/>
    <col min="21" max="21" width="0.88671875" customWidth="1"/>
    <col min="22" max="24" width="10.6640625" customWidth="1"/>
    <col min="25" max="25" width="0.88671875" customWidth="1"/>
    <col min="26" max="28" width="10.6640625" customWidth="1"/>
    <col min="29" max="29" width="0.88671875" customWidth="1"/>
    <col min="30" max="30" width="10.6640625" customWidth="1"/>
    <col min="31" max="31" width="0.88671875" customWidth="1"/>
    <col min="32" max="34" width="10.6640625" customWidth="1"/>
    <col min="35" max="35" width="0.88671875" customWidth="1"/>
    <col min="36" max="38" width="10.6640625" customWidth="1"/>
    <col min="39" max="39" width="0.88671875" customWidth="1"/>
    <col min="40" max="40" width="10.6640625" customWidth="1"/>
    <col min="41" max="41" width="0.88671875" customWidth="1"/>
    <col min="42" max="44" width="10.6640625" customWidth="1"/>
    <col min="45" max="45" width="0.88671875" customWidth="1"/>
    <col min="46" max="48" width="10.6640625" customWidth="1"/>
    <col min="49" max="49" width="0.88671875" customWidth="1"/>
    <col min="50" max="50" width="10.6640625" customWidth="1"/>
    <col min="51" max="51" width="0" hidden="1" customWidth="1"/>
    <col min="52" max="52" width="0.88671875" customWidth="1"/>
    <col min="53" max="55" width="10.6640625" customWidth="1"/>
    <col min="56" max="56" width="0.88671875" customWidth="1"/>
    <col min="57" max="59" width="10.6640625" customWidth="1"/>
    <col min="60" max="60" width="0.88671875" customWidth="1"/>
    <col min="61" max="61" width="10.6640625" customWidth="1"/>
  </cols>
  <sheetData>
    <row r="1" spans="1:61" ht="16.5" customHeight="1"/>
    <row r="2" spans="1:61" s="3" customFormat="1" ht="19.5" customHeight="1">
      <c r="A2" s="2"/>
      <c r="B2" s="247" t="s">
        <v>179</v>
      </c>
      <c r="C2" s="248"/>
      <c r="D2" s="248"/>
      <c r="E2" s="248"/>
      <c r="F2" s="248"/>
      <c r="G2" s="248"/>
      <c r="H2" s="248"/>
      <c r="I2" s="248"/>
      <c r="J2" s="248"/>
      <c r="K2" s="248"/>
      <c r="L2" s="248"/>
      <c r="M2"/>
      <c r="N2"/>
      <c r="U2"/>
      <c r="V2"/>
      <c r="W2"/>
      <c r="X2"/>
      <c r="AE2"/>
      <c r="AF2"/>
      <c r="AG2"/>
      <c r="AH2"/>
      <c r="BA2"/>
      <c r="BB2"/>
      <c r="BC2"/>
    </row>
    <row r="3" spans="1:61" s="3" customFormat="1" ht="20.399999999999999" customHeight="1">
      <c r="A3" s="2"/>
      <c r="B3" s="366" t="s">
        <v>233</v>
      </c>
      <c r="C3" s="366"/>
      <c r="D3" s="366"/>
      <c r="E3" s="366"/>
      <c r="F3" s="366"/>
      <c r="G3" s="366"/>
      <c r="H3" s="366"/>
      <c r="I3" s="366"/>
      <c r="J3" s="366"/>
      <c r="K3" s="366"/>
      <c r="L3" s="366"/>
      <c r="N3" s="364"/>
      <c r="O3" s="365"/>
      <c r="P3" s="365"/>
      <c r="Q3" s="365"/>
      <c r="R3" s="365"/>
      <c r="S3" s="365"/>
      <c r="T3" s="365"/>
      <c r="U3" s="365"/>
      <c r="V3" s="365"/>
      <c r="W3" s="365"/>
      <c r="X3" s="365"/>
      <c r="Y3" s="365"/>
      <c r="Z3" s="365"/>
    </row>
    <row r="4" spans="1:61" s="3" customFormat="1" ht="16.2">
      <c r="A4" s="250" t="s">
        <v>0</v>
      </c>
    </row>
    <row r="5" spans="1:61">
      <c r="B5" t="s">
        <v>1</v>
      </c>
      <c r="D5" s="244" t="s">
        <v>232</v>
      </c>
      <c r="E5" s="244"/>
      <c r="F5" s="244"/>
      <c r="G5" s="244"/>
      <c r="H5" s="244"/>
      <c r="I5" s="244"/>
      <c r="J5" s="244"/>
      <c r="K5" s="244"/>
      <c r="L5" s="244"/>
      <c r="M5" s="5"/>
      <c r="N5" s="5"/>
      <c r="O5" s="5"/>
      <c r="P5" s="5"/>
      <c r="Q5" s="5"/>
      <c r="R5" s="5"/>
      <c r="S5" s="5"/>
      <c r="T5" s="5"/>
      <c r="V5" s="5"/>
      <c r="W5" s="5"/>
      <c r="X5" s="5"/>
      <c r="Y5" s="5"/>
      <c r="Z5" s="5"/>
      <c r="AA5" s="5"/>
      <c r="AB5" s="5"/>
      <c r="AC5" s="5"/>
      <c r="AD5" s="5"/>
      <c r="AF5" s="5"/>
      <c r="AG5" s="5"/>
      <c r="AH5" s="5"/>
      <c r="AI5" s="5"/>
      <c r="AJ5" s="5"/>
      <c r="AK5" s="5"/>
      <c r="AL5" s="5"/>
      <c r="AM5" s="5"/>
      <c r="AN5" s="5"/>
      <c r="AP5" s="5"/>
      <c r="AQ5" s="5"/>
      <c r="AR5" s="5"/>
      <c r="AS5" s="5"/>
      <c r="AT5" s="5"/>
      <c r="AU5" s="5"/>
      <c r="AV5" s="5"/>
      <c r="AW5" s="5"/>
      <c r="AX5" s="5"/>
      <c r="BA5" s="5"/>
      <c r="BB5" s="5"/>
      <c r="BC5" s="5"/>
      <c r="BD5" s="5"/>
      <c r="BE5" s="5"/>
      <c r="BF5" s="5"/>
      <c r="BG5" s="5"/>
      <c r="BH5" s="5"/>
      <c r="BI5" s="5"/>
    </row>
    <row r="6" spans="1:61" ht="3.75" customHeight="1">
      <c r="D6" s="5"/>
      <c r="E6" s="5"/>
      <c r="F6" s="5"/>
      <c r="G6" s="5"/>
      <c r="H6" s="5"/>
      <c r="I6" s="5"/>
      <c r="J6" s="5"/>
      <c r="K6" s="5"/>
      <c r="L6" s="244"/>
      <c r="M6" s="5"/>
      <c r="N6" s="5"/>
      <c r="O6" s="5"/>
      <c r="P6" s="5"/>
      <c r="Q6" s="5"/>
      <c r="R6" s="5"/>
      <c r="S6" s="5"/>
      <c r="T6" s="5"/>
      <c r="V6" s="5"/>
      <c r="W6" s="5"/>
      <c r="X6" s="5"/>
      <c r="Y6" s="5"/>
      <c r="Z6" s="5"/>
      <c r="AA6" s="5"/>
      <c r="AB6" s="5"/>
      <c r="AC6" s="5"/>
      <c r="AD6" s="5"/>
      <c r="AF6" s="5"/>
      <c r="AG6" s="5"/>
      <c r="AH6" s="5"/>
      <c r="AI6" s="5"/>
      <c r="AJ6" s="5"/>
      <c r="AK6" s="5"/>
      <c r="AL6" s="5"/>
      <c r="AM6" s="5"/>
      <c r="AN6" s="5"/>
      <c r="AP6" s="5"/>
      <c r="AQ6" s="5"/>
      <c r="AR6" s="5"/>
      <c r="AS6" s="5"/>
      <c r="AT6" s="5"/>
      <c r="AU6" s="5"/>
      <c r="AV6" s="5"/>
      <c r="AW6" s="5"/>
      <c r="AX6" s="5"/>
      <c r="BA6" s="5"/>
      <c r="BB6" s="5"/>
      <c r="BC6" s="5"/>
      <c r="BD6" s="5"/>
      <c r="BE6" s="5"/>
      <c r="BF6" s="5"/>
      <c r="BG6" s="5"/>
      <c r="BH6" s="5"/>
      <c r="BI6" s="5"/>
    </row>
    <row r="7" spans="1:61">
      <c r="D7" s="6"/>
      <c r="E7" s="6"/>
      <c r="F7" s="7" t="s">
        <v>2</v>
      </c>
      <c r="H7" s="7"/>
      <c r="I7" s="7"/>
      <c r="J7" s="7" t="s">
        <v>3</v>
      </c>
      <c r="L7" s="245" t="s">
        <v>4</v>
      </c>
      <c r="N7" s="8"/>
      <c r="P7" s="8"/>
      <c r="Q7" s="8"/>
      <c r="R7" s="8"/>
      <c r="T7" s="8"/>
      <c r="X7" s="8"/>
      <c r="Z7" s="8"/>
      <c r="AA7" s="8"/>
      <c r="AB7" s="8"/>
      <c r="AD7" s="8"/>
      <c r="AH7" s="8"/>
      <c r="AJ7" s="8"/>
      <c r="AK7" s="8"/>
      <c r="AL7" s="8"/>
      <c r="AN7" s="8"/>
      <c r="AR7" s="8"/>
      <c r="AT7" s="8"/>
      <c r="AU7" s="8"/>
      <c r="AV7" s="8"/>
      <c r="AX7" s="8"/>
      <c r="BC7" s="8"/>
      <c r="BE7" s="8"/>
      <c r="BF7" s="8"/>
      <c r="BG7" s="8"/>
      <c r="BI7" s="8"/>
    </row>
    <row r="8" spans="1:61" s="9" customFormat="1" ht="10.8">
      <c r="D8" s="9" t="s">
        <v>5</v>
      </c>
      <c r="E8" s="9" t="s">
        <v>6</v>
      </c>
      <c r="F8" s="10" t="s">
        <v>6</v>
      </c>
      <c r="H8" s="9" t="s">
        <v>7</v>
      </c>
      <c r="I8" s="9" t="s">
        <v>8</v>
      </c>
      <c r="J8" s="10" t="s">
        <v>9</v>
      </c>
      <c r="L8" s="246"/>
      <c r="N8" s="11"/>
      <c r="R8" s="11"/>
      <c r="T8" s="11"/>
      <c r="X8" s="11"/>
      <c r="AB8" s="11"/>
      <c r="AD8" s="11"/>
      <c r="AH8" s="11"/>
      <c r="AL8" s="11"/>
      <c r="AN8" s="11"/>
      <c r="AR8" s="11"/>
      <c r="AV8" s="11"/>
      <c r="AX8" s="11"/>
      <c r="BC8" s="11"/>
      <c r="BG8" s="11"/>
      <c r="BI8" s="11"/>
    </row>
    <row r="9" spans="1:61" s="9" customFormat="1" ht="10.8">
      <c r="D9" s="9" t="s">
        <v>10</v>
      </c>
      <c r="E9" s="9" t="s">
        <v>11</v>
      </c>
      <c r="F9" s="10" t="s">
        <v>11</v>
      </c>
      <c r="H9" s="9" t="s">
        <v>98</v>
      </c>
      <c r="I9" s="9" t="s">
        <v>99</v>
      </c>
      <c r="J9" s="10" t="s">
        <v>14</v>
      </c>
      <c r="L9" s="246" t="s">
        <v>15</v>
      </c>
      <c r="N9" s="11"/>
      <c r="R9" s="11"/>
      <c r="T9" s="11"/>
      <c r="X9" s="11"/>
      <c r="AB9" s="11"/>
      <c r="AD9" s="11"/>
      <c r="AH9" s="11"/>
      <c r="AL9" s="11"/>
      <c r="AN9" s="11"/>
      <c r="AR9" s="11"/>
      <c r="AV9" s="11"/>
      <c r="AX9" s="11"/>
      <c r="BC9" s="11"/>
      <c r="BG9" s="11"/>
      <c r="BI9" s="11"/>
    </row>
    <row r="10" spans="1:61" s="3" customFormat="1" ht="5.0999999999999996" customHeight="1">
      <c r="A10" s="2"/>
    </row>
    <row r="11" spans="1:61" ht="13.5" customHeight="1" thickBot="1">
      <c r="B11" s="12" t="s">
        <v>138</v>
      </c>
      <c r="C11" s="12"/>
      <c r="D11" s="253">
        <v>86178</v>
      </c>
      <c r="E11" s="137"/>
      <c r="F11" s="185">
        <v>87071</v>
      </c>
      <c r="G11" s="113"/>
      <c r="H11" s="155">
        <v>90315</v>
      </c>
      <c r="I11" s="286"/>
      <c r="J11" s="144"/>
      <c r="K11" s="155"/>
      <c r="L11" s="339">
        <v>90943</v>
      </c>
      <c r="M11" s="112"/>
      <c r="N11" s="112"/>
      <c r="O11" s="136"/>
      <c r="P11" s="112"/>
      <c r="Q11" s="136"/>
      <c r="R11" s="136"/>
      <c r="S11" s="154"/>
      <c r="T11" s="154"/>
      <c r="V11" s="112"/>
      <c r="W11" s="112"/>
      <c r="X11" s="112"/>
      <c r="Y11" s="136"/>
      <c r="Z11" s="112"/>
      <c r="AA11" s="136"/>
      <c r="AB11" s="136"/>
      <c r="AC11" s="154"/>
      <c r="AD11" s="154"/>
      <c r="AF11" s="112"/>
      <c r="AG11" s="112"/>
      <c r="AH11" s="112"/>
      <c r="AI11" s="136"/>
      <c r="AJ11" s="112"/>
      <c r="AK11" s="136"/>
      <c r="AL11" s="136"/>
      <c r="AM11" s="154"/>
      <c r="AN11" s="154"/>
      <c r="AP11" s="112"/>
      <c r="AQ11" s="112"/>
      <c r="AR11" s="112"/>
      <c r="AS11" s="136"/>
      <c r="AT11" s="112"/>
      <c r="AU11" s="136"/>
      <c r="AV11" s="136"/>
      <c r="AW11" s="154"/>
      <c r="AX11" s="210"/>
      <c r="BA11" s="112"/>
      <c r="BB11" s="112"/>
      <c r="BC11" s="112"/>
      <c r="BD11" s="136"/>
      <c r="BE11" s="112"/>
      <c r="BF11" s="136"/>
      <c r="BG11" s="136"/>
      <c r="BH11" s="154"/>
      <c r="BI11" s="154"/>
    </row>
    <row r="12" spans="1:61" ht="13.5" customHeight="1">
      <c r="B12" t="s">
        <v>17</v>
      </c>
      <c r="D12" s="16">
        <v>39967</v>
      </c>
      <c r="E12" s="138"/>
      <c r="F12" s="186">
        <v>40485</v>
      </c>
      <c r="G12" s="20"/>
      <c r="H12" s="94">
        <v>42984</v>
      </c>
      <c r="I12" s="288"/>
      <c r="J12" s="145"/>
      <c r="K12" s="94"/>
      <c r="L12" s="340">
        <v>42929</v>
      </c>
      <c r="M12" s="112"/>
      <c r="N12" s="112"/>
      <c r="O12" s="136"/>
      <c r="P12" s="112"/>
      <c r="Q12" s="136"/>
      <c r="R12" s="136"/>
      <c r="S12" s="154"/>
      <c r="T12" s="154"/>
      <c r="V12" s="112"/>
      <c r="W12" s="112"/>
      <c r="X12" s="112"/>
      <c r="Y12" s="136"/>
      <c r="Z12" s="112"/>
      <c r="AA12" s="136"/>
      <c r="AB12" s="136"/>
      <c r="AC12" s="154"/>
      <c r="AD12" s="154"/>
      <c r="AF12" s="112"/>
      <c r="AG12" s="112"/>
      <c r="AH12" s="112"/>
      <c r="AI12" s="136"/>
      <c r="AJ12" s="112"/>
      <c r="AK12" s="136"/>
      <c r="AL12" s="136"/>
      <c r="AM12" s="154"/>
      <c r="AN12" s="154"/>
      <c r="AP12" s="112"/>
      <c r="AQ12" s="112"/>
      <c r="AR12" s="112"/>
      <c r="AS12" s="136"/>
      <c r="AT12" s="112"/>
      <c r="AU12" s="136"/>
      <c r="AV12" s="136"/>
      <c r="AW12" s="154"/>
      <c r="AX12" s="210"/>
      <c r="BA12" s="112"/>
      <c r="BB12" s="112"/>
      <c r="BC12" s="112"/>
      <c r="BD12" s="136"/>
      <c r="BE12" s="112"/>
      <c r="BF12" s="136"/>
      <c r="BG12" s="136"/>
      <c r="BH12" s="154"/>
      <c r="BI12" s="154"/>
    </row>
    <row r="13" spans="1:61" ht="13.5" customHeight="1">
      <c r="B13" t="s">
        <v>139</v>
      </c>
      <c r="D13" s="16">
        <v>46211</v>
      </c>
      <c r="E13" s="138"/>
      <c r="F13" s="186">
        <v>46586</v>
      </c>
      <c r="G13" s="20"/>
      <c r="H13" s="94">
        <v>47331</v>
      </c>
      <c r="I13" s="288"/>
      <c r="J13" s="145"/>
      <c r="K13" s="94"/>
      <c r="L13" s="341">
        <v>48014</v>
      </c>
      <c r="M13" s="112"/>
      <c r="N13" s="112"/>
      <c r="O13" s="136"/>
      <c r="P13" s="112"/>
      <c r="Q13" s="136"/>
      <c r="R13" s="136"/>
      <c r="S13" s="154"/>
      <c r="T13" s="154"/>
      <c r="V13" s="112"/>
      <c r="W13" s="112"/>
      <c r="X13" s="112"/>
      <c r="Y13" s="136"/>
      <c r="Z13" s="112"/>
      <c r="AA13" s="136"/>
      <c r="AB13" s="136"/>
      <c r="AC13" s="154"/>
      <c r="AD13" s="154"/>
      <c r="AF13" s="112"/>
      <c r="AG13" s="112"/>
      <c r="AH13" s="112"/>
      <c r="AI13" s="136"/>
      <c r="AJ13" s="112"/>
      <c r="AK13" s="136"/>
      <c r="AL13" s="136"/>
      <c r="AM13" s="154"/>
      <c r="AN13" s="154"/>
      <c r="AP13" s="112"/>
      <c r="AQ13" s="112"/>
      <c r="AR13" s="112"/>
      <c r="AS13" s="136"/>
      <c r="AT13" s="112"/>
      <c r="AU13" s="136"/>
      <c r="AV13" s="136"/>
      <c r="AW13" s="154"/>
      <c r="AX13" s="210"/>
      <c r="BA13" s="112"/>
      <c r="BB13" s="112"/>
      <c r="BC13" s="112"/>
      <c r="BD13" s="136"/>
      <c r="BE13" s="112"/>
      <c r="BF13" s="136"/>
      <c r="BG13" s="136"/>
      <c r="BH13" s="154"/>
      <c r="BI13" s="154"/>
    </row>
    <row r="14" spans="1:61" ht="13.5" customHeight="1">
      <c r="B14" t="s">
        <v>19</v>
      </c>
      <c r="D14" s="16">
        <v>30862</v>
      </c>
      <c r="E14" s="138"/>
      <c r="F14" s="186">
        <v>31125</v>
      </c>
      <c r="G14" s="20"/>
      <c r="H14" s="94">
        <v>31631</v>
      </c>
      <c r="I14" s="288"/>
      <c r="J14" s="145"/>
      <c r="K14" s="94"/>
      <c r="L14" s="341">
        <v>31785</v>
      </c>
      <c r="M14" s="112"/>
      <c r="N14" s="112"/>
      <c r="O14" s="136"/>
      <c r="P14" s="112"/>
      <c r="Q14" s="136"/>
      <c r="R14" s="136"/>
      <c r="S14" s="154"/>
      <c r="T14" s="154"/>
      <c r="V14" s="112"/>
      <c r="W14" s="112"/>
      <c r="X14" s="112"/>
      <c r="Y14" s="136"/>
      <c r="Z14" s="112"/>
      <c r="AA14" s="136"/>
      <c r="AB14" s="136"/>
      <c r="AC14" s="154"/>
      <c r="AD14" s="154"/>
      <c r="AF14" s="112"/>
      <c r="AG14" s="112"/>
      <c r="AH14" s="112"/>
      <c r="AI14" s="136"/>
      <c r="AJ14" s="112"/>
      <c r="AK14" s="136"/>
      <c r="AL14" s="136"/>
      <c r="AM14" s="154"/>
      <c r="AN14" s="154"/>
      <c r="AP14" s="112"/>
      <c r="AQ14" s="112"/>
      <c r="AR14" s="112"/>
      <c r="AS14" s="136"/>
      <c r="AT14" s="112"/>
      <c r="AU14" s="136"/>
      <c r="AV14" s="136"/>
      <c r="AW14" s="154"/>
      <c r="AX14" s="210"/>
      <c r="BA14" s="112"/>
      <c r="BB14" s="112"/>
      <c r="BC14" s="112"/>
      <c r="BD14" s="136"/>
      <c r="BE14" s="112"/>
      <c r="BF14" s="136"/>
      <c r="BG14" s="136"/>
      <c r="BH14" s="154"/>
      <c r="BI14" s="154"/>
    </row>
    <row r="15" spans="1:61" ht="13.5" customHeight="1">
      <c r="B15" t="s">
        <v>140</v>
      </c>
      <c r="D15" s="16">
        <v>742</v>
      </c>
      <c r="E15" s="138"/>
      <c r="F15" s="186">
        <v>742</v>
      </c>
      <c r="G15" s="20"/>
      <c r="H15" s="94">
        <v>742</v>
      </c>
      <c r="I15" s="288"/>
      <c r="J15" s="145"/>
      <c r="K15" s="94"/>
      <c r="L15" s="341">
        <v>742</v>
      </c>
      <c r="M15" s="112"/>
      <c r="N15" s="112"/>
      <c r="O15" s="136"/>
      <c r="P15" s="112"/>
      <c r="Q15" s="136"/>
      <c r="R15" s="136"/>
      <c r="S15" s="154"/>
      <c r="T15" s="154"/>
      <c r="V15" s="112"/>
      <c r="W15" s="112"/>
      <c r="X15" s="112"/>
      <c r="Y15" s="136"/>
      <c r="Z15" s="112"/>
      <c r="AA15" s="136"/>
      <c r="AB15" s="136"/>
      <c r="AC15" s="154"/>
      <c r="AD15" s="154"/>
      <c r="AF15" s="112"/>
      <c r="AG15" s="112"/>
      <c r="AH15" s="112"/>
      <c r="AI15" s="136"/>
      <c r="AJ15" s="112"/>
      <c r="AK15" s="136"/>
      <c r="AL15" s="136"/>
      <c r="AM15" s="154"/>
      <c r="AN15" s="154"/>
      <c r="AP15" s="112"/>
      <c r="AQ15" s="112"/>
      <c r="AR15" s="112"/>
      <c r="AS15" s="136"/>
      <c r="AT15" s="112"/>
      <c r="AU15" s="136"/>
      <c r="AV15" s="136"/>
      <c r="AW15" s="154"/>
      <c r="AX15" s="210"/>
      <c r="BA15" s="112"/>
      <c r="BB15" s="112"/>
      <c r="BC15" s="112"/>
      <c r="BD15" s="136"/>
      <c r="BE15" s="112"/>
      <c r="BF15" s="136"/>
      <c r="BG15" s="136"/>
      <c r="BH15" s="154"/>
      <c r="BI15" s="154"/>
    </row>
    <row r="16" spans="1:61" ht="13.5" customHeight="1">
      <c r="B16" t="s">
        <v>141</v>
      </c>
      <c r="D16" s="16">
        <v>4247</v>
      </c>
      <c r="E16" s="138"/>
      <c r="F16" s="186">
        <v>4162</v>
      </c>
      <c r="G16" s="20"/>
      <c r="H16" s="94">
        <v>4073</v>
      </c>
      <c r="I16" s="288"/>
      <c r="J16" s="145"/>
      <c r="K16" s="94"/>
      <c r="L16" s="341">
        <v>4002</v>
      </c>
      <c r="M16" s="112"/>
      <c r="N16" s="112"/>
      <c r="O16" s="136"/>
      <c r="P16" s="112"/>
      <c r="Q16" s="136"/>
      <c r="R16" s="136"/>
      <c r="S16" s="154"/>
      <c r="T16" s="154"/>
      <c r="V16" s="112"/>
      <c r="W16" s="112"/>
      <c r="X16" s="112"/>
      <c r="Y16" s="136"/>
      <c r="Z16" s="112"/>
      <c r="AA16" s="136"/>
      <c r="AB16" s="136"/>
      <c r="AC16" s="154"/>
      <c r="AD16" s="154"/>
      <c r="AF16" s="112"/>
      <c r="AG16" s="112"/>
      <c r="AH16" s="112"/>
      <c r="AI16" s="136"/>
      <c r="AJ16" s="112"/>
      <c r="AK16" s="136"/>
      <c r="AL16" s="136"/>
      <c r="AM16" s="154"/>
      <c r="AN16" s="154"/>
      <c r="AP16" s="112"/>
      <c r="AQ16" s="112"/>
      <c r="AR16" s="112"/>
      <c r="AS16" s="136"/>
      <c r="AT16" s="112"/>
      <c r="AU16" s="136"/>
      <c r="AV16" s="136"/>
      <c r="AW16" s="154"/>
      <c r="AX16" s="210"/>
      <c r="BA16" s="112"/>
      <c r="BB16" s="112"/>
      <c r="BC16" s="112"/>
      <c r="BD16" s="136"/>
      <c r="BE16" s="112"/>
      <c r="BF16" s="136"/>
      <c r="BG16" s="136"/>
      <c r="BH16" s="154"/>
      <c r="BI16" s="154"/>
    </row>
    <row r="17" spans="1:62" ht="13.5" customHeight="1">
      <c r="B17" t="s">
        <v>142</v>
      </c>
      <c r="D17" s="16">
        <v>10360</v>
      </c>
      <c r="E17" s="138"/>
      <c r="F17" s="186">
        <v>10557</v>
      </c>
      <c r="G17" s="20"/>
      <c r="H17" s="94">
        <v>10885</v>
      </c>
      <c r="I17" s="288"/>
      <c r="J17" s="145"/>
      <c r="K17" s="94"/>
      <c r="L17" s="341">
        <v>11485</v>
      </c>
      <c r="M17" s="112"/>
      <c r="N17" s="112"/>
      <c r="O17" s="136"/>
      <c r="P17" s="112"/>
      <c r="Q17" s="136"/>
      <c r="R17" s="136"/>
      <c r="S17" s="154"/>
      <c r="T17" s="154"/>
      <c r="V17" s="112"/>
      <c r="W17" s="112"/>
      <c r="X17" s="112"/>
      <c r="Y17" s="136"/>
      <c r="Z17" s="112"/>
      <c r="AA17" s="136"/>
      <c r="AB17" s="136"/>
      <c r="AC17" s="154"/>
      <c r="AD17" s="154"/>
      <c r="AF17" s="112"/>
      <c r="AG17" s="112"/>
      <c r="AH17" s="112"/>
      <c r="AI17" s="136"/>
      <c r="AJ17" s="112"/>
      <c r="AK17" s="136"/>
      <c r="AL17" s="136"/>
      <c r="AM17" s="154"/>
      <c r="AN17" s="154"/>
      <c r="AP17" s="112"/>
      <c r="AQ17" s="112"/>
      <c r="AR17" s="112"/>
      <c r="AS17" s="136"/>
      <c r="AT17" s="112"/>
      <c r="AU17" s="136"/>
      <c r="AV17" s="136"/>
      <c r="AW17" s="154"/>
      <c r="AX17" s="210"/>
      <c r="BA17" s="112"/>
      <c r="BB17" s="112"/>
      <c r="BC17" s="112"/>
      <c r="BD17" s="136"/>
      <c r="BE17" s="112"/>
      <c r="BF17" s="136"/>
      <c r="BG17" s="136"/>
      <c r="BH17" s="154"/>
      <c r="BI17" s="154"/>
    </row>
    <row r="18" spans="1:62" ht="13.5" customHeight="1" thickBot="1">
      <c r="B18" s="12" t="s">
        <v>22</v>
      </c>
      <c r="C18" s="12"/>
      <c r="D18" s="13">
        <v>52662</v>
      </c>
      <c r="E18" s="137"/>
      <c r="F18" s="185">
        <v>52394</v>
      </c>
      <c r="G18" s="113"/>
      <c r="H18" s="155">
        <v>54704</v>
      </c>
      <c r="I18" s="286"/>
      <c r="J18" s="144"/>
      <c r="K18" s="155"/>
      <c r="L18" s="339">
        <v>53361</v>
      </c>
      <c r="M18" s="112"/>
      <c r="N18" s="112"/>
      <c r="O18" s="136"/>
      <c r="P18" s="112"/>
      <c r="Q18" s="136"/>
      <c r="R18" s="136"/>
      <c r="S18" s="154"/>
      <c r="T18" s="154"/>
      <c r="V18" s="112"/>
      <c r="W18" s="112"/>
      <c r="X18" s="112"/>
      <c r="Y18" s="136"/>
      <c r="Z18" s="112"/>
      <c r="AA18" s="136"/>
      <c r="AB18" s="136"/>
      <c r="AC18" s="154"/>
      <c r="AD18" s="154"/>
      <c r="AF18" s="112"/>
      <c r="AG18" s="112"/>
      <c r="AH18" s="112"/>
      <c r="AI18" s="136"/>
      <c r="AJ18" s="112"/>
      <c r="AK18" s="136"/>
      <c r="AL18" s="136"/>
      <c r="AM18" s="154"/>
      <c r="AN18" s="154"/>
      <c r="AP18" s="112"/>
      <c r="AQ18" s="112"/>
      <c r="AR18" s="112"/>
      <c r="AS18" s="136"/>
      <c r="AT18" s="112"/>
      <c r="AU18" s="136"/>
      <c r="AV18" s="136"/>
      <c r="AW18" s="154"/>
      <c r="AX18" s="210"/>
      <c r="BA18" s="112"/>
      <c r="BB18" s="112"/>
      <c r="BC18" s="112"/>
      <c r="BD18" s="136"/>
      <c r="BE18" s="112"/>
      <c r="BF18" s="136"/>
      <c r="BG18" s="136"/>
      <c r="BH18" s="154"/>
      <c r="BI18" s="154"/>
    </row>
    <row r="19" spans="1:62" ht="13.5" customHeight="1">
      <c r="B19" t="s">
        <v>143</v>
      </c>
      <c r="D19" s="16">
        <v>27122</v>
      </c>
      <c r="E19" s="138"/>
      <c r="F19" s="186">
        <v>26486</v>
      </c>
      <c r="G19" s="20"/>
      <c r="H19" s="94">
        <v>26420</v>
      </c>
      <c r="I19" s="288"/>
      <c r="J19" s="145"/>
      <c r="K19" s="94"/>
      <c r="L19" s="340">
        <v>26157</v>
      </c>
      <c r="M19" s="112"/>
      <c r="N19" s="112"/>
      <c r="O19" s="136"/>
      <c r="P19" s="112"/>
      <c r="Q19" s="136"/>
      <c r="R19" s="136"/>
      <c r="S19" s="154"/>
      <c r="T19" s="154"/>
      <c r="V19" s="112"/>
      <c r="W19" s="112"/>
      <c r="X19" s="112"/>
      <c r="Y19" s="136"/>
      <c r="Z19" s="112"/>
      <c r="AA19" s="136"/>
      <c r="AB19" s="136"/>
      <c r="AC19" s="154"/>
      <c r="AD19" s="154"/>
      <c r="AF19" s="112"/>
      <c r="AG19" s="112"/>
      <c r="AH19" s="112"/>
      <c r="AI19" s="136"/>
      <c r="AJ19" s="112"/>
      <c r="AK19" s="136"/>
      <c r="AL19" s="136"/>
      <c r="AM19" s="154"/>
      <c r="AN19" s="154"/>
      <c r="AP19" s="112"/>
      <c r="AQ19" s="112"/>
      <c r="AR19" s="112"/>
      <c r="AS19" s="136"/>
      <c r="AT19" s="112"/>
      <c r="AU19" s="136"/>
      <c r="AV19" s="136"/>
      <c r="AW19" s="154"/>
      <c r="AX19" s="210"/>
      <c r="BA19" s="112"/>
      <c r="BB19" s="112"/>
      <c r="BC19" s="112"/>
      <c r="BD19" s="136"/>
      <c r="BE19" s="112"/>
      <c r="BF19" s="136"/>
      <c r="BG19" s="136"/>
      <c r="BH19" s="154"/>
      <c r="BI19" s="154"/>
    </row>
    <row r="20" spans="1:62" ht="13.5" customHeight="1">
      <c r="B20" t="s">
        <v>144</v>
      </c>
      <c r="D20" s="16">
        <v>25540</v>
      </c>
      <c r="E20" s="138"/>
      <c r="F20" s="186">
        <v>25908</v>
      </c>
      <c r="G20" s="20"/>
      <c r="H20" s="94">
        <v>28284</v>
      </c>
      <c r="I20" s="288"/>
      <c r="J20" s="145"/>
      <c r="K20" s="94"/>
      <c r="L20" s="341">
        <v>27204</v>
      </c>
      <c r="M20" s="112"/>
      <c r="N20" s="112"/>
      <c r="O20" s="136"/>
      <c r="P20" s="112"/>
      <c r="Q20" s="136"/>
      <c r="R20" s="136"/>
      <c r="S20" s="154"/>
      <c r="T20" s="154"/>
      <c r="V20" s="112"/>
      <c r="W20" s="112"/>
      <c r="X20" s="112"/>
      <c r="Y20" s="136"/>
      <c r="Z20" s="112"/>
      <c r="AA20" s="136"/>
      <c r="AB20" s="136"/>
      <c r="AC20" s="154"/>
      <c r="AD20" s="154"/>
      <c r="AF20" s="112"/>
      <c r="AG20" s="112"/>
      <c r="AH20" s="112"/>
      <c r="AI20" s="136"/>
      <c r="AJ20" s="112"/>
      <c r="AK20" s="136"/>
      <c r="AL20" s="136"/>
      <c r="AM20" s="154"/>
      <c r="AN20" s="154"/>
      <c r="AP20" s="112"/>
      <c r="AQ20" s="112"/>
      <c r="AR20" s="112"/>
      <c r="AS20" s="136"/>
      <c r="AT20" s="112"/>
      <c r="AU20" s="136"/>
      <c r="AV20" s="136"/>
      <c r="AW20" s="154"/>
      <c r="AX20" s="210"/>
      <c r="BA20" s="112"/>
      <c r="BB20" s="112"/>
      <c r="BC20" s="112"/>
      <c r="BD20" s="136"/>
      <c r="BE20" s="112"/>
      <c r="BF20" s="136"/>
      <c r="BG20" s="136"/>
      <c r="BH20" s="154"/>
      <c r="BI20" s="154"/>
    </row>
    <row r="21" spans="1:62" ht="13.5" customHeight="1" thickBot="1">
      <c r="B21" s="12" t="s">
        <v>145</v>
      </c>
      <c r="C21" s="12"/>
      <c r="D21" s="13">
        <v>33516</v>
      </c>
      <c r="E21" s="137"/>
      <c r="F21" s="185">
        <v>34677</v>
      </c>
      <c r="G21" s="113"/>
      <c r="H21" s="155">
        <v>35611</v>
      </c>
      <c r="I21" s="286"/>
      <c r="J21" s="144"/>
      <c r="K21" s="155"/>
      <c r="L21" s="339">
        <v>37582</v>
      </c>
      <c r="M21" s="112"/>
      <c r="N21" s="112"/>
      <c r="O21" s="136"/>
      <c r="P21" s="112"/>
      <c r="Q21" s="136"/>
      <c r="R21" s="136"/>
      <c r="S21" s="154"/>
      <c r="T21" s="154"/>
      <c r="V21" s="112"/>
      <c r="W21" s="112"/>
      <c r="X21" s="112"/>
      <c r="Y21" s="136"/>
      <c r="Z21" s="112"/>
      <c r="AA21" s="136"/>
      <c r="AB21" s="136"/>
      <c r="AC21" s="154"/>
      <c r="AD21" s="154"/>
      <c r="AF21" s="112"/>
      <c r="AG21" s="112"/>
      <c r="AH21" s="112"/>
      <c r="AI21" s="136"/>
      <c r="AJ21" s="112"/>
      <c r="AK21" s="136"/>
      <c r="AL21" s="136"/>
      <c r="AM21" s="154"/>
      <c r="AN21" s="154"/>
      <c r="AP21" s="112"/>
      <c r="AQ21" s="112"/>
      <c r="AR21" s="112"/>
      <c r="AS21" s="136"/>
      <c r="AT21" s="112"/>
      <c r="AU21" s="136"/>
      <c r="AV21" s="136"/>
      <c r="AW21" s="154"/>
      <c r="AX21" s="210"/>
      <c r="BA21" s="112"/>
      <c r="BB21" s="112"/>
      <c r="BC21" s="112"/>
      <c r="BD21" s="136"/>
      <c r="BE21" s="112"/>
      <c r="BF21" s="136"/>
      <c r="BG21" s="136"/>
      <c r="BH21" s="154"/>
      <c r="BI21" s="154"/>
    </row>
    <row r="22" spans="1:62" ht="13.5" customHeight="1">
      <c r="B22" t="s">
        <v>146</v>
      </c>
      <c r="D22" s="16">
        <v>30105</v>
      </c>
      <c r="E22" s="138"/>
      <c r="F22" s="186">
        <v>31171</v>
      </c>
      <c r="G22" s="20"/>
      <c r="H22" s="94">
        <v>31874</v>
      </c>
      <c r="I22" s="288"/>
      <c r="J22" s="145"/>
      <c r="K22" s="94"/>
      <c r="L22" s="340">
        <v>33698</v>
      </c>
      <c r="M22" s="112"/>
      <c r="N22" s="112"/>
      <c r="O22" s="136"/>
      <c r="P22" s="112"/>
      <c r="Q22" s="136"/>
      <c r="R22" s="136"/>
      <c r="S22" s="154"/>
      <c r="T22" s="154"/>
      <c r="V22" s="112"/>
      <c r="W22" s="112"/>
      <c r="X22" s="112"/>
      <c r="Y22" s="136"/>
      <c r="Z22" s="112"/>
      <c r="AA22" s="136"/>
      <c r="AB22" s="136"/>
      <c r="AC22" s="154"/>
      <c r="AD22" s="154"/>
      <c r="AF22" s="112"/>
      <c r="AG22" s="112"/>
      <c r="AH22" s="112"/>
      <c r="AI22" s="136"/>
      <c r="AJ22" s="112"/>
      <c r="AK22" s="136"/>
      <c r="AL22" s="136"/>
      <c r="AM22" s="154"/>
      <c r="AN22" s="154"/>
      <c r="AP22" s="112"/>
      <c r="AQ22" s="112"/>
      <c r="AR22" s="112"/>
      <c r="AS22" s="136"/>
      <c r="AT22" s="112"/>
      <c r="AU22" s="136"/>
      <c r="AV22" s="136"/>
      <c r="AW22" s="154"/>
      <c r="AX22" s="210"/>
      <c r="BA22" s="112"/>
      <c r="BB22" s="112"/>
      <c r="BC22" s="112"/>
      <c r="BD22" s="136"/>
      <c r="BE22" s="112"/>
      <c r="BF22" s="136"/>
      <c r="BG22" s="136"/>
      <c r="BH22" s="154"/>
      <c r="BI22" s="154"/>
    </row>
    <row r="23" spans="1:62" ht="13.5" customHeight="1">
      <c r="B23" t="s">
        <v>147</v>
      </c>
      <c r="D23" s="16">
        <v>3411</v>
      </c>
      <c r="E23" s="138"/>
      <c r="F23" s="186">
        <v>3506</v>
      </c>
      <c r="G23" s="20"/>
      <c r="H23" s="94">
        <f>H21-H22</f>
        <v>3737</v>
      </c>
      <c r="I23" s="288"/>
      <c r="J23" s="145"/>
      <c r="K23" s="94"/>
      <c r="L23" s="341">
        <v>3884</v>
      </c>
      <c r="M23" s="112"/>
      <c r="N23" s="112"/>
      <c r="O23" s="136"/>
      <c r="P23" s="112"/>
      <c r="Q23" s="136"/>
      <c r="R23" s="136"/>
      <c r="S23" s="211"/>
      <c r="T23" s="112"/>
      <c r="V23" s="112"/>
      <c r="W23" s="112"/>
      <c r="X23" s="112"/>
      <c r="Y23" s="136"/>
      <c r="Z23" s="112"/>
      <c r="AA23" s="136"/>
      <c r="AB23" s="136"/>
      <c r="AC23" s="211"/>
      <c r="AD23" s="112"/>
      <c r="AF23" s="112"/>
      <c r="AG23" s="112"/>
      <c r="AH23" s="112"/>
      <c r="AI23" s="136"/>
      <c r="AJ23" s="112"/>
      <c r="AK23" s="136"/>
      <c r="AL23" s="136"/>
      <c r="AM23" s="211"/>
      <c r="AN23" s="112"/>
      <c r="AP23" s="112"/>
      <c r="AQ23" s="112"/>
      <c r="AR23" s="112"/>
      <c r="AS23" s="136"/>
      <c r="AT23" s="112"/>
      <c r="AU23" s="136"/>
      <c r="AV23" s="136"/>
      <c r="AW23" s="211"/>
      <c r="AX23" s="112"/>
      <c r="BA23" s="112"/>
      <c r="BB23" s="112"/>
      <c r="BC23" s="112"/>
      <c r="BD23" s="136"/>
      <c r="BE23" s="112"/>
      <c r="BF23" s="136"/>
      <c r="BG23" s="136"/>
      <c r="BH23" s="211"/>
      <c r="BI23" s="112"/>
    </row>
    <row r="24" spans="1:62" s="207" customFormat="1" ht="13.5" customHeight="1">
      <c r="D24" s="16"/>
      <c r="E24" s="16"/>
      <c r="F24" s="16"/>
      <c r="G24" s="20"/>
      <c r="H24" s="16"/>
      <c r="I24" s="20"/>
      <c r="J24" s="20"/>
      <c r="K24" s="94"/>
      <c r="L24" s="342"/>
      <c r="M24" s="112"/>
      <c r="N24" s="112"/>
      <c r="O24" s="136"/>
      <c r="P24" s="112"/>
      <c r="Q24" s="136"/>
      <c r="R24" s="136"/>
      <c r="S24" s="154"/>
      <c r="T24" s="154"/>
      <c r="U24"/>
      <c r="V24" s="112"/>
      <c r="W24" s="112"/>
      <c r="X24" s="112"/>
      <c r="Y24" s="136"/>
      <c r="Z24" s="112"/>
      <c r="AA24" s="136"/>
      <c r="AB24" s="136"/>
      <c r="AC24" s="154"/>
      <c r="AD24" s="154"/>
      <c r="AE24"/>
      <c r="AF24" s="112"/>
      <c r="AG24" s="112"/>
      <c r="AH24" s="112"/>
      <c r="AI24" s="136"/>
      <c r="AJ24" s="112"/>
      <c r="AK24" s="136"/>
      <c r="AL24" s="136"/>
      <c r="AM24" s="154"/>
      <c r="AN24" s="154"/>
      <c r="AO24"/>
      <c r="AP24" s="112"/>
      <c r="AQ24" s="112"/>
      <c r="AR24" s="112"/>
      <c r="AS24" s="136"/>
      <c r="AT24" s="112"/>
      <c r="AU24" s="136"/>
      <c r="AV24" s="136"/>
      <c r="AW24" s="154"/>
      <c r="AX24" s="210"/>
      <c r="AY24"/>
      <c r="AZ24"/>
      <c r="BA24" s="112"/>
      <c r="BB24" s="112"/>
      <c r="BC24" s="112"/>
      <c r="BD24" s="136"/>
      <c r="BE24" s="112"/>
      <c r="BF24" s="136"/>
      <c r="BG24" s="136"/>
      <c r="BH24" s="154"/>
      <c r="BI24" s="154"/>
      <c r="BJ24"/>
    </row>
    <row r="25" spans="1:62">
      <c r="D25" s="20"/>
      <c r="E25" s="20"/>
      <c r="F25" s="20"/>
      <c r="G25" s="20"/>
      <c r="H25" s="20"/>
      <c r="I25" s="20"/>
      <c r="J25" s="20"/>
      <c r="K25" s="184"/>
      <c r="L25" s="184"/>
      <c r="M25" s="136"/>
      <c r="N25" s="136"/>
      <c r="O25" s="136"/>
      <c r="P25" s="136"/>
      <c r="Q25" s="136"/>
      <c r="R25" s="136"/>
      <c r="S25" s="211"/>
      <c r="T25" s="211"/>
      <c r="V25" s="136"/>
      <c r="W25" s="136"/>
      <c r="X25" s="136"/>
      <c r="Y25" s="136"/>
      <c r="Z25" s="136"/>
      <c r="AA25" s="136"/>
      <c r="AB25" s="136"/>
      <c r="AC25" s="211"/>
      <c r="AD25" s="211"/>
      <c r="AF25" s="136"/>
      <c r="AG25" s="136"/>
      <c r="AH25" s="136"/>
      <c r="AI25" s="136"/>
      <c r="AJ25" s="136"/>
      <c r="AK25" s="136"/>
      <c r="AL25" s="136"/>
      <c r="AM25" s="211"/>
      <c r="AN25" s="211"/>
      <c r="AP25" s="136"/>
      <c r="AQ25" s="136"/>
      <c r="AR25" s="136"/>
      <c r="AS25" s="136"/>
      <c r="AT25" s="136"/>
      <c r="AU25" s="136"/>
      <c r="AV25" s="136"/>
      <c r="AW25" s="211"/>
      <c r="AX25" s="211"/>
      <c r="BA25" s="136"/>
      <c r="BB25" s="136"/>
      <c r="BC25" s="136"/>
      <c r="BD25" s="136"/>
      <c r="BE25" s="136"/>
      <c r="BF25" s="136"/>
      <c r="BG25" s="136"/>
      <c r="BH25" s="211"/>
      <c r="BI25" s="211"/>
    </row>
    <row r="26" spans="1:62" s="3" customFormat="1" ht="16.2">
      <c r="A26" s="250" t="s">
        <v>27</v>
      </c>
    </row>
    <row r="27" spans="1:62">
      <c r="B27" t="s">
        <v>1</v>
      </c>
      <c r="D27" s="244" t="str">
        <f>D5</f>
        <v>2025年度　（2025年4月-2026年3月）</v>
      </c>
      <c r="E27" s="244"/>
      <c r="F27" s="244"/>
      <c r="G27" s="244"/>
      <c r="H27" s="244"/>
      <c r="I27" s="244"/>
      <c r="J27" s="244"/>
      <c r="K27" s="244"/>
      <c r="L27" s="244"/>
      <c r="M27" s="5"/>
      <c r="N27" s="5"/>
      <c r="O27" s="5"/>
      <c r="P27" s="5"/>
      <c r="Q27" s="5"/>
      <c r="R27" s="5"/>
      <c r="S27" s="5"/>
      <c r="T27" s="5"/>
      <c r="V27" s="5"/>
      <c r="W27" s="5"/>
      <c r="X27" s="5"/>
      <c r="Y27" s="5"/>
      <c r="Z27" s="5"/>
      <c r="AA27" s="5"/>
      <c r="AB27" s="5"/>
      <c r="AC27" s="5"/>
      <c r="AD27" s="5"/>
      <c r="AF27" s="5"/>
      <c r="AG27" s="5"/>
      <c r="AH27" s="5"/>
      <c r="AI27" s="5"/>
      <c r="AJ27" s="5"/>
      <c r="AK27" s="5"/>
      <c r="AL27" s="5"/>
      <c r="AM27" s="5"/>
      <c r="AN27" s="5"/>
      <c r="AP27" s="5"/>
      <c r="AQ27" s="5"/>
      <c r="AR27" s="5"/>
      <c r="AS27" s="5"/>
      <c r="AT27" s="5"/>
      <c r="AU27" s="5"/>
      <c r="AV27" s="5"/>
      <c r="AW27" s="5"/>
      <c r="AX27" s="5"/>
      <c r="BA27" s="5"/>
      <c r="BB27" s="5"/>
      <c r="BC27" s="5"/>
      <c r="BD27" s="5"/>
      <c r="BE27" s="5"/>
      <c r="BF27" s="5"/>
      <c r="BG27" s="5"/>
      <c r="BH27" s="5"/>
      <c r="BI27" s="5"/>
    </row>
    <row r="28" spans="1:62" ht="3.75" customHeight="1">
      <c r="D28" s="5"/>
      <c r="E28" s="5"/>
      <c r="F28" s="5"/>
      <c r="G28" s="5"/>
      <c r="H28" s="5"/>
      <c r="I28" s="5"/>
      <c r="J28" s="5"/>
      <c r="K28" s="5"/>
      <c r="L28" s="244"/>
      <c r="M28" s="5"/>
      <c r="N28" s="5"/>
      <c r="O28" s="5"/>
      <c r="P28" s="5"/>
      <c r="Q28" s="5"/>
      <c r="R28" s="5"/>
      <c r="S28" s="5"/>
      <c r="T28" s="5"/>
      <c r="V28" s="5"/>
      <c r="W28" s="5"/>
      <c r="X28" s="5"/>
      <c r="Y28" s="5"/>
      <c r="Z28" s="5"/>
      <c r="AA28" s="5"/>
      <c r="AB28" s="5"/>
      <c r="AC28" s="5"/>
      <c r="AD28" s="5"/>
      <c r="AF28" s="5"/>
      <c r="AG28" s="5"/>
      <c r="AH28" s="5"/>
      <c r="AI28" s="5"/>
      <c r="AJ28" s="5"/>
      <c r="AK28" s="5"/>
      <c r="AL28" s="5"/>
      <c r="AM28" s="5"/>
      <c r="AN28" s="5"/>
      <c r="AP28" s="5"/>
      <c r="AQ28" s="5"/>
      <c r="AR28" s="5"/>
      <c r="AS28" s="5"/>
      <c r="AT28" s="5"/>
      <c r="AU28" s="5"/>
      <c r="AV28" s="5"/>
      <c r="AW28" s="5"/>
      <c r="AX28" s="5"/>
      <c r="BA28" s="5"/>
      <c r="BB28" s="5"/>
      <c r="BC28" s="5"/>
      <c r="BD28" s="5"/>
      <c r="BE28" s="5"/>
      <c r="BF28" s="5"/>
      <c r="BG28" s="5"/>
      <c r="BH28" s="5"/>
      <c r="BI28" s="5"/>
    </row>
    <row r="29" spans="1:62">
      <c r="D29" s="6"/>
      <c r="E29" s="6"/>
      <c r="F29" s="7" t="s">
        <v>28</v>
      </c>
      <c r="H29" s="7"/>
      <c r="I29" s="7"/>
      <c r="J29" s="7" t="s">
        <v>29</v>
      </c>
      <c r="L29" s="335" t="s">
        <v>30</v>
      </c>
      <c r="N29" s="8"/>
      <c r="P29" s="8"/>
      <c r="Q29" s="8"/>
      <c r="R29" s="8"/>
      <c r="T29" s="8"/>
      <c r="X29" s="8"/>
      <c r="Z29" s="8"/>
      <c r="AA29" s="8"/>
      <c r="AB29" s="8"/>
      <c r="AD29" s="8"/>
      <c r="AH29" s="8"/>
      <c r="AJ29" s="8"/>
      <c r="AK29" s="8"/>
      <c r="AL29" s="8"/>
      <c r="AN29" s="8"/>
      <c r="AR29" s="8"/>
      <c r="AT29" s="8"/>
      <c r="AU29" s="8"/>
      <c r="AV29" s="8"/>
      <c r="AX29" s="8"/>
      <c r="BC29" s="8"/>
      <c r="BE29" s="8"/>
      <c r="BF29" s="8"/>
      <c r="BG29" s="8"/>
      <c r="BI29" s="8"/>
    </row>
    <row r="30" spans="1:62" s="9" customFormat="1" ht="10.8">
      <c r="D30" s="9" t="s">
        <v>31</v>
      </c>
      <c r="E30" s="9" t="s">
        <v>32</v>
      </c>
      <c r="F30" s="10" t="s">
        <v>33</v>
      </c>
      <c r="H30" s="9" t="s">
        <v>7</v>
      </c>
      <c r="I30" s="9" t="s">
        <v>8</v>
      </c>
      <c r="J30" s="10"/>
      <c r="L30" s="246"/>
      <c r="N30" s="11"/>
      <c r="R30" s="11"/>
      <c r="T30" s="11"/>
      <c r="X30" s="11"/>
      <c r="AB30" s="11"/>
      <c r="AD30" s="11"/>
      <c r="AH30" s="11"/>
      <c r="AL30" s="11"/>
      <c r="AN30" s="11"/>
      <c r="AR30" s="11"/>
      <c r="AV30" s="11"/>
      <c r="AX30" s="11"/>
      <c r="BC30" s="11"/>
      <c r="BG30" s="11"/>
      <c r="BI30" s="11"/>
    </row>
    <row r="31" spans="1:62" s="9" customFormat="1" ht="10.8">
      <c r="D31" s="9" t="s">
        <v>34</v>
      </c>
      <c r="E31" s="9" t="s">
        <v>35</v>
      </c>
      <c r="F31" s="10" t="s">
        <v>36</v>
      </c>
      <c r="H31" s="9" t="s">
        <v>12</v>
      </c>
      <c r="I31" s="9" t="s">
        <v>13</v>
      </c>
      <c r="J31" s="10" t="s">
        <v>37</v>
      </c>
      <c r="L31" s="246" t="s">
        <v>38</v>
      </c>
      <c r="N31" s="11"/>
      <c r="R31" s="11"/>
      <c r="T31" s="11"/>
      <c r="X31" s="11"/>
      <c r="AB31" s="11"/>
      <c r="AD31" s="11"/>
      <c r="AH31" s="11"/>
      <c r="AL31" s="11"/>
      <c r="AN31" s="11"/>
      <c r="AR31" s="11"/>
      <c r="AV31" s="11"/>
      <c r="AX31" s="11"/>
      <c r="BC31" s="11"/>
      <c r="BG31" s="11"/>
      <c r="BI31" s="11"/>
    </row>
    <row r="32" spans="1:62" s="3" customFormat="1" ht="6.75" customHeight="1">
      <c r="A32" s="2"/>
    </row>
    <row r="33" spans="1:61" ht="13.5" customHeight="1" thickBot="1">
      <c r="B33" s="12" t="s">
        <v>39</v>
      </c>
      <c r="C33" s="12"/>
      <c r="D33" s="13">
        <v>28700</v>
      </c>
      <c r="E33" s="185">
        <f>F33-D33</f>
        <v>28219</v>
      </c>
      <c r="F33" s="290">
        <v>56919</v>
      </c>
      <c r="G33" s="113"/>
      <c r="H33" s="253">
        <f>87224-F33</f>
        <v>30305</v>
      </c>
      <c r="I33" s="155">
        <f>J33-H33</f>
        <v>30431</v>
      </c>
      <c r="J33" s="155">
        <f>L33-F33</f>
        <v>60736</v>
      </c>
      <c r="K33" s="155"/>
      <c r="L33" s="13">
        <v>117655</v>
      </c>
      <c r="M33" s="112"/>
      <c r="N33" s="112"/>
      <c r="P33" s="58"/>
      <c r="Q33" s="25"/>
      <c r="R33" s="25"/>
      <c r="S33" s="25"/>
      <c r="T33" s="25"/>
      <c r="V33" s="112"/>
      <c r="W33" s="112"/>
      <c r="X33" s="112"/>
      <c r="Z33" s="58"/>
      <c r="AA33" s="74"/>
      <c r="AB33" s="74"/>
      <c r="AC33" s="74"/>
      <c r="AD33" s="74"/>
      <c r="AF33" s="112"/>
      <c r="AG33" s="112"/>
      <c r="AH33" s="112"/>
      <c r="AJ33" s="58"/>
      <c r="AK33" s="74"/>
      <c r="AL33" s="74"/>
      <c r="AM33" s="74"/>
      <c r="AN33" s="74"/>
      <c r="AP33" s="112"/>
      <c r="AQ33" s="112"/>
      <c r="AR33" s="112"/>
      <c r="AT33" s="58"/>
      <c r="AU33" s="97"/>
      <c r="AV33" s="97"/>
      <c r="AW33" s="97"/>
      <c r="AX33" s="97"/>
      <c r="BA33" s="112"/>
      <c r="BB33" s="112"/>
      <c r="BC33" s="112"/>
      <c r="BE33" s="58"/>
      <c r="BF33" s="97"/>
      <c r="BG33" s="97"/>
      <c r="BH33" s="97"/>
      <c r="BI33" s="97"/>
    </row>
    <row r="34" spans="1:61" ht="13.5" customHeight="1">
      <c r="B34" t="s">
        <v>40</v>
      </c>
      <c r="D34" s="16">
        <v>26827</v>
      </c>
      <c r="E34" s="186">
        <f>F34-D34</f>
        <v>25205</v>
      </c>
      <c r="F34" s="291">
        <v>52032</v>
      </c>
      <c r="G34" s="20"/>
      <c r="H34" s="16">
        <f>79449-F34</f>
        <v>27417</v>
      </c>
      <c r="I34" s="94">
        <f>J34-H34</f>
        <v>25971</v>
      </c>
      <c r="J34" s="94">
        <f>L34-F34</f>
        <v>53388</v>
      </c>
      <c r="K34" s="94"/>
      <c r="L34" s="16">
        <v>105420</v>
      </c>
      <c r="M34" s="112"/>
      <c r="N34" s="112"/>
      <c r="P34" s="25"/>
      <c r="Q34" s="25"/>
      <c r="R34" s="25"/>
      <c r="S34" s="25"/>
      <c r="T34" s="25"/>
      <c r="V34" s="112"/>
      <c r="W34" s="112"/>
      <c r="X34" s="112"/>
      <c r="Z34" s="74"/>
      <c r="AA34" s="74"/>
      <c r="AB34" s="74"/>
      <c r="AC34" s="74"/>
      <c r="AD34" s="74"/>
      <c r="AF34" s="112"/>
      <c r="AG34" s="112"/>
      <c r="AH34" s="112"/>
      <c r="AJ34" s="74"/>
      <c r="AK34" s="74"/>
      <c r="AL34" s="74"/>
      <c r="AM34" s="74"/>
      <c r="AN34" s="74"/>
      <c r="AP34" s="112"/>
      <c r="AQ34" s="112"/>
      <c r="AR34" s="112"/>
      <c r="AT34" s="97"/>
      <c r="AU34" s="97"/>
      <c r="AV34" s="97"/>
      <c r="AW34" s="97"/>
      <c r="AX34" s="97"/>
      <c r="BA34" s="112"/>
      <c r="BB34" s="112"/>
      <c r="BC34" s="112"/>
      <c r="BE34" s="97"/>
      <c r="BF34" s="97"/>
      <c r="BG34" s="97"/>
      <c r="BH34" s="97"/>
      <c r="BI34" s="97"/>
    </row>
    <row r="35" spans="1:61" ht="13.5" customHeight="1">
      <c r="B35" t="s">
        <v>41</v>
      </c>
      <c r="D35" s="16">
        <v>1873</v>
      </c>
      <c r="E35" s="186">
        <f t="shared" ref="E35:E39" si="0">F35-D35</f>
        <v>3014</v>
      </c>
      <c r="F35" s="291">
        <v>4887</v>
      </c>
      <c r="G35" s="20"/>
      <c r="H35" s="16">
        <f>7774-F35</f>
        <v>2887</v>
      </c>
      <c r="I35" s="94">
        <f t="shared" ref="I35:I40" si="1">J35-H35</f>
        <v>4460</v>
      </c>
      <c r="J35" s="94">
        <f t="shared" ref="J35:J40" si="2">L35-F35</f>
        <v>7347</v>
      </c>
      <c r="K35" s="94"/>
      <c r="L35" s="16">
        <v>12234</v>
      </c>
      <c r="M35" s="112"/>
      <c r="N35" s="112"/>
      <c r="P35" s="112"/>
      <c r="Q35" s="25"/>
      <c r="R35" s="25"/>
      <c r="S35" s="25"/>
      <c r="T35" s="25"/>
      <c r="V35" s="112"/>
      <c r="W35" s="112"/>
      <c r="X35" s="112"/>
      <c r="Z35" s="74"/>
      <c r="AA35" s="74"/>
      <c r="AB35" s="74"/>
      <c r="AC35" s="74"/>
      <c r="AD35" s="74"/>
      <c r="AF35" s="112"/>
      <c r="AG35" s="112"/>
      <c r="AH35" s="112"/>
      <c r="AJ35" s="74"/>
      <c r="AK35" s="74"/>
      <c r="AL35" s="74"/>
      <c r="AM35" s="74"/>
      <c r="AN35" s="74"/>
      <c r="AP35" s="112"/>
      <c r="AQ35" s="112"/>
      <c r="AR35" s="112"/>
      <c r="AT35" s="97"/>
      <c r="AU35" s="97"/>
      <c r="AV35" s="97"/>
      <c r="AW35" s="97"/>
      <c r="AX35" s="97"/>
      <c r="BA35" s="112"/>
      <c r="BB35" s="112"/>
      <c r="BC35" s="112"/>
      <c r="BE35" s="97"/>
      <c r="BF35" s="97"/>
      <c r="BG35" s="97"/>
      <c r="BH35" s="97"/>
      <c r="BI35" s="97"/>
    </row>
    <row r="36" spans="1:61" ht="13.5" customHeight="1">
      <c r="B36" t="s">
        <v>42</v>
      </c>
      <c r="D36" s="16">
        <v>2163</v>
      </c>
      <c r="E36" s="186">
        <f t="shared" si="0"/>
        <v>2085</v>
      </c>
      <c r="F36" s="291">
        <v>4248</v>
      </c>
      <c r="G36" s="20"/>
      <c r="H36" s="16">
        <f>6384-F36</f>
        <v>2136</v>
      </c>
      <c r="I36" s="94">
        <f t="shared" si="1"/>
        <v>2340</v>
      </c>
      <c r="J36" s="94">
        <f t="shared" si="2"/>
        <v>4476</v>
      </c>
      <c r="K36" s="94"/>
      <c r="L36" s="16">
        <v>8724</v>
      </c>
      <c r="M36" s="112"/>
      <c r="N36" s="112"/>
      <c r="P36" s="25"/>
      <c r="Q36" s="25"/>
      <c r="R36" s="25"/>
      <c r="S36" s="25"/>
      <c r="T36" s="25"/>
      <c r="V36" s="112"/>
      <c r="W36" s="112"/>
      <c r="X36" s="112"/>
      <c r="Z36" s="74"/>
      <c r="AA36" s="74"/>
      <c r="AB36" s="74"/>
      <c r="AC36" s="74"/>
      <c r="AD36" s="74"/>
      <c r="AF36" s="112"/>
      <c r="AG36" s="112"/>
      <c r="AH36" s="112"/>
      <c r="AJ36" s="74"/>
      <c r="AK36" s="74"/>
      <c r="AL36" s="74"/>
      <c r="AM36" s="74"/>
      <c r="AN36" s="74"/>
      <c r="AP36" s="112"/>
      <c r="AQ36" s="112"/>
      <c r="AR36" s="112"/>
      <c r="AT36" s="97"/>
      <c r="AU36" s="97"/>
      <c r="AV36" s="97"/>
      <c r="AW36" s="97"/>
      <c r="AX36" s="97"/>
      <c r="BA36" s="112"/>
      <c r="BB36" s="112"/>
      <c r="BC36" s="112"/>
      <c r="BE36" s="97"/>
      <c r="BF36" s="97"/>
      <c r="BG36" s="97"/>
      <c r="BH36" s="97"/>
      <c r="BI36" s="97"/>
    </row>
    <row r="37" spans="1:61" ht="13.5" customHeight="1">
      <c r="B37" t="s">
        <v>157</v>
      </c>
      <c r="D37" s="16">
        <v>73</v>
      </c>
      <c r="E37" s="186">
        <f t="shared" si="0"/>
        <v>146</v>
      </c>
      <c r="F37" s="291">
        <v>219</v>
      </c>
      <c r="G37" s="20"/>
      <c r="H37" s="16">
        <f>458-F37</f>
        <v>239</v>
      </c>
      <c r="I37" s="94">
        <f t="shared" si="1"/>
        <v>352</v>
      </c>
      <c r="J37" s="94">
        <f t="shared" si="2"/>
        <v>591</v>
      </c>
      <c r="K37" s="94"/>
      <c r="L37" s="16">
        <v>810</v>
      </c>
      <c r="M37" s="112"/>
      <c r="N37" s="112"/>
      <c r="P37" s="25"/>
      <c r="Q37" s="25"/>
      <c r="R37" s="25"/>
      <c r="S37" s="25"/>
      <c r="T37" s="25"/>
      <c r="V37" s="112"/>
      <c r="W37" s="112"/>
      <c r="X37" s="112"/>
      <c r="Z37" s="74"/>
      <c r="AA37" s="74"/>
      <c r="AB37" s="74"/>
      <c r="AC37" s="74"/>
      <c r="AD37" s="74"/>
      <c r="AF37" s="112"/>
      <c r="AG37" s="112"/>
      <c r="AH37" s="112"/>
      <c r="AJ37" s="74"/>
      <c r="AK37" s="74"/>
      <c r="AL37" s="74"/>
      <c r="AM37" s="74"/>
      <c r="AN37" s="74"/>
      <c r="AP37" s="112"/>
      <c r="AQ37" s="112"/>
      <c r="AR37" s="112"/>
      <c r="AT37" s="97"/>
      <c r="AU37" s="97"/>
      <c r="AV37" s="97"/>
      <c r="AW37" s="97"/>
      <c r="AX37" s="97"/>
      <c r="BA37" s="112"/>
      <c r="BB37" s="112"/>
      <c r="BC37" s="112"/>
      <c r="BE37" s="97"/>
      <c r="BF37" s="97"/>
      <c r="BG37" s="97"/>
      <c r="BH37" s="97"/>
      <c r="BI37" s="97"/>
    </row>
    <row r="38" spans="1:61" ht="13.5" customHeight="1">
      <c r="B38" t="s">
        <v>169</v>
      </c>
      <c r="D38" s="16">
        <v>811</v>
      </c>
      <c r="E38" s="186">
        <f t="shared" si="0"/>
        <v>288</v>
      </c>
      <c r="F38" s="291">
        <v>1099</v>
      </c>
      <c r="G38" s="20"/>
      <c r="H38" s="16">
        <f>1219-F38</f>
        <v>120</v>
      </c>
      <c r="I38" s="94">
        <f t="shared" si="1"/>
        <v>230</v>
      </c>
      <c r="J38" s="94">
        <f t="shared" si="2"/>
        <v>350</v>
      </c>
      <c r="K38" s="94"/>
      <c r="L38" s="326">
        <v>1449</v>
      </c>
      <c r="M38" s="112"/>
      <c r="N38" s="112"/>
      <c r="P38" s="25"/>
      <c r="Q38" s="25"/>
      <c r="R38" s="25"/>
      <c r="S38" s="25"/>
      <c r="T38" s="25"/>
      <c r="V38" s="112"/>
      <c r="W38" s="112"/>
      <c r="X38" s="112"/>
      <c r="Z38" s="74"/>
      <c r="AA38" s="74"/>
      <c r="AB38" s="74"/>
      <c r="AC38" s="74"/>
      <c r="AD38" s="74"/>
      <c r="AF38" s="112"/>
      <c r="AG38" s="112"/>
      <c r="AH38" s="112"/>
      <c r="AJ38" s="74"/>
      <c r="AK38" s="74"/>
      <c r="AL38" s="74"/>
      <c r="AM38" s="74"/>
      <c r="AN38" s="74"/>
      <c r="AP38" s="112"/>
      <c r="AQ38" s="112"/>
      <c r="AR38" s="112"/>
      <c r="AT38" s="97"/>
      <c r="AU38" s="97"/>
      <c r="AV38" s="97"/>
      <c r="AW38" s="97"/>
      <c r="AX38" s="97"/>
      <c r="BA38" s="112"/>
      <c r="BB38" s="112"/>
      <c r="BC38" s="112"/>
      <c r="BE38" s="97"/>
      <c r="BF38" s="97"/>
      <c r="BG38" s="97"/>
      <c r="BH38" s="97"/>
      <c r="BI38" s="97"/>
    </row>
    <row r="39" spans="1:61" ht="13.5" customHeight="1">
      <c r="B39" t="s">
        <v>170</v>
      </c>
      <c r="D39" s="16">
        <v>91</v>
      </c>
      <c r="E39" s="186">
        <f t="shared" si="0"/>
        <v>199</v>
      </c>
      <c r="F39" s="291">
        <v>290</v>
      </c>
      <c r="G39" s="20"/>
      <c r="H39" s="32">
        <f>359-F39</f>
        <v>69</v>
      </c>
      <c r="I39" s="94">
        <f t="shared" si="1"/>
        <v>745</v>
      </c>
      <c r="J39" s="94">
        <f t="shared" si="2"/>
        <v>814</v>
      </c>
      <c r="K39" s="94"/>
      <c r="L39" s="326">
        <v>1104</v>
      </c>
      <c r="M39" s="112"/>
      <c r="N39" s="112"/>
      <c r="P39" s="25"/>
      <c r="Q39" s="25"/>
      <c r="R39" s="25"/>
      <c r="S39" s="25"/>
      <c r="T39" s="25"/>
      <c r="V39" s="112"/>
      <c r="W39" s="112"/>
      <c r="X39" s="112"/>
      <c r="Z39" s="74"/>
      <c r="AA39" s="74"/>
      <c r="AB39" s="74"/>
      <c r="AC39" s="74"/>
      <c r="AD39" s="74"/>
      <c r="AF39" s="112"/>
      <c r="AG39" s="112"/>
      <c r="AH39" s="112"/>
      <c r="AJ39" s="74"/>
      <c r="AK39" s="74"/>
      <c r="AL39" s="74"/>
      <c r="AM39" s="74"/>
      <c r="AN39" s="74"/>
      <c r="AP39" s="112"/>
      <c r="AQ39" s="112"/>
      <c r="AR39" s="112"/>
      <c r="AT39" s="97"/>
      <c r="AU39" s="97"/>
      <c r="AV39" s="97"/>
      <c r="AW39" s="97"/>
      <c r="AX39" s="97"/>
      <c r="BA39" s="112"/>
      <c r="BB39" s="112"/>
      <c r="BC39" s="112"/>
      <c r="BE39" s="97"/>
      <c r="BF39" s="97"/>
      <c r="BG39" s="97"/>
      <c r="BH39" s="97"/>
      <c r="BI39" s="97"/>
    </row>
    <row r="40" spans="1:61" ht="13.5" customHeight="1" thickBot="1">
      <c r="B40" s="12" t="s">
        <v>43</v>
      </c>
      <c r="C40" s="12"/>
      <c r="D40" s="13">
        <v>503</v>
      </c>
      <c r="E40" s="185">
        <f t="shared" ref="E40:E46" si="3">F40-D40</f>
        <v>1164</v>
      </c>
      <c r="F40" s="298">
        <v>1667</v>
      </c>
      <c r="G40" s="113"/>
      <c r="H40" s="13">
        <f>H35-H36+H37+H38-H39</f>
        <v>1041</v>
      </c>
      <c r="I40" s="94">
        <f t="shared" si="1"/>
        <v>1958</v>
      </c>
      <c r="J40" s="94">
        <f t="shared" si="2"/>
        <v>2999</v>
      </c>
      <c r="K40" s="155"/>
      <c r="L40" s="13">
        <v>4666</v>
      </c>
      <c r="M40" s="112"/>
      <c r="N40" s="112"/>
      <c r="P40" s="112"/>
      <c r="Q40" s="25"/>
      <c r="R40" s="25"/>
      <c r="S40" s="25"/>
      <c r="T40" s="25"/>
      <c r="V40" s="112"/>
      <c r="W40" s="112"/>
      <c r="X40" s="112"/>
      <c r="Z40" s="74"/>
      <c r="AA40" s="74"/>
      <c r="AB40" s="74"/>
      <c r="AC40" s="74"/>
      <c r="AD40" s="74"/>
      <c r="AF40" s="112"/>
      <c r="AG40" s="112"/>
      <c r="AH40" s="112"/>
      <c r="AJ40" s="74"/>
      <c r="AK40" s="74"/>
      <c r="AL40" s="74"/>
      <c r="AM40" s="74"/>
      <c r="AN40" s="74"/>
      <c r="AP40" s="112"/>
      <c r="AQ40" s="112"/>
      <c r="AR40" s="112"/>
      <c r="AT40" s="97"/>
      <c r="AU40" s="97"/>
      <c r="AV40" s="97"/>
      <c r="AW40" s="97"/>
      <c r="AX40" s="97"/>
      <c r="BA40" s="112"/>
      <c r="BB40" s="112"/>
      <c r="BC40" s="112"/>
      <c r="BE40" s="97"/>
      <c r="BF40" s="97"/>
      <c r="BG40" s="97"/>
      <c r="BH40" s="97"/>
      <c r="BI40" s="97"/>
    </row>
    <row r="41" spans="1:61" ht="13.5" customHeight="1">
      <c r="B41" t="s">
        <v>158</v>
      </c>
      <c r="D41" s="16">
        <v>50</v>
      </c>
      <c r="E41" s="186">
        <f t="shared" si="3"/>
        <v>64</v>
      </c>
      <c r="F41" s="291">
        <v>114</v>
      </c>
      <c r="G41" s="20"/>
      <c r="H41" s="16">
        <f>175-F41</f>
        <v>61</v>
      </c>
      <c r="I41" s="337">
        <f t="shared" ref="I41:I46" si="4">J41-H41</f>
        <v>33</v>
      </c>
      <c r="J41" s="337">
        <f t="shared" ref="J41:J46" si="5">L41-F41</f>
        <v>94</v>
      </c>
      <c r="K41" s="94"/>
      <c r="L41" s="327">
        <v>208</v>
      </c>
      <c r="M41" s="112"/>
      <c r="N41" s="112"/>
      <c r="P41" s="25"/>
      <c r="Q41" s="25"/>
      <c r="R41" s="25"/>
      <c r="S41" s="25"/>
      <c r="T41" s="25"/>
      <c r="V41" s="112"/>
      <c r="W41" s="112"/>
      <c r="X41" s="112"/>
      <c r="Z41" s="74"/>
      <c r="AA41" s="74"/>
      <c r="AB41" s="74"/>
      <c r="AC41" s="74"/>
      <c r="AD41" s="74"/>
      <c r="AF41" s="112"/>
      <c r="AG41" s="112"/>
      <c r="AH41" s="112"/>
      <c r="AJ41" s="74"/>
      <c r="AK41" s="74"/>
      <c r="AL41" s="74"/>
      <c r="AM41" s="74"/>
      <c r="AN41" s="74"/>
      <c r="AP41" s="112"/>
      <c r="AQ41" s="112"/>
      <c r="AR41" s="112"/>
      <c r="AT41" s="97"/>
      <c r="AU41" s="97"/>
      <c r="AV41" s="97"/>
      <c r="AW41" s="97"/>
      <c r="AX41" s="97"/>
      <c r="BA41" s="112"/>
      <c r="BB41" s="112"/>
      <c r="BC41" s="112"/>
      <c r="BE41" s="97"/>
      <c r="BF41" s="97"/>
      <c r="BG41" s="97"/>
      <c r="BH41" s="97"/>
      <c r="BI41" s="97"/>
    </row>
    <row r="42" spans="1:61" ht="13.5" customHeight="1">
      <c r="B42" t="s">
        <v>159</v>
      </c>
      <c r="D42" s="16">
        <v>109</v>
      </c>
      <c r="E42" s="186">
        <f t="shared" si="3"/>
        <v>93</v>
      </c>
      <c r="F42" s="291">
        <v>202</v>
      </c>
      <c r="G42" s="20"/>
      <c r="H42" s="16">
        <f>293-F42</f>
        <v>91</v>
      </c>
      <c r="I42" s="338">
        <f t="shared" si="4"/>
        <v>94</v>
      </c>
      <c r="J42" s="338">
        <f t="shared" si="5"/>
        <v>185</v>
      </c>
      <c r="K42" s="94"/>
      <c r="L42" s="326">
        <v>387</v>
      </c>
      <c r="M42" s="112"/>
      <c r="N42" s="112"/>
      <c r="P42" s="25"/>
      <c r="Q42" s="25"/>
      <c r="R42" s="25"/>
      <c r="S42" s="25"/>
      <c r="T42" s="25"/>
      <c r="V42" s="112"/>
      <c r="W42" s="112"/>
      <c r="X42" s="112"/>
      <c r="Z42" s="74"/>
      <c r="AA42" s="74"/>
      <c r="AB42" s="74"/>
      <c r="AC42" s="74"/>
      <c r="AD42" s="74"/>
      <c r="AF42" s="112"/>
      <c r="AG42" s="112"/>
      <c r="AH42" s="112"/>
      <c r="AJ42" s="74"/>
      <c r="AK42" s="74"/>
      <c r="AL42" s="74"/>
      <c r="AM42" s="74"/>
      <c r="AN42" s="74"/>
      <c r="AP42" s="112"/>
      <c r="AQ42" s="112"/>
      <c r="AR42" s="112"/>
      <c r="AT42" s="97"/>
      <c r="AU42" s="97"/>
      <c r="AV42" s="97"/>
      <c r="AW42" s="97"/>
      <c r="AX42" s="97"/>
      <c r="BA42" s="112"/>
      <c r="BB42" s="112"/>
      <c r="BC42" s="112"/>
      <c r="BE42" s="97"/>
      <c r="BF42" s="97"/>
      <c r="BG42" s="97"/>
      <c r="BH42" s="97"/>
      <c r="BI42" s="97"/>
    </row>
    <row r="43" spans="1:61" ht="13.5" customHeight="1" thickBot="1">
      <c r="B43" s="12" t="s">
        <v>160</v>
      </c>
      <c r="C43" s="12"/>
      <c r="D43" s="13">
        <v>444</v>
      </c>
      <c r="E43" s="185">
        <f t="shared" si="3"/>
        <v>1135</v>
      </c>
      <c r="F43" s="290">
        <v>1579</v>
      </c>
      <c r="G43" s="113"/>
      <c r="H43" s="13">
        <f>H40+H41-H42</f>
        <v>1011</v>
      </c>
      <c r="I43" s="319">
        <f t="shared" si="4"/>
        <v>1898</v>
      </c>
      <c r="J43" s="329">
        <f t="shared" si="5"/>
        <v>2909</v>
      </c>
      <c r="K43" s="155"/>
      <c r="L43" s="13">
        <v>4488</v>
      </c>
      <c r="M43" s="112"/>
      <c r="N43" s="112"/>
      <c r="P43" s="112"/>
      <c r="Q43" s="25"/>
      <c r="R43" s="25"/>
      <c r="S43" s="25"/>
      <c r="T43" s="25"/>
      <c r="V43" s="112"/>
      <c r="W43" s="112"/>
      <c r="X43" s="112"/>
      <c r="Z43" s="74"/>
      <c r="AA43" s="74"/>
      <c r="AB43" s="74"/>
      <c r="AC43" s="74"/>
      <c r="AD43" s="74"/>
      <c r="AF43" s="112"/>
      <c r="AG43" s="112"/>
      <c r="AH43" s="112"/>
      <c r="AJ43" s="74"/>
      <c r="AK43" s="74"/>
      <c r="AL43" s="74"/>
      <c r="AM43" s="74"/>
      <c r="AN43" s="74"/>
      <c r="AP43" s="112"/>
      <c r="AQ43" s="112"/>
      <c r="AR43" s="112"/>
      <c r="AT43" s="97"/>
      <c r="AU43" s="97"/>
      <c r="AV43" s="97"/>
      <c r="AW43" s="97"/>
      <c r="AX43" s="97"/>
      <c r="BA43" s="112"/>
      <c r="BB43" s="112"/>
      <c r="BC43" s="112"/>
      <c r="BE43" s="97"/>
      <c r="BF43" s="97"/>
      <c r="BG43" s="97"/>
      <c r="BH43" s="97"/>
      <c r="BI43" s="97"/>
    </row>
    <row r="44" spans="1:61" ht="13.5" customHeight="1">
      <c r="B44" s="21" t="s">
        <v>161</v>
      </c>
      <c r="D44" s="16">
        <v>391</v>
      </c>
      <c r="E44" s="186">
        <f t="shared" si="3"/>
        <v>266</v>
      </c>
      <c r="F44" s="291">
        <v>657</v>
      </c>
      <c r="G44" s="20"/>
      <c r="H44" s="16">
        <f>889-F44</f>
        <v>232</v>
      </c>
      <c r="I44" s="25">
        <f t="shared" si="4"/>
        <v>526</v>
      </c>
      <c r="J44" s="25">
        <f t="shared" si="5"/>
        <v>758</v>
      </c>
      <c r="K44" s="94"/>
      <c r="L44" s="16">
        <v>1415</v>
      </c>
      <c r="M44" s="112"/>
      <c r="N44" s="112"/>
      <c r="P44" s="112"/>
      <c r="Q44" s="25"/>
      <c r="R44" s="25"/>
      <c r="S44" s="25"/>
      <c r="T44" s="25"/>
      <c r="V44" s="112"/>
      <c r="W44" s="112"/>
      <c r="X44" s="112"/>
      <c r="Z44" s="74"/>
      <c r="AA44" s="74"/>
      <c r="AB44" s="74"/>
      <c r="AC44" s="74"/>
      <c r="AD44" s="74"/>
      <c r="AF44" s="112"/>
      <c r="AG44" s="112"/>
      <c r="AH44" s="112"/>
      <c r="AJ44" s="74"/>
      <c r="AK44" s="74"/>
      <c r="AL44" s="74"/>
      <c r="AM44" s="74"/>
      <c r="AN44" s="74"/>
      <c r="AP44" s="112"/>
      <c r="AQ44" s="112"/>
      <c r="AR44" s="112"/>
      <c r="AT44" s="97"/>
      <c r="AU44" s="97"/>
      <c r="AV44" s="97"/>
      <c r="AW44" s="97"/>
      <c r="AX44" s="97"/>
      <c r="BA44" s="112"/>
      <c r="BB44" s="112"/>
      <c r="BC44" s="112"/>
      <c r="BE44" s="97"/>
      <c r="BF44" s="97"/>
      <c r="BG44" s="97"/>
      <c r="BH44" s="97"/>
      <c r="BI44" s="97"/>
    </row>
    <row r="45" spans="1:61" ht="13.5" customHeight="1">
      <c r="B45" t="s">
        <v>162</v>
      </c>
      <c r="D45" s="16">
        <v>-145</v>
      </c>
      <c r="E45" s="186">
        <f t="shared" si="3"/>
        <v>793</v>
      </c>
      <c r="F45" s="291">
        <v>648</v>
      </c>
      <c r="G45" s="20"/>
      <c r="H45" s="16">
        <f>1292-F45</f>
        <v>644</v>
      </c>
      <c r="I45" s="94">
        <f t="shared" si="4"/>
        <v>1295</v>
      </c>
      <c r="J45" s="25">
        <f t="shared" si="5"/>
        <v>1939</v>
      </c>
      <c r="K45" s="184"/>
      <c r="L45" s="16">
        <v>2587</v>
      </c>
      <c r="M45" s="112"/>
      <c r="N45" s="112"/>
      <c r="P45" s="112"/>
      <c r="Q45" s="112"/>
      <c r="R45" s="25"/>
      <c r="S45" s="25"/>
      <c r="T45" s="25"/>
      <c r="V45" s="112"/>
      <c r="W45" s="112"/>
      <c r="X45" s="112"/>
      <c r="Z45" s="74"/>
      <c r="AA45" s="112"/>
      <c r="AB45" s="74"/>
      <c r="AC45" s="74"/>
      <c r="AD45" s="74"/>
      <c r="AF45" s="112"/>
      <c r="AG45" s="112"/>
      <c r="AH45" s="112"/>
      <c r="AJ45" s="74"/>
      <c r="AK45" s="74"/>
      <c r="AL45" s="74"/>
      <c r="AM45" s="74"/>
      <c r="AN45" s="74"/>
      <c r="AP45" s="112"/>
      <c r="AQ45" s="112"/>
      <c r="AR45" s="112"/>
      <c r="AT45" s="97"/>
      <c r="AU45" s="97"/>
      <c r="AV45" s="97"/>
      <c r="AW45" s="97"/>
      <c r="AX45" s="97"/>
      <c r="BA45" s="112"/>
      <c r="BB45" s="112"/>
      <c r="BC45" s="112"/>
      <c r="BE45" s="97"/>
      <c r="BF45" s="97"/>
      <c r="BG45" s="97"/>
      <c r="BH45" s="97"/>
      <c r="BI45" s="97"/>
    </row>
    <row r="46" spans="1:61" ht="13.5" customHeight="1" thickBot="1">
      <c r="B46" s="22" t="s">
        <v>163</v>
      </c>
      <c r="C46" s="22"/>
      <c r="D46" s="23">
        <v>198</v>
      </c>
      <c r="E46" s="188">
        <f t="shared" si="3"/>
        <v>76</v>
      </c>
      <c r="F46" s="292">
        <v>274</v>
      </c>
      <c r="G46" s="22"/>
      <c r="H46" s="23">
        <f>408-F46</f>
        <v>134</v>
      </c>
      <c r="I46" s="317">
        <f t="shared" si="4"/>
        <v>77</v>
      </c>
      <c r="J46" s="195">
        <f t="shared" si="5"/>
        <v>211</v>
      </c>
      <c r="K46" s="195"/>
      <c r="L46" s="195">
        <v>485</v>
      </c>
      <c r="M46" s="112"/>
      <c r="N46" s="112"/>
      <c r="P46" s="112"/>
      <c r="Q46" s="112"/>
      <c r="R46" s="25"/>
      <c r="S46" s="25"/>
      <c r="T46" s="25"/>
      <c r="V46" s="112"/>
      <c r="W46" s="112"/>
      <c r="X46" s="112"/>
      <c r="Z46" s="74"/>
      <c r="AA46" s="112"/>
      <c r="AB46" s="74"/>
      <c r="AC46" s="74"/>
      <c r="AD46" s="74"/>
      <c r="AF46" s="112"/>
      <c r="AG46" s="112"/>
      <c r="AH46" s="112"/>
      <c r="AJ46" s="74"/>
      <c r="AK46" s="112"/>
      <c r="AL46" s="74"/>
      <c r="AM46" s="74"/>
      <c r="AN46" s="74"/>
      <c r="AP46" s="112"/>
      <c r="AQ46" s="112"/>
      <c r="AR46" s="112"/>
      <c r="AT46" s="97"/>
      <c r="AU46" s="97"/>
      <c r="AV46" s="97"/>
      <c r="AW46" s="97"/>
      <c r="AX46" s="97"/>
      <c r="BA46" s="112"/>
      <c r="BB46" s="112"/>
      <c r="BC46" s="112"/>
      <c r="BE46" s="97"/>
      <c r="BF46" s="112"/>
      <c r="BG46" s="97"/>
      <c r="BH46" s="97"/>
      <c r="BI46" s="97"/>
    </row>
    <row r="47" spans="1:61" s="3" customFormat="1" ht="17.25" customHeight="1" thickTop="1">
      <c r="A47" s="2"/>
      <c r="D47" s="24"/>
      <c r="E47" s="24"/>
      <c r="F47" s="24"/>
      <c r="M47" s="24"/>
      <c r="N47" s="24"/>
      <c r="V47" s="24"/>
      <c r="W47" s="24"/>
      <c r="X47" s="24"/>
      <c r="AF47" s="24"/>
      <c r="AG47" s="24"/>
      <c r="AH47" s="24"/>
      <c r="AP47" s="24"/>
      <c r="AQ47" s="24"/>
      <c r="AR47" s="24"/>
      <c r="BA47" s="24"/>
      <c r="BB47" s="24"/>
      <c r="BC47" s="24"/>
    </row>
    <row r="48" spans="1:61" s="3" customFormat="1" ht="16.2">
      <c r="A48" s="250" t="s">
        <v>50</v>
      </c>
    </row>
    <row r="49" spans="1:61">
      <c r="B49" t="s">
        <v>1</v>
      </c>
      <c r="D49" s="244" t="str">
        <f>D5</f>
        <v>2025年度　（2025年4月-2026年3月）</v>
      </c>
      <c r="E49" s="244"/>
      <c r="F49" s="244"/>
      <c r="G49" s="244"/>
      <c r="H49" s="244"/>
      <c r="I49" s="244"/>
      <c r="J49" s="244"/>
      <c r="K49" s="244"/>
      <c r="L49" s="244"/>
      <c r="M49" s="5"/>
      <c r="N49" s="5"/>
      <c r="O49" s="5"/>
      <c r="P49" s="5"/>
      <c r="Q49" s="5"/>
      <c r="R49" s="5"/>
      <c r="S49" s="5"/>
      <c r="T49" s="5"/>
      <c r="V49" s="5"/>
      <c r="W49" s="5"/>
      <c r="X49" s="5"/>
      <c r="Y49" s="5"/>
      <c r="Z49" s="5"/>
      <c r="AA49" s="5"/>
      <c r="AB49" s="5"/>
      <c r="AC49" s="5"/>
      <c r="AD49" s="5"/>
      <c r="AF49" s="5"/>
      <c r="AG49" s="5"/>
      <c r="AH49" s="5"/>
      <c r="AI49" s="5"/>
      <c r="AJ49" s="5"/>
      <c r="AK49" s="5"/>
      <c r="AL49" s="5"/>
      <c r="AM49" s="5"/>
      <c r="AN49" s="5"/>
      <c r="AP49" s="5"/>
      <c r="AQ49" s="5"/>
      <c r="AR49" s="5"/>
      <c r="AS49" s="5"/>
      <c r="AT49" s="5"/>
      <c r="AU49" s="5"/>
      <c r="AV49" s="5"/>
      <c r="AW49" s="5"/>
      <c r="AX49" s="5"/>
      <c r="BA49" s="5"/>
      <c r="BB49" s="5"/>
      <c r="BC49" s="5"/>
      <c r="BD49" s="5"/>
      <c r="BE49" s="5"/>
      <c r="BF49" s="5"/>
      <c r="BG49" s="5"/>
      <c r="BH49" s="5"/>
      <c r="BI49" s="5"/>
    </row>
    <row r="50" spans="1:61" ht="3.75" customHeight="1">
      <c r="D50" s="5"/>
      <c r="E50" s="5"/>
      <c r="F50" s="5"/>
      <c r="G50" s="5"/>
      <c r="H50" s="5"/>
      <c r="I50" s="5"/>
      <c r="J50" s="5"/>
      <c r="K50" s="5"/>
      <c r="L50" s="244"/>
      <c r="M50" s="5"/>
      <c r="N50" s="5"/>
      <c r="O50" s="5"/>
      <c r="P50" s="5"/>
      <c r="Q50" s="5"/>
      <c r="R50" s="5"/>
      <c r="S50" s="5"/>
      <c r="T50" s="5"/>
      <c r="V50" s="5"/>
      <c r="W50" s="5"/>
      <c r="X50" s="5"/>
      <c r="Y50" s="5"/>
      <c r="Z50" s="5"/>
      <c r="AA50" s="5"/>
      <c r="AB50" s="5"/>
      <c r="AC50" s="5"/>
      <c r="AD50" s="5"/>
      <c r="AF50" s="5"/>
      <c r="AG50" s="5"/>
      <c r="AH50" s="5"/>
      <c r="AI50" s="5"/>
      <c r="AJ50" s="5"/>
      <c r="AK50" s="5"/>
      <c r="AL50" s="5"/>
      <c r="AM50" s="5"/>
      <c r="AN50" s="5"/>
      <c r="AP50" s="5"/>
      <c r="AQ50" s="5"/>
      <c r="AR50" s="5"/>
      <c r="AS50" s="5"/>
      <c r="AT50" s="5"/>
      <c r="AU50" s="5"/>
      <c r="AV50" s="5"/>
      <c r="AW50" s="5"/>
      <c r="AX50" s="5"/>
      <c r="BA50" s="5"/>
      <c r="BB50" s="5"/>
      <c r="BC50" s="5"/>
      <c r="BD50" s="5"/>
      <c r="BE50" s="5"/>
      <c r="BF50" s="5"/>
      <c r="BG50" s="5"/>
      <c r="BH50" s="5"/>
      <c r="BI50" s="5"/>
    </row>
    <row r="51" spans="1:61">
      <c r="D51" s="6"/>
      <c r="E51" s="6"/>
      <c r="F51" s="7" t="s">
        <v>28</v>
      </c>
      <c r="H51" s="7"/>
      <c r="I51" s="7"/>
      <c r="J51" s="7" t="s">
        <v>29</v>
      </c>
      <c r="L51" s="245" t="s">
        <v>4</v>
      </c>
      <c r="N51" s="8"/>
      <c r="P51" s="8"/>
      <c r="Q51" s="8"/>
      <c r="R51" s="8"/>
      <c r="T51" s="8"/>
      <c r="X51" s="8"/>
      <c r="Z51" s="8"/>
      <c r="AA51" s="8"/>
      <c r="AB51" s="8"/>
      <c r="AD51" s="8"/>
      <c r="AH51" s="8"/>
      <c r="AJ51" s="8"/>
      <c r="AK51" s="8"/>
      <c r="AL51" s="8"/>
      <c r="AN51" s="8"/>
      <c r="AR51" s="8"/>
      <c r="AT51" s="8"/>
      <c r="AU51" s="8"/>
      <c r="AV51" s="8"/>
      <c r="AX51" s="8"/>
      <c r="BC51" s="8"/>
      <c r="BE51" s="8"/>
      <c r="BF51" s="8"/>
      <c r="BG51" s="8"/>
      <c r="BI51" s="8"/>
    </row>
    <row r="52" spans="1:61" s="9" customFormat="1" ht="10.95" customHeight="1">
      <c r="D52" s="9" t="s">
        <v>31</v>
      </c>
      <c r="E52" s="9" t="s">
        <v>32</v>
      </c>
      <c r="F52" s="10" t="s">
        <v>33</v>
      </c>
      <c r="H52" s="9" t="s">
        <v>7</v>
      </c>
      <c r="I52" s="9" t="s">
        <v>8</v>
      </c>
      <c r="J52" s="10"/>
      <c r="L52" s="246"/>
      <c r="N52" s="11"/>
      <c r="R52" s="11"/>
      <c r="T52" s="11"/>
      <c r="X52" s="11"/>
      <c r="AB52" s="11"/>
      <c r="AD52" s="11"/>
      <c r="AH52" s="11"/>
      <c r="AL52" s="11"/>
      <c r="AN52" s="11"/>
      <c r="AR52" s="11"/>
      <c r="AV52" s="11"/>
      <c r="AX52" s="11"/>
      <c r="BC52" s="11"/>
      <c r="BG52" s="11"/>
      <c r="BI52" s="11"/>
    </row>
    <row r="53" spans="1:61" s="9" customFormat="1" ht="10.8">
      <c r="D53" s="9" t="s">
        <v>34</v>
      </c>
      <c r="E53" s="9" t="s">
        <v>35</v>
      </c>
      <c r="F53" s="10" t="s">
        <v>36</v>
      </c>
      <c r="H53" s="9" t="s">
        <v>12</v>
      </c>
      <c r="I53" s="9" t="s">
        <v>13</v>
      </c>
      <c r="J53" s="10" t="s">
        <v>37</v>
      </c>
      <c r="L53" s="246" t="s">
        <v>15</v>
      </c>
      <c r="N53" s="11"/>
      <c r="R53" s="11"/>
      <c r="T53" s="11"/>
      <c r="X53" s="11"/>
      <c r="AB53" s="11"/>
      <c r="AD53" s="11"/>
      <c r="AH53" s="11"/>
      <c r="AL53" s="11"/>
      <c r="AN53" s="11"/>
      <c r="AR53" s="11"/>
      <c r="AV53" s="11"/>
      <c r="AX53" s="11"/>
      <c r="BC53" s="11"/>
      <c r="BG53" s="11"/>
      <c r="BI53" s="11"/>
    </row>
    <row r="54" spans="1:61" s="3" customFormat="1" ht="6.75" customHeight="1">
      <c r="A54" s="2"/>
    </row>
    <row r="55" spans="1:61" ht="13.5" customHeight="1">
      <c r="B55" t="s">
        <v>51</v>
      </c>
      <c r="D55" s="25">
        <v>1824</v>
      </c>
      <c r="E55" s="25">
        <f>F55-D55</f>
        <v>1519</v>
      </c>
      <c r="F55" s="293">
        <v>3343</v>
      </c>
      <c r="G55" s="116"/>
      <c r="H55" s="25">
        <f>3939-F55</f>
        <v>596</v>
      </c>
      <c r="I55" s="25">
        <f>J55-H55</f>
        <v>2261</v>
      </c>
      <c r="J55" s="25">
        <f>L55-F55</f>
        <v>2857</v>
      </c>
      <c r="K55" s="25"/>
      <c r="L55" s="343">
        <v>6200</v>
      </c>
      <c r="M55" s="25"/>
      <c r="N55" s="25"/>
      <c r="O55" s="116"/>
      <c r="P55" s="25"/>
      <c r="Q55" s="25"/>
      <c r="R55" s="25"/>
      <c r="S55" s="25"/>
      <c r="T55" s="25"/>
      <c r="V55" s="25"/>
      <c r="W55" s="25"/>
      <c r="X55" s="25"/>
      <c r="Y55" s="116"/>
      <c r="Z55" s="25"/>
      <c r="AA55" s="25"/>
      <c r="AB55" s="25"/>
      <c r="AC55" s="25"/>
      <c r="AD55" s="25"/>
      <c r="AF55" s="25"/>
      <c r="AG55" s="25"/>
      <c r="AH55" s="25"/>
      <c r="AI55" s="116"/>
      <c r="AJ55" s="25"/>
      <c r="AK55" s="25"/>
      <c r="AL55" s="25"/>
      <c r="AM55" s="25"/>
      <c r="AN55" s="25"/>
      <c r="AP55" s="25"/>
      <c r="AQ55" s="25"/>
      <c r="AR55" s="74"/>
      <c r="AS55" s="116"/>
      <c r="AT55" s="25"/>
      <c r="AU55" s="25"/>
      <c r="AV55" s="25"/>
      <c r="AW55" s="25"/>
      <c r="AX55" s="25"/>
      <c r="BA55" s="25"/>
      <c r="BB55" s="25"/>
      <c r="BC55" s="74"/>
      <c r="BD55" s="116"/>
      <c r="BE55" s="25"/>
      <c r="BF55" s="25"/>
      <c r="BG55" s="25"/>
      <c r="BH55" s="25"/>
      <c r="BI55" s="25"/>
    </row>
    <row r="56" spans="1:61" ht="13.5" customHeight="1">
      <c r="B56" t="s">
        <v>52</v>
      </c>
      <c r="D56" s="307">
        <v>-334</v>
      </c>
      <c r="E56" s="25">
        <f>F56-D56</f>
        <v>-896</v>
      </c>
      <c r="F56" s="293">
        <v>-1230</v>
      </c>
      <c r="G56" s="116"/>
      <c r="H56" s="25">
        <f>-1735-F56</f>
        <v>-505</v>
      </c>
      <c r="I56" s="25">
        <f t="shared" ref="I56:I57" si="6">J56-H56</f>
        <v>-785</v>
      </c>
      <c r="J56" s="25">
        <f>L56-F56</f>
        <v>-1290</v>
      </c>
      <c r="K56" s="25"/>
      <c r="L56" s="343">
        <v>-2520</v>
      </c>
      <c r="M56" s="25"/>
      <c r="N56" s="25"/>
      <c r="O56" s="116"/>
      <c r="P56" s="25"/>
      <c r="Q56" s="25"/>
      <c r="R56" s="25"/>
      <c r="S56" s="25"/>
      <c r="T56" s="25"/>
      <c r="V56" s="25"/>
      <c r="W56" s="25"/>
      <c r="X56" s="25"/>
      <c r="Y56" s="116"/>
      <c r="Z56" s="25"/>
      <c r="AA56" s="25"/>
      <c r="AB56" s="25"/>
      <c r="AC56" s="25"/>
      <c r="AD56" s="25"/>
      <c r="AF56" s="25"/>
      <c r="AG56" s="25"/>
      <c r="AH56" s="25"/>
      <c r="AI56" s="116"/>
      <c r="AJ56" s="25"/>
      <c r="AK56" s="25"/>
      <c r="AL56" s="25"/>
      <c r="AM56" s="25"/>
      <c r="AN56" s="25"/>
      <c r="AP56" s="25"/>
      <c r="AQ56" s="25"/>
      <c r="AR56" s="25"/>
      <c r="AS56" s="116"/>
      <c r="AT56" s="25"/>
      <c r="AU56" s="25"/>
      <c r="AV56" s="25"/>
      <c r="AW56" s="25"/>
      <c r="AX56" s="25"/>
      <c r="BA56" s="25"/>
      <c r="BB56" s="25"/>
      <c r="BC56" s="25"/>
      <c r="BD56" s="116"/>
      <c r="BE56" s="25"/>
      <c r="BF56" s="25"/>
      <c r="BG56" s="25"/>
      <c r="BH56" s="25"/>
      <c r="BI56" s="25"/>
    </row>
    <row r="57" spans="1:61" ht="13.5" customHeight="1">
      <c r="B57" t="s">
        <v>53</v>
      </c>
      <c r="D57" s="25">
        <v>-1432</v>
      </c>
      <c r="E57" s="25">
        <f>F57-D57</f>
        <v>-725</v>
      </c>
      <c r="F57" s="293">
        <v>-2157</v>
      </c>
      <c r="G57" s="116"/>
      <c r="H57" s="25">
        <f>-3048-F57</f>
        <v>-891</v>
      </c>
      <c r="I57" s="25">
        <f t="shared" si="6"/>
        <v>-562</v>
      </c>
      <c r="J57" s="25">
        <f t="shared" ref="J57" si="7">L57-F57</f>
        <v>-1453</v>
      </c>
      <c r="K57" s="25"/>
      <c r="L57" s="344">
        <v>-3610</v>
      </c>
      <c r="M57" s="25"/>
      <c r="N57" s="25"/>
      <c r="O57" s="116"/>
      <c r="P57" s="25"/>
      <c r="Q57" s="25"/>
      <c r="R57" s="25"/>
      <c r="S57" s="25"/>
      <c r="T57" s="25"/>
      <c r="V57" s="25"/>
      <c r="W57" s="25"/>
      <c r="X57" s="25"/>
      <c r="Y57" s="116"/>
      <c r="Z57" s="25"/>
      <c r="AA57" s="25"/>
      <c r="AB57" s="25"/>
      <c r="AC57" s="25"/>
      <c r="AD57" s="25"/>
      <c r="AF57" s="25"/>
      <c r="AG57" s="25"/>
      <c r="AH57" s="25"/>
      <c r="AI57" s="116"/>
      <c r="AJ57" s="25"/>
      <c r="AK57" s="25"/>
      <c r="AL57" s="25"/>
      <c r="AM57" s="25"/>
      <c r="AN57" s="25"/>
      <c r="AP57" s="25"/>
      <c r="AQ57" s="25"/>
      <c r="AR57" s="25"/>
      <c r="AS57" s="116"/>
      <c r="AT57" s="25"/>
      <c r="AU57" s="25"/>
      <c r="AV57" s="25"/>
      <c r="AW57" s="25"/>
      <c r="AX57" s="25"/>
      <c r="BA57" s="25"/>
      <c r="BB57" s="25"/>
      <c r="BC57" s="25"/>
      <c r="BD57" s="116"/>
      <c r="BE57" s="25"/>
      <c r="BF57" s="25"/>
      <c r="BG57" s="25"/>
      <c r="BH57" s="25"/>
      <c r="BI57" s="25"/>
    </row>
    <row r="58" spans="1:61" ht="13.2" customHeight="1">
      <c r="B58" s="27" t="s">
        <v>55</v>
      </c>
      <c r="C58" s="27"/>
      <c r="D58" s="28">
        <v>58</v>
      </c>
      <c r="E58" s="28">
        <f>F58-D58</f>
        <v>-102</v>
      </c>
      <c r="F58" s="294">
        <v>-44</v>
      </c>
      <c r="G58" s="117"/>
      <c r="H58" s="28">
        <f>-844-F58</f>
        <v>-800</v>
      </c>
      <c r="I58" s="28">
        <f>J58-H58</f>
        <v>914</v>
      </c>
      <c r="J58" s="28">
        <f>L58-F58</f>
        <v>114</v>
      </c>
      <c r="K58" s="28"/>
      <c r="L58" s="345">
        <v>70</v>
      </c>
      <c r="M58" s="25"/>
      <c r="N58" s="25"/>
      <c r="O58" s="116"/>
      <c r="P58" s="25"/>
      <c r="Q58" s="25"/>
      <c r="R58" s="25"/>
      <c r="S58" s="25"/>
      <c r="T58" s="25"/>
      <c r="V58" s="25"/>
      <c r="W58" s="25"/>
      <c r="X58" s="25"/>
      <c r="Y58" s="116"/>
      <c r="Z58" s="25"/>
      <c r="AA58" s="25"/>
      <c r="AB58" s="25"/>
      <c r="AC58" s="25"/>
      <c r="AD58" s="25"/>
      <c r="AF58" s="25"/>
      <c r="AG58" s="25"/>
      <c r="AH58" s="25"/>
      <c r="AI58" s="116"/>
      <c r="AJ58" s="25"/>
      <c r="AK58" s="25"/>
      <c r="AL58" s="25"/>
      <c r="AM58" s="25"/>
      <c r="AN58" s="25"/>
      <c r="AP58" s="25"/>
      <c r="AQ58" s="25"/>
      <c r="AR58" s="25"/>
      <c r="AS58" s="116"/>
      <c r="AT58" s="25"/>
      <c r="AU58" s="25"/>
      <c r="AV58" s="25"/>
      <c r="AW58" s="25"/>
      <c r="AX58" s="25"/>
      <c r="BA58" s="25"/>
      <c r="BB58" s="25"/>
      <c r="BC58" s="25"/>
      <c r="BD58" s="116"/>
      <c r="BE58" s="25"/>
      <c r="BF58" s="25"/>
      <c r="BG58" s="25"/>
      <c r="BH58" s="25"/>
      <c r="BI58" s="25"/>
    </row>
    <row r="59" spans="1:61" ht="13.5" customHeight="1">
      <c r="B59" s="27" t="s">
        <v>56</v>
      </c>
      <c r="C59" s="27"/>
      <c r="D59" s="235">
        <v>8466</v>
      </c>
      <c r="E59" s="336">
        <f>F59</f>
        <v>8466</v>
      </c>
      <c r="F59" s="294">
        <v>8466</v>
      </c>
      <c r="G59" s="117"/>
      <c r="H59" s="28">
        <v>8466</v>
      </c>
      <c r="I59" s="28">
        <f>J59</f>
        <v>8466</v>
      </c>
      <c r="J59" s="28">
        <f>L59</f>
        <v>8466</v>
      </c>
      <c r="K59" s="28"/>
      <c r="L59" s="345">
        <v>8466</v>
      </c>
      <c r="M59" s="25"/>
      <c r="N59" s="25"/>
      <c r="O59" s="116"/>
      <c r="P59" s="25"/>
      <c r="Q59" s="25"/>
      <c r="R59" s="25"/>
      <c r="S59" s="25"/>
      <c r="T59" s="25"/>
      <c r="V59" s="25"/>
      <c r="W59" s="25"/>
      <c r="X59" s="25"/>
      <c r="Y59" s="116"/>
      <c r="Z59" s="25"/>
      <c r="AA59" s="25"/>
      <c r="AB59" s="25"/>
      <c r="AC59" s="25"/>
      <c r="AD59" s="25"/>
      <c r="AF59" s="25"/>
      <c r="AG59" s="25"/>
      <c r="AH59" s="25"/>
      <c r="AI59" s="116"/>
      <c r="AJ59" s="25"/>
      <c r="AK59" s="25"/>
      <c r="AL59" s="25"/>
      <c r="AM59" s="25"/>
      <c r="AN59" s="25"/>
      <c r="AP59" s="25"/>
      <c r="AQ59" s="25"/>
      <c r="AR59" s="25"/>
      <c r="AS59" s="116"/>
      <c r="AT59" s="25"/>
      <c r="AU59" s="25"/>
      <c r="AV59" s="25"/>
      <c r="AW59" s="25"/>
      <c r="AX59" s="25"/>
      <c r="BA59" s="25"/>
      <c r="BB59" s="25"/>
      <c r="BC59" s="25"/>
      <c r="BD59" s="116"/>
      <c r="BE59" s="25"/>
      <c r="BF59" s="25"/>
      <c r="BG59" s="25"/>
      <c r="BH59" s="25"/>
      <c r="BI59" s="25"/>
    </row>
    <row r="60" spans="1:61" s="3" customFormat="1" ht="13.5" customHeight="1">
      <c r="A60" s="2"/>
      <c r="B60" s="27" t="s">
        <v>167</v>
      </c>
      <c r="C60" s="30"/>
      <c r="D60" s="28">
        <v>-68</v>
      </c>
      <c r="E60" s="28">
        <f>F60-D60</f>
        <v>37</v>
      </c>
      <c r="F60" s="294">
        <v>-31</v>
      </c>
      <c r="G60" s="117"/>
      <c r="H60" s="28">
        <f>51-F60</f>
        <v>82</v>
      </c>
      <c r="I60" s="28">
        <f t="shared" ref="I60:I61" si="8">J60-H60</f>
        <v>105</v>
      </c>
      <c r="J60" s="28">
        <f t="shared" ref="J60:J61" si="9">L60-F60</f>
        <v>187</v>
      </c>
      <c r="K60" s="28"/>
      <c r="L60" s="345">
        <v>156</v>
      </c>
      <c r="M60" s="25"/>
      <c r="N60" s="25"/>
      <c r="O60" s="116"/>
      <c r="P60" s="25"/>
      <c r="Q60" s="25"/>
      <c r="R60" s="25"/>
      <c r="S60" s="25"/>
      <c r="T60" s="25"/>
      <c r="V60" s="25"/>
      <c r="W60" s="25"/>
      <c r="X60" s="25"/>
      <c r="Y60" s="116"/>
      <c r="Z60" s="25"/>
      <c r="AA60" s="25"/>
      <c r="AB60" s="25"/>
      <c r="AC60" s="25"/>
      <c r="AD60" s="25"/>
      <c r="AF60" s="25"/>
      <c r="AG60" s="25"/>
      <c r="AH60" s="25"/>
      <c r="AI60" s="116"/>
      <c r="AJ60" s="25"/>
      <c r="AK60" s="25"/>
      <c r="AL60" s="25"/>
      <c r="AM60" s="25"/>
      <c r="AN60" s="25"/>
      <c r="AP60" s="25"/>
      <c r="AQ60" s="25"/>
      <c r="AR60" s="25"/>
      <c r="AS60" s="116"/>
      <c r="AT60" s="25"/>
      <c r="AU60" s="25"/>
      <c r="AV60" s="25"/>
      <c r="AW60" s="25"/>
      <c r="AX60" s="25"/>
      <c r="BA60" s="25"/>
      <c r="BB60" s="25"/>
      <c r="BC60" s="25"/>
      <c r="BD60" s="116"/>
      <c r="BE60" s="25"/>
      <c r="BF60" s="25"/>
      <c r="BG60" s="25"/>
      <c r="BH60" s="25"/>
      <c r="BI60" s="25"/>
    </row>
    <row r="61" spans="1:61" s="3" customFormat="1" ht="13.5" customHeight="1">
      <c r="A61" s="2"/>
      <c r="B61" s="34" t="s">
        <v>172</v>
      </c>
      <c r="C61" s="35"/>
      <c r="D61" s="313">
        <v>81</v>
      </c>
      <c r="E61" s="108">
        <f>F61-D61</f>
        <v>0</v>
      </c>
      <c r="F61" s="295">
        <v>81</v>
      </c>
      <c r="G61" s="119"/>
      <c r="H61" s="28">
        <f>81-F61</f>
        <v>0</v>
      </c>
      <c r="I61" s="28">
        <f t="shared" si="8"/>
        <v>0</v>
      </c>
      <c r="J61" s="28">
        <f t="shared" si="9"/>
        <v>0</v>
      </c>
      <c r="K61" s="28"/>
      <c r="L61" s="336">
        <v>81</v>
      </c>
      <c r="M61" s="25"/>
      <c r="N61" s="25"/>
      <c r="O61" s="116"/>
      <c r="P61" s="25"/>
      <c r="Q61" s="25"/>
      <c r="R61" s="25"/>
      <c r="S61" s="25"/>
      <c r="T61" s="25"/>
      <c r="V61" s="25"/>
      <c r="W61" s="25"/>
      <c r="X61" s="25"/>
      <c r="Y61" s="116"/>
      <c r="Z61" s="25"/>
      <c r="AA61" s="25"/>
      <c r="AB61" s="25"/>
      <c r="AC61" s="25"/>
      <c r="AD61" s="25"/>
      <c r="AF61" s="25"/>
      <c r="AG61" s="25"/>
      <c r="AH61" s="25"/>
      <c r="AI61" s="116"/>
      <c r="AJ61" s="25"/>
      <c r="AK61" s="25"/>
      <c r="AL61" s="25"/>
      <c r="AM61" s="25"/>
      <c r="AN61" s="25"/>
      <c r="AP61" s="25"/>
      <c r="AQ61" s="25"/>
      <c r="AR61" s="25"/>
      <c r="AS61" s="116"/>
      <c r="AT61" s="25"/>
      <c r="AU61" s="25"/>
      <c r="AV61" s="25"/>
      <c r="AW61" s="25"/>
      <c r="AX61" s="25"/>
      <c r="BA61" s="25"/>
      <c r="BB61" s="25"/>
      <c r="BC61" s="25"/>
      <c r="BD61" s="116"/>
      <c r="BE61" s="25"/>
      <c r="BF61" s="25"/>
      <c r="BG61" s="25"/>
      <c r="BH61" s="25"/>
      <c r="BI61" s="25"/>
    </row>
    <row r="62" spans="1:61" s="3" customFormat="1" ht="13.5" customHeight="1">
      <c r="A62" s="2"/>
      <c r="B62" s="34" t="s">
        <v>58</v>
      </c>
      <c r="C62" s="35"/>
      <c r="D62" s="108">
        <v>8537</v>
      </c>
      <c r="E62" s="108">
        <f>F62</f>
        <v>8472</v>
      </c>
      <c r="F62" s="295">
        <v>8472</v>
      </c>
      <c r="G62" s="119"/>
      <c r="H62" s="108">
        <v>7754</v>
      </c>
      <c r="I62" s="28">
        <f>J62</f>
        <v>8773</v>
      </c>
      <c r="J62" s="28">
        <f>L62</f>
        <v>8773</v>
      </c>
      <c r="K62" s="162"/>
      <c r="L62" s="346">
        <v>8773</v>
      </c>
      <c r="M62" s="25"/>
      <c r="N62" s="25"/>
      <c r="O62" s="116"/>
      <c r="P62" s="25"/>
      <c r="Q62" s="25"/>
      <c r="R62" s="25"/>
      <c r="S62" s="25"/>
      <c r="T62" s="25"/>
      <c r="V62" s="25"/>
      <c r="W62" s="25"/>
      <c r="X62" s="25"/>
      <c r="Y62" s="116"/>
      <c r="Z62" s="25"/>
      <c r="AA62" s="25"/>
      <c r="AB62" s="25"/>
      <c r="AC62" s="25"/>
      <c r="AD62" s="25"/>
      <c r="AF62" s="25"/>
      <c r="AG62" s="25"/>
      <c r="AH62" s="25"/>
      <c r="AI62" s="116"/>
      <c r="AJ62" s="25"/>
      <c r="AK62" s="25"/>
      <c r="AL62" s="25"/>
      <c r="AM62" s="25"/>
      <c r="AN62" s="25"/>
      <c r="AP62" s="25"/>
      <c r="AQ62" s="25"/>
      <c r="AR62" s="25"/>
      <c r="AS62" s="116"/>
      <c r="AT62" s="25"/>
      <c r="AU62" s="25"/>
      <c r="AV62" s="25"/>
      <c r="AW62" s="25"/>
      <c r="AX62" s="25"/>
      <c r="BA62" s="25"/>
      <c r="BB62" s="25"/>
      <c r="BC62" s="25"/>
      <c r="BD62" s="116"/>
      <c r="BE62" s="25"/>
      <c r="BF62" s="25"/>
      <c r="BG62" s="25"/>
      <c r="BH62" s="25"/>
      <c r="BI62" s="25"/>
    </row>
    <row r="63" spans="1:61" s="3" customFormat="1" ht="17.25" customHeight="1">
      <c r="A63" s="2"/>
      <c r="D63" s="24"/>
      <c r="E63" s="24"/>
      <c r="F63" s="24"/>
      <c r="L63" s="347"/>
      <c r="M63" s="24"/>
      <c r="N63" s="24"/>
      <c r="V63" s="24"/>
      <c r="W63" s="24"/>
      <c r="X63" s="24"/>
      <c r="AF63" s="24"/>
      <c r="AG63" s="24"/>
      <c r="AH63" s="24"/>
      <c r="AP63" s="24"/>
      <c r="AQ63" s="24"/>
      <c r="AR63" s="24"/>
      <c r="BA63" s="24"/>
      <c r="BB63" s="24"/>
      <c r="BC63" s="24"/>
    </row>
    <row r="64" spans="1:61" s="3" customFormat="1" ht="16.2">
      <c r="A64" s="250" t="s">
        <v>59</v>
      </c>
    </row>
    <row r="65" spans="2:61">
      <c r="D65" s="244" t="str">
        <f>D5</f>
        <v>2025年度　（2025年4月-2026年3月）</v>
      </c>
      <c r="E65" s="244"/>
      <c r="F65" s="244"/>
      <c r="G65" s="244"/>
      <c r="H65" s="244"/>
      <c r="I65" s="244"/>
      <c r="J65" s="244"/>
      <c r="K65" s="244"/>
      <c r="L65" s="244"/>
      <c r="M65" s="5"/>
      <c r="N65" s="5"/>
      <c r="O65" s="5"/>
      <c r="P65" s="5"/>
      <c r="Q65" s="5"/>
      <c r="R65" s="5"/>
      <c r="S65" s="5"/>
      <c r="T65" s="5"/>
      <c r="V65" s="5"/>
      <c r="W65" s="5"/>
      <c r="X65" s="5"/>
      <c r="Y65" s="5"/>
      <c r="Z65" s="5"/>
      <c r="AA65" s="5"/>
      <c r="AB65" s="5"/>
      <c r="AC65" s="5"/>
      <c r="AD65" s="5"/>
      <c r="AF65" s="5"/>
      <c r="AG65" s="5"/>
      <c r="AH65" s="5"/>
      <c r="AI65" s="5"/>
      <c r="AJ65" s="5"/>
      <c r="AK65" s="5"/>
      <c r="AL65" s="5"/>
      <c r="AM65" s="5"/>
      <c r="AN65" s="5"/>
      <c r="AP65" s="5"/>
      <c r="AQ65" s="5"/>
      <c r="AR65" s="5"/>
      <c r="AS65" s="5"/>
      <c r="AT65" s="5"/>
      <c r="AU65" s="5"/>
      <c r="AV65" s="5"/>
      <c r="AW65" s="5"/>
      <c r="AX65" s="5"/>
      <c r="BA65" s="5"/>
      <c r="BB65" s="5"/>
      <c r="BC65" s="5"/>
      <c r="BD65" s="5"/>
      <c r="BE65" s="5"/>
      <c r="BF65" s="5"/>
      <c r="BG65" s="5"/>
      <c r="BH65" s="5"/>
      <c r="BI65" s="5"/>
    </row>
    <row r="66" spans="2:61" ht="3.75" customHeight="1">
      <c r="D66" s="5"/>
      <c r="E66" s="5"/>
      <c r="F66" s="5"/>
      <c r="G66" s="5"/>
      <c r="H66" s="5"/>
      <c r="I66" s="5"/>
      <c r="J66" s="5"/>
      <c r="K66" s="5"/>
      <c r="L66" s="244"/>
      <c r="M66" s="5"/>
      <c r="N66" s="5"/>
      <c r="O66" s="5"/>
      <c r="P66" s="5"/>
      <c r="Q66" s="5"/>
      <c r="R66" s="5"/>
      <c r="S66" s="5"/>
      <c r="T66" s="5"/>
      <c r="V66" s="5"/>
      <c r="W66" s="5"/>
      <c r="X66" s="5"/>
      <c r="Y66" s="5"/>
      <c r="Z66" s="5"/>
      <c r="AA66" s="5"/>
      <c r="AB66" s="5"/>
      <c r="AC66" s="5"/>
      <c r="AD66" s="5"/>
      <c r="AF66" s="5"/>
      <c r="AG66" s="5"/>
      <c r="AH66" s="5"/>
      <c r="AI66" s="5"/>
      <c r="AJ66" s="5"/>
      <c r="AK66" s="5"/>
      <c r="AL66" s="5"/>
      <c r="AM66" s="5"/>
      <c r="AN66" s="5"/>
      <c r="AP66" s="5"/>
      <c r="AQ66" s="5"/>
      <c r="AR66" s="5"/>
      <c r="AS66" s="5"/>
      <c r="AT66" s="5"/>
      <c r="AU66" s="5"/>
      <c r="AV66" s="5"/>
      <c r="AW66" s="5"/>
      <c r="AX66" s="5"/>
      <c r="BA66" s="5"/>
      <c r="BB66" s="5"/>
      <c r="BC66" s="5"/>
      <c r="BD66" s="5"/>
      <c r="BE66" s="5"/>
      <c r="BF66" s="5"/>
      <c r="BG66" s="5"/>
      <c r="BH66" s="5"/>
      <c r="BI66" s="5"/>
    </row>
    <row r="67" spans="2:61">
      <c r="D67" s="6"/>
      <c r="E67" s="6"/>
      <c r="F67" s="7" t="s">
        <v>28</v>
      </c>
      <c r="H67" s="7"/>
      <c r="I67" s="7"/>
      <c r="J67" s="7" t="s">
        <v>29</v>
      </c>
      <c r="L67" s="245" t="s">
        <v>4</v>
      </c>
      <c r="N67" s="8"/>
      <c r="P67" s="8"/>
      <c r="Q67" s="8"/>
      <c r="R67" s="8"/>
      <c r="T67" s="8"/>
      <c r="X67" s="8"/>
      <c r="Z67" s="8"/>
      <c r="AA67" s="8"/>
      <c r="AB67" s="8"/>
      <c r="AD67" s="8"/>
      <c r="AH67" s="8"/>
      <c r="AJ67" s="8"/>
      <c r="AK67" s="8"/>
      <c r="AL67" s="8"/>
      <c r="AN67" s="8"/>
      <c r="AR67" s="8"/>
      <c r="AT67" s="8"/>
      <c r="AU67" s="8"/>
      <c r="AV67" s="8"/>
      <c r="AX67" s="8"/>
      <c r="BC67" s="8"/>
      <c r="BE67" s="8"/>
      <c r="BF67" s="8"/>
      <c r="BG67" s="8"/>
      <c r="BI67" s="8"/>
    </row>
    <row r="68" spans="2:61" s="9" customFormat="1" ht="10.8">
      <c r="D68" s="9" t="s">
        <v>31</v>
      </c>
      <c r="E68" s="9" t="s">
        <v>32</v>
      </c>
      <c r="F68" s="10" t="s">
        <v>33</v>
      </c>
      <c r="H68" s="9" t="s">
        <v>7</v>
      </c>
      <c r="I68" s="9" t="s">
        <v>8</v>
      </c>
      <c r="J68" s="10"/>
      <c r="L68" s="246"/>
      <c r="N68" s="11"/>
      <c r="R68" s="11"/>
      <c r="T68" s="11"/>
      <c r="X68" s="11"/>
      <c r="AB68" s="11"/>
      <c r="AD68" s="11"/>
      <c r="AH68" s="11"/>
      <c r="AL68" s="11"/>
      <c r="AN68" s="11"/>
      <c r="AR68" s="11"/>
      <c r="AV68" s="11"/>
      <c r="AX68" s="11"/>
      <c r="BC68" s="11"/>
      <c r="BG68" s="11"/>
      <c r="BI68" s="11"/>
    </row>
    <row r="69" spans="2:61" s="9" customFormat="1" ht="10.8">
      <c r="D69" s="9" t="s">
        <v>34</v>
      </c>
      <c r="E69" s="9" t="s">
        <v>35</v>
      </c>
      <c r="F69" s="10" t="s">
        <v>36</v>
      </c>
      <c r="H69" s="9" t="s">
        <v>12</v>
      </c>
      <c r="I69" s="9" t="s">
        <v>13</v>
      </c>
      <c r="J69" s="10" t="s">
        <v>37</v>
      </c>
      <c r="L69" s="246" t="s">
        <v>15</v>
      </c>
      <c r="N69" s="11"/>
      <c r="R69" s="11"/>
      <c r="T69" s="11"/>
      <c r="X69" s="11"/>
      <c r="AB69" s="11"/>
      <c r="AD69" s="11"/>
      <c r="AH69" s="11"/>
      <c r="AL69" s="11"/>
      <c r="AN69" s="11"/>
      <c r="AR69" s="11"/>
      <c r="AV69" s="11"/>
      <c r="AX69" s="11"/>
      <c r="BC69" s="11"/>
      <c r="BG69" s="11"/>
      <c r="BI69" s="11"/>
    </row>
    <row r="70" spans="2:61" s="9" customFormat="1" ht="5.0999999999999996" customHeight="1">
      <c r="F70" s="11"/>
      <c r="J70" s="11"/>
      <c r="L70" s="11"/>
      <c r="N70" s="11"/>
      <c r="R70" s="11"/>
      <c r="T70" s="11"/>
      <c r="X70" s="11"/>
      <c r="AB70" s="11"/>
      <c r="AD70" s="11"/>
      <c r="AH70" s="11"/>
      <c r="AL70" s="11"/>
      <c r="AN70" s="11"/>
      <c r="AR70" s="11"/>
      <c r="AV70" s="11"/>
      <c r="AX70" s="11"/>
      <c r="BC70" s="11"/>
      <c r="BG70" s="11"/>
      <c r="BI70" s="11"/>
    </row>
    <row r="71" spans="2:61" ht="13.5" customHeight="1">
      <c r="B71" t="s">
        <v>168</v>
      </c>
      <c r="D71" s="314">
        <v>1119.1099999999999</v>
      </c>
      <c r="E71" s="141"/>
      <c r="F71" s="315">
        <v>1158.79</v>
      </c>
      <c r="G71" s="40"/>
      <c r="H71" s="314">
        <v>1184.96</v>
      </c>
      <c r="I71" s="241"/>
      <c r="J71" s="241"/>
      <c r="K71" s="41"/>
      <c r="L71" s="348">
        <v>1252.75</v>
      </c>
      <c r="M71" s="156"/>
      <c r="N71" s="156"/>
      <c r="O71" s="40"/>
      <c r="P71" s="212"/>
      <c r="Q71" s="40"/>
      <c r="R71" s="40"/>
      <c r="S71" s="41"/>
      <c r="T71" s="198"/>
      <c r="V71" s="212"/>
      <c r="W71" s="156"/>
      <c r="X71" s="156"/>
      <c r="Y71" s="40"/>
      <c r="Z71" s="156"/>
      <c r="AA71" s="40"/>
      <c r="AB71" s="40"/>
      <c r="AC71" s="41"/>
      <c r="AD71" s="156"/>
      <c r="AF71" s="156"/>
      <c r="AG71" s="156"/>
      <c r="AH71" s="156"/>
      <c r="AI71" s="40"/>
      <c r="AJ71" s="156"/>
      <c r="AK71" s="40"/>
      <c r="AL71" s="40"/>
      <c r="AM71" s="41"/>
      <c r="AN71" s="156"/>
      <c r="AP71" s="156"/>
      <c r="AQ71" s="156"/>
      <c r="AR71" s="156"/>
      <c r="AS71" s="40"/>
      <c r="AT71" s="156"/>
      <c r="AU71" s="40"/>
      <c r="AV71" s="40"/>
      <c r="AW71" s="41"/>
      <c r="AX71" s="156"/>
      <c r="BA71" s="156"/>
      <c r="BB71" s="156"/>
      <c r="BC71" s="156"/>
      <c r="BD71" s="40"/>
      <c r="BE71" s="156"/>
      <c r="BF71" s="40"/>
      <c r="BG71" s="40"/>
      <c r="BH71" s="41"/>
      <c r="BI71" s="156"/>
    </row>
    <row r="72" spans="2:61" ht="13.2" customHeight="1">
      <c r="B72" t="s">
        <v>61</v>
      </c>
      <c r="D72" s="297">
        <v>-5.4</v>
      </c>
      <c r="E72" s="141"/>
      <c r="F72" s="256">
        <v>24.07</v>
      </c>
      <c r="G72" s="40"/>
      <c r="H72" s="331">
        <f>48.04-F72</f>
        <v>23.97</v>
      </c>
      <c r="I72" s="116">
        <f>J72-H72</f>
        <v>48.140000000000015</v>
      </c>
      <c r="J72" s="196">
        <f>L72-F72</f>
        <v>72.110000000000014</v>
      </c>
      <c r="K72" s="197"/>
      <c r="L72" s="196">
        <v>96.18</v>
      </c>
      <c r="M72" s="156"/>
      <c r="N72" s="156"/>
      <c r="O72" s="40"/>
      <c r="P72" s="177"/>
      <c r="Q72" s="116"/>
      <c r="R72" s="196"/>
      <c r="S72" s="197"/>
      <c r="T72" s="196"/>
      <c r="V72" s="177"/>
      <c r="W72" s="156"/>
      <c r="X72" s="156"/>
      <c r="Y72" s="40"/>
      <c r="Z72" s="40"/>
      <c r="AA72" s="116"/>
      <c r="AB72" s="40"/>
      <c r="AC72" s="41"/>
      <c r="AD72" s="40"/>
      <c r="AF72" s="136"/>
      <c r="AG72" s="156"/>
      <c r="AH72" s="156"/>
      <c r="AI72" s="40"/>
      <c r="AJ72" s="40"/>
      <c r="AK72" s="116"/>
      <c r="AL72" s="40"/>
      <c r="AM72" s="41"/>
      <c r="AN72" s="40"/>
      <c r="AP72" s="156"/>
      <c r="AQ72" s="156"/>
      <c r="AR72" s="156"/>
      <c r="AS72" s="40"/>
      <c r="AT72" s="40"/>
      <c r="AU72" s="116"/>
      <c r="AV72" s="40"/>
      <c r="AW72" s="41"/>
      <c r="AX72" s="40"/>
      <c r="BA72" s="156"/>
      <c r="BB72" s="156"/>
      <c r="BC72" s="156"/>
      <c r="BD72" s="40"/>
      <c r="BE72" s="40"/>
      <c r="BF72" s="116"/>
      <c r="BG72" s="40"/>
      <c r="BH72" s="41"/>
      <c r="BI72" s="40"/>
    </row>
    <row r="73" spans="2:61" ht="3.75" customHeight="1">
      <c r="D73" s="38"/>
      <c r="E73" s="141"/>
      <c r="F73" s="255"/>
      <c r="G73" s="40"/>
      <c r="H73" s="40"/>
      <c r="I73" s="241"/>
      <c r="J73" s="40"/>
      <c r="K73" s="41"/>
      <c r="L73" s="40"/>
      <c r="M73" s="156"/>
      <c r="N73" s="156"/>
      <c r="O73" s="40"/>
      <c r="P73" s="40"/>
      <c r="Q73" s="40"/>
      <c r="R73" s="40"/>
      <c r="S73" s="41"/>
      <c r="T73" s="40"/>
      <c r="V73" s="156"/>
      <c r="W73" s="156"/>
      <c r="X73" s="156"/>
      <c r="Y73" s="40"/>
      <c r="Z73" s="40"/>
      <c r="AA73" s="40"/>
      <c r="AB73" s="40"/>
      <c r="AC73" s="41"/>
      <c r="AD73" s="40"/>
      <c r="AF73" s="156"/>
      <c r="AG73" s="156"/>
      <c r="AH73" s="156"/>
      <c r="AI73" s="40"/>
      <c r="AJ73" s="40"/>
      <c r="AK73" s="40"/>
      <c r="AL73" s="40"/>
      <c r="AM73" s="41"/>
      <c r="AN73" s="40"/>
      <c r="AP73" s="156"/>
      <c r="AQ73" s="156"/>
      <c r="AR73" s="156"/>
      <c r="AS73" s="40"/>
      <c r="AT73" s="40"/>
      <c r="AU73" s="40"/>
      <c r="AV73" s="40"/>
      <c r="AW73" s="41"/>
      <c r="AX73" s="40"/>
      <c r="BA73" s="156"/>
      <c r="BB73" s="156"/>
      <c r="BC73" s="156"/>
      <c r="BD73" s="40"/>
      <c r="BE73" s="40"/>
      <c r="BF73" s="40"/>
      <c r="BG73" s="40"/>
      <c r="BH73" s="41"/>
      <c r="BI73" s="40"/>
    </row>
    <row r="74" spans="2:61" s="9" customFormat="1" ht="13.5" customHeight="1">
      <c r="B74" t="s">
        <v>62</v>
      </c>
      <c r="D74" s="306" t="s">
        <v>196</v>
      </c>
      <c r="E74" s="142"/>
      <c r="F74" s="256">
        <v>17</v>
      </c>
      <c r="G74" s="40"/>
      <c r="H74" s="306" t="s">
        <v>196</v>
      </c>
      <c r="I74" s="241"/>
      <c r="J74" s="40">
        <f>L74-F74</f>
        <v>17</v>
      </c>
      <c r="K74" s="43"/>
      <c r="L74" s="40">
        <v>34</v>
      </c>
      <c r="M74" s="40"/>
      <c r="N74" s="40"/>
      <c r="O74" s="40"/>
      <c r="P74" s="135"/>
      <c r="Q74" s="40"/>
      <c r="R74" s="40"/>
      <c r="S74" s="43"/>
      <c r="T74" s="40"/>
      <c r="V74" s="135"/>
      <c r="W74" s="40"/>
      <c r="X74" s="40"/>
      <c r="Y74" s="40"/>
      <c r="Z74" s="135"/>
      <c r="AA74" s="40"/>
      <c r="AB74" s="40"/>
      <c r="AC74" s="43"/>
      <c r="AD74" s="40"/>
      <c r="AF74" s="135"/>
      <c r="AG74" s="40"/>
      <c r="AH74" s="40"/>
      <c r="AI74" s="40"/>
      <c r="AJ74" s="135"/>
      <c r="AK74" s="40"/>
      <c r="AL74" s="40"/>
      <c r="AM74" s="43"/>
      <c r="AN74" s="40"/>
      <c r="AP74" s="40"/>
      <c r="AQ74" s="40"/>
      <c r="AR74" s="40"/>
      <c r="AS74" s="40"/>
      <c r="AT74" s="40"/>
      <c r="AU74" s="40"/>
      <c r="AV74" s="40"/>
      <c r="AW74" s="43"/>
      <c r="AX74" s="40"/>
      <c r="BA74" s="40"/>
      <c r="BB74" s="40"/>
      <c r="BC74" s="40"/>
      <c r="BD74" s="40"/>
      <c r="BE74" s="40"/>
      <c r="BF74" s="40"/>
      <c r="BG74" s="40"/>
      <c r="BH74" s="43"/>
      <c r="BI74" s="40"/>
    </row>
    <row r="75" spans="2:61" s="9" customFormat="1" ht="13.5" customHeight="1">
      <c r="B75" s="44"/>
      <c r="D75" s="40"/>
      <c r="E75" s="40"/>
      <c r="F75" s="256"/>
      <c r="G75" s="40"/>
      <c r="H75" s="40"/>
      <c r="I75" s="40"/>
      <c r="J75" s="40"/>
      <c r="K75" s="40"/>
      <c r="L75" s="40"/>
      <c r="M75" s="40"/>
      <c r="N75" s="40"/>
      <c r="O75" s="40"/>
      <c r="P75" s="40"/>
      <c r="Q75" s="40"/>
      <c r="R75" s="40"/>
      <c r="S75" s="43"/>
      <c r="T75" s="40"/>
      <c r="V75" s="40"/>
      <c r="W75" s="40"/>
      <c r="X75" s="40"/>
      <c r="Y75" s="40"/>
      <c r="Z75" s="40"/>
      <c r="AA75" s="40"/>
      <c r="AB75" s="40"/>
      <c r="AC75" s="43"/>
      <c r="AD75" s="40"/>
      <c r="AF75" s="40"/>
      <c r="AG75" s="40"/>
      <c r="AH75" s="40"/>
      <c r="AI75" s="40"/>
      <c r="AJ75" s="40"/>
      <c r="AK75" s="40"/>
      <c r="AL75" s="40"/>
      <c r="AM75" s="43"/>
      <c r="AN75" s="40"/>
      <c r="AP75" s="40"/>
      <c r="AQ75" s="40"/>
      <c r="AR75" s="40"/>
      <c r="AS75" s="40"/>
      <c r="AT75" s="40"/>
      <c r="AU75" s="40"/>
      <c r="AV75" s="40"/>
      <c r="AW75" s="43"/>
      <c r="AX75" s="40"/>
      <c r="BA75" s="40"/>
      <c r="BB75" s="40"/>
      <c r="BC75" s="40"/>
      <c r="BD75" s="40"/>
      <c r="BE75" s="40"/>
      <c r="BF75" s="40"/>
      <c r="BG75" s="40"/>
      <c r="BH75" s="43"/>
      <c r="BI75" s="40"/>
    </row>
    <row r="76" spans="2:61" s="9" customFormat="1" ht="13.5" customHeight="1">
      <c r="B76" t="s">
        <v>63</v>
      </c>
      <c r="D76" s="40"/>
      <c r="E76" s="40"/>
      <c r="F76" s="256"/>
      <c r="G76" s="40"/>
      <c r="H76" s="40"/>
      <c r="I76" s="40"/>
      <c r="J76" s="40"/>
      <c r="K76" s="40"/>
      <c r="L76" s="40"/>
      <c r="M76" s="40"/>
      <c r="N76" s="40"/>
      <c r="O76" s="40"/>
      <c r="P76" s="40"/>
      <c r="Q76" s="40"/>
      <c r="R76" s="40"/>
      <c r="S76" s="43"/>
      <c r="T76" s="40"/>
      <c r="V76" s="40"/>
      <c r="W76" s="40"/>
      <c r="X76" s="40"/>
      <c r="Y76" s="40"/>
      <c r="Z76" s="40"/>
      <c r="AA76" s="40"/>
      <c r="AB76" s="40"/>
      <c r="AC76" s="43"/>
      <c r="AD76" s="40"/>
      <c r="AF76" s="40"/>
      <c r="AG76" s="40"/>
      <c r="AH76" s="40"/>
      <c r="AI76" s="40"/>
      <c r="AJ76" s="40"/>
      <c r="AK76" s="40"/>
      <c r="AL76" s="40"/>
      <c r="AM76" s="43"/>
      <c r="AN76" s="40"/>
      <c r="AP76" s="40"/>
      <c r="AQ76" s="40"/>
      <c r="AR76" s="40"/>
      <c r="AS76" s="40"/>
      <c r="AT76" s="40"/>
      <c r="AU76" s="40"/>
      <c r="AV76" s="40"/>
      <c r="AW76" s="43"/>
      <c r="AX76" s="40"/>
      <c r="BA76" s="40"/>
      <c r="BB76" s="40"/>
      <c r="BC76" s="40"/>
      <c r="BD76" s="40"/>
      <c r="BE76" s="40"/>
      <c r="BF76" s="40"/>
      <c r="BG76" s="40"/>
      <c r="BH76" s="43"/>
      <c r="BI76" s="40"/>
    </row>
    <row r="77" spans="2:61" s="9" customFormat="1" ht="13.5" customHeight="1">
      <c r="B77" t="s">
        <v>64</v>
      </c>
      <c r="D77" s="46">
        <v>2706767</v>
      </c>
      <c r="E77" s="124"/>
      <c r="F77" s="257">
        <v>2706767</v>
      </c>
      <c r="G77" s="46"/>
      <c r="H77" s="257">
        <v>2706767</v>
      </c>
      <c r="I77" s="124"/>
      <c r="J77" s="124"/>
      <c r="K77" s="48"/>
      <c r="L77" s="46">
        <v>2706767</v>
      </c>
      <c r="M77" s="157"/>
      <c r="N77" s="157"/>
      <c r="O77" s="157"/>
      <c r="P77" s="157"/>
      <c r="Q77" s="157"/>
      <c r="R77" s="157"/>
      <c r="S77" s="213"/>
      <c r="T77" s="157"/>
      <c r="V77" s="157"/>
      <c r="W77" s="157"/>
      <c r="X77" s="157"/>
      <c r="Y77" s="157"/>
      <c r="Z77" s="157"/>
      <c r="AA77" s="157"/>
      <c r="AB77" s="157"/>
      <c r="AC77" s="213"/>
      <c r="AD77" s="157"/>
      <c r="AF77" s="157"/>
      <c r="AG77" s="157"/>
      <c r="AH77" s="157"/>
      <c r="AI77" s="157"/>
      <c r="AJ77" s="157"/>
      <c r="AK77" s="157"/>
      <c r="AL77" s="157"/>
      <c r="AM77" s="213"/>
      <c r="AN77" s="157"/>
      <c r="AP77" s="157"/>
      <c r="AQ77" s="157"/>
      <c r="AR77" s="157"/>
      <c r="AS77" s="157"/>
      <c r="AT77" s="157"/>
      <c r="AU77" s="157"/>
      <c r="AV77" s="157"/>
      <c r="AW77" s="213"/>
      <c r="AX77" s="157"/>
      <c r="BA77" s="157"/>
      <c r="BB77" s="157"/>
      <c r="BC77" s="157"/>
      <c r="BD77" s="157"/>
      <c r="BE77" s="157"/>
      <c r="BF77" s="157"/>
      <c r="BG77" s="157"/>
      <c r="BH77" s="213"/>
      <c r="BI77" s="157"/>
    </row>
    <row r="78" spans="2:61" s="9" customFormat="1" ht="13.5" customHeight="1">
      <c r="B78" t="s">
        <v>65</v>
      </c>
      <c r="D78" s="46">
        <v>16692</v>
      </c>
      <c r="E78" s="124"/>
      <c r="F78" s="257">
        <v>16848</v>
      </c>
      <c r="G78" s="46"/>
      <c r="H78" s="46">
        <v>16850</v>
      </c>
      <c r="I78" s="124"/>
      <c r="J78" s="124"/>
      <c r="K78" s="48"/>
      <c r="L78" s="157">
        <v>16874</v>
      </c>
      <c r="M78" s="157"/>
      <c r="N78" s="157"/>
      <c r="O78" s="157"/>
      <c r="P78" s="157"/>
      <c r="Q78" s="157"/>
      <c r="R78" s="157"/>
      <c r="S78" s="213"/>
      <c r="T78" s="157"/>
      <c r="V78" s="157"/>
      <c r="W78" s="157"/>
      <c r="X78" s="157"/>
      <c r="Y78" s="157"/>
      <c r="Z78" s="157"/>
      <c r="AA78" s="157"/>
      <c r="AB78" s="157"/>
      <c r="AC78" s="213"/>
      <c r="AD78" s="157"/>
      <c r="AF78" s="157"/>
      <c r="AG78" s="157"/>
      <c r="AH78" s="157"/>
      <c r="AI78" s="157"/>
      <c r="AJ78" s="157"/>
      <c r="AK78" s="157"/>
      <c r="AL78" s="157"/>
      <c r="AM78" s="213"/>
      <c r="AN78" s="157"/>
      <c r="AP78" s="157"/>
      <c r="AQ78" s="157"/>
      <c r="AR78" s="157"/>
      <c r="AS78" s="157"/>
      <c r="AT78" s="157"/>
      <c r="AU78" s="157"/>
      <c r="AV78" s="157"/>
      <c r="AW78" s="213"/>
      <c r="AX78" s="157"/>
      <c r="BA78" s="157"/>
      <c r="BB78" s="157"/>
      <c r="BC78" s="157"/>
      <c r="BD78" s="157"/>
      <c r="BE78" s="157"/>
      <c r="BF78" s="157"/>
      <c r="BG78" s="157"/>
      <c r="BH78" s="213"/>
      <c r="BI78" s="157"/>
    </row>
    <row r="79" spans="2:61" s="9" customFormat="1" ht="13.5" customHeight="1">
      <c r="B79" t="s">
        <v>66</v>
      </c>
      <c r="D79" s="46">
        <v>2690012</v>
      </c>
      <c r="E79" s="124"/>
      <c r="F79" s="257">
        <v>2690017</v>
      </c>
      <c r="G79" s="46"/>
      <c r="H79" s="332">
        <v>2689984</v>
      </c>
      <c r="I79" s="124"/>
      <c r="J79" s="124"/>
      <c r="K79" s="48"/>
      <c r="L79" s="157">
        <v>2689963</v>
      </c>
      <c r="M79" s="157"/>
      <c r="N79" s="157"/>
      <c r="O79" s="157"/>
      <c r="P79" s="157"/>
      <c r="Q79" s="157"/>
      <c r="R79" s="157"/>
      <c r="S79" s="213"/>
      <c r="T79" s="157"/>
      <c r="V79" s="157"/>
      <c r="W79" s="157"/>
      <c r="X79" s="157"/>
      <c r="Y79" s="157"/>
      <c r="Z79" s="157"/>
      <c r="AA79" s="157"/>
      <c r="AB79" s="157"/>
      <c r="AC79" s="213"/>
      <c r="AD79" s="157"/>
      <c r="AF79" s="157"/>
      <c r="AG79" s="157"/>
      <c r="AH79" s="157"/>
      <c r="AI79" s="157"/>
      <c r="AJ79" s="157"/>
      <c r="AK79" s="157"/>
      <c r="AL79" s="157"/>
      <c r="AM79" s="213"/>
      <c r="AN79" s="157"/>
      <c r="AP79" s="157"/>
      <c r="AQ79" s="157"/>
      <c r="AR79" s="157"/>
      <c r="AS79" s="157"/>
      <c r="AT79" s="157"/>
      <c r="AU79" s="157"/>
      <c r="AV79" s="157"/>
      <c r="AW79" s="213"/>
      <c r="AX79" s="157"/>
      <c r="BA79" s="157"/>
      <c r="BB79" s="157"/>
      <c r="BC79" s="157"/>
      <c r="BD79" s="157"/>
      <c r="BE79" s="157"/>
      <c r="BF79" s="157"/>
      <c r="BG79" s="157"/>
      <c r="BH79" s="213"/>
      <c r="BI79" s="157"/>
    </row>
    <row r="80" spans="2:61" s="9" customFormat="1">
      <c r="B80"/>
      <c r="D80" s="199"/>
      <c r="E80" s="43"/>
      <c r="F80" s="296"/>
      <c r="G80" s="43"/>
      <c r="H80" s="43"/>
      <c r="I80" s="43"/>
      <c r="J80" s="43"/>
      <c r="K80" s="43"/>
      <c r="L80" s="40"/>
      <c r="M80" s="43"/>
      <c r="N80" s="45"/>
      <c r="O80" s="43"/>
      <c r="P80" s="43"/>
      <c r="Q80" s="43"/>
      <c r="R80" s="45"/>
      <c r="S80" s="43"/>
      <c r="T80" s="43"/>
      <c r="V80" s="43"/>
      <c r="W80" s="43"/>
      <c r="X80" s="45"/>
      <c r="Y80" s="43"/>
      <c r="Z80" s="43"/>
      <c r="AA80" s="43"/>
      <c r="AB80" s="45"/>
      <c r="AC80" s="43"/>
      <c r="AD80" s="43"/>
      <c r="AF80" s="43"/>
      <c r="AG80" s="43"/>
      <c r="AH80" s="45"/>
      <c r="AI80" s="43"/>
      <c r="AJ80" s="43"/>
      <c r="AK80" s="43"/>
      <c r="AL80" s="45"/>
      <c r="AM80" s="43"/>
      <c r="AN80" s="43"/>
      <c r="AP80" s="43"/>
      <c r="AQ80" s="43"/>
      <c r="AR80" s="45"/>
      <c r="AS80" s="43"/>
      <c r="AT80" s="43"/>
      <c r="AU80" s="43"/>
      <c r="AV80" s="45"/>
      <c r="AW80" s="43"/>
      <c r="AX80" s="43"/>
      <c r="BA80" s="43"/>
      <c r="BB80" s="43"/>
      <c r="BC80" s="45"/>
      <c r="BD80" s="43"/>
      <c r="BE80" s="43"/>
      <c r="BF80" s="43"/>
      <c r="BG80" s="45"/>
      <c r="BH80" s="43"/>
      <c r="BI80" s="43"/>
    </row>
    <row r="81" spans="1:61" s="9" customFormat="1">
      <c r="A81" s="250" t="s">
        <v>67</v>
      </c>
      <c r="B81"/>
      <c r="D81" s="43"/>
      <c r="E81" s="43"/>
      <c r="F81" s="296"/>
      <c r="G81" s="43"/>
      <c r="H81" s="43"/>
      <c r="I81" s="43"/>
      <c r="J81" s="43"/>
      <c r="K81" s="43"/>
      <c r="L81" s="40"/>
      <c r="M81" s="43"/>
      <c r="N81" s="45"/>
      <c r="O81" s="43"/>
      <c r="P81" s="43"/>
      <c r="Q81" s="43"/>
      <c r="R81" s="45"/>
      <c r="S81" s="43"/>
      <c r="T81" s="43"/>
      <c r="V81" s="43"/>
      <c r="W81" s="43"/>
      <c r="X81" s="45"/>
      <c r="Y81" s="43"/>
      <c r="Z81" s="43"/>
      <c r="AA81" s="43"/>
      <c r="AB81" s="45"/>
      <c r="AC81" s="43"/>
      <c r="AD81" s="43"/>
      <c r="AF81" s="43"/>
      <c r="AG81" s="43"/>
      <c r="AH81" s="45"/>
      <c r="AI81" s="43"/>
      <c r="AJ81" s="43"/>
      <c r="AK81" s="43"/>
      <c r="AL81" s="45"/>
      <c r="AM81" s="43"/>
      <c r="AN81" s="43"/>
      <c r="AP81" s="43"/>
      <c r="AQ81" s="43"/>
      <c r="AR81" s="45"/>
      <c r="AS81" s="43"/>
      <c r="AT81" s="43"/>
      <c r="AU81" s="43"/>
      <c r="AV81" s="45"/>
      <c r="AW81" s="43"/>
      <c r="AX81" s="43"/>
      <c r="BA81" s="43"/>
      <c r="BB81" s="43"/>
      <c r="BC81" s="45"/>
      <c r="BD81" s="43"/>
      <c r="BE81" s="43"/>
      <c r="BF81" s="43"/>
      <c r="BG81" s="45"/>
      <c r="BH81" s="43"/>
      <c r="BI81" s="43"/>
    </row>
    <row r="82" spans="1:61" s="9" customFormat="1" ht="13.5" customHeight="1">
      <c r="B82" t="s">
        <v>149</v>
      </c>
      <c r="D82" s="46">
        <v>30105</v>
      </c>
      <c r="E82" s="124"/>
      <c r="F82" s="257">
        <v>31171</v>
      </c>
      <c r="G82" s="40"/>
      <c r="H82" s="46">
        <f>H22</f>
        <v>31874</v>
      </c>
      <c r="I82" s="124"/>
      <c r="J82" s="124"/>
      <c r="K82" s="40"/>
      <c r="L82" s="157">
        <v>33698</v>
      </c>
      <c r="M82" s="157"/>
      <c r="N82" s="157"/>
      <c r="O82" s="40"/>
      <c r="P82" s="157"/>
      <c r="Q82" s="157"/>
      <c r="R82" s="157"/>
      <c r="S82" s="40"/>
      <c r="T82" s="157"/>
      <c r="V82" s="157"/>
      <c r="W82" s="157"/>
      <c r="X82" s="157"/>
      <c r="Y82" s="40"/>
      <c r="Z82" s="157"/>
      <c r="AA82" s="157"/>
      <c r="AB82" s="157"/>
      <c r="AC82" s="40"/>
      <c r="AD82" s="157"/>
      <c r="AF82" s="157"/>
      <c r="AG82" s="157"/>
      <c r="AH82" s="157"/>
      <c r="AI82" s="40"/>
      <c r="AJ82" s="157"/>
      <c r="AK82" s="157"/>
      <c r="AL82" s="157"/>
      <c r="AM82" s="40"/>
      <c r="AN82" s="157"/>
      <c r="AP82" s="157"/>
      <c r="AQ82" s="157"/>
      <c r="AR82" s="157"/>
      <c r="AS82" s="40"/>
      <c r="AT82" s="157"/>
      <c r="AU82" s="157"/>
      <c r="AV82" s="157"/>
      <c r="AW82" s="40"/>
      <c r="AX82" s="157"/>
      <c r="BA82" s="157"/>
      <c r="BB82" s="157"/>
      <c r="BC82" s="157"/>
      <c r="BD82" s="40"/>
      <c r="BE82" s="157"/>
      <c r="BF82" s="157"/>
      <c r="BG82" s="157"/>
      <c r="BH82" s="40"/>
      <c r="BI82" s="157"/>
    </row>
    <row r="83" spans="1:61" s="9" customFormat="1" ht="13.5" customHeight="1">
      <c r="B83" t="s">
        <v>150</v>
      </c>
      <c r="D83" s="49">
        <v>0.34899999999999998</v>
      </c>
      <c r="E83" s="141"/>
      <c r="F83" s="259">
        <v>0.35799999999999998</v>
      </c>
      <c r="G83" s="50"/>
      <c r="H83" s="49">
        <v>0.35299999999999998</v>
      </c>
      <c r="I83" s="141"/>
      <c r="J83" s="141"/>
      <c r="K83" s="50"/>
      <c r="L83" s="49">
        <v>0.371</v>
      </c>
      <c r="M83" s="156"/>
      <c r="N83" s="158"/>
      <c r="O83" s="50"/>
      <c r="P83" s="158"/>
      <c r="Q83" s="156"/>
      <c r="R83" s="156"/>
      <c r="S83" s="50"/>
      <c r="T83" s="158"/>
      <c r="V83" s="158"/>
      <c r="W83" s="156"/>
      <c r="X83" s="158"/>
      <c r="Y83" s="50"/>
      <c r="Z83" s="158"/>
      <c r="AA83" s="156"/>
      <c r="AB83" s="156"/>
      <c r="AC83" s="50"/>
      <c r="AD83" s="158"/>
      <c r="AF83" s="158"/>
      <c r="AG83" s="156"/>
      <c r="AH83" s="158"/>
      <c r="AI83" s="50"/>
      <c r="AJ83" s="158"/>
      <c r="AK83" s="156"/>
      <c r="AL83" s="156"/>
      <c r="AM83" s="50"/>
      <c r="AN83" s="158"/>
      <c r="AP83" s="158"/>
      <c r="AQ83" s="156"/>
      <c r="AR83" s="158"/>
      <c r="AS83" s="50"/>
      <c r="AT83" s="158"/>
      <c r="AU83" s="156"/>
      <c r="AV83" s="156"/>
      <c r="AW83" s="50"/>
      <c r="AX83" s="158"/>
      <c r="BA83" s="158"/>
      <c r="BB83" s="156"/>
      <c r="BC83" s="158"/>
      <c r="BD83" s="50"/>
      <c r="BE83" s="158"/>
      <c r="BF83" s="156"/>
      <c r="BG83" s="156"/>
      <c r="BH83" s="50"/>
      <c r="BI83" s="158"/>
    </row>
    <row r="84" spans="1:61" s="9" customFormat="1" ht="13.5" customHeight="1">
      <c r="B84" t="s">
        <v>151</v>
      </c>
      <c r="D84" s="46">
        <v>18162</v>
      </c>
      <c r="E84" s="124"/>
      <c r="F84" s="257">
        <v>17602</v>
      </c>
      <c r="G84" s="50"/>
      <c r="H84" s="16">
        <v>18310</v>
      </c>
      <c r="I84" s="124"/>
      <c r="J84" s="124"/>
      <c r="K84" s="50"/>
      <c r="L84" s="157">
        <v>17038</v>
      </c>
      <c r="M84" s="157"/>
      <c r="N84" s="157"/>
      <c r="O84" s="50"/>
      <c r="P84" s="157"/>
      <c r="Q84" s="157"/>
      <c r="R84" s="157"/>
      <c r="S84" s="50"/>
      <c r="T84" s="157"/>
      <c r="V84" s="157"/>
      <c r="W84" s="157"/>
      <c r="X84" s="157"/>
      <c r="Y84" s="50"/>
      <c r="Z84" s="157"/>
      <c r="AA84" s="157"/>
      <c r="AB84" s="157"/>
      <c r="AC84" s="50"/>
      <c r="AD84" s="157"/>
      <c r="AF84" s="157"/>
      <c r="AG84" s="157"/>
      <c r="AH84" s="157"/>
      <c r="AI84" s="50"/>
      <c r="AJ84" s="157"/>
      <c r="AK84" s="157"/>
      <c r="AL84" s="157"/>
      <c r="AM84" s="50"/>
      <c r="AN84" s="157"/>
      <c r="AP84" s="157"/>
      <c r="AQ84" s="157"/>
      <c r="AR84" s="157"/>
      <c r="AS84" s="50"/>
      <c r="AT84" s="157"/>
      <c r="AU84" s="157"/>
      <c r="AV84" s="157"/>
      <c r="AW84" s="50"/>
      <c r="AX84" s="157"/>
      <c r="BA84" s="157"/>
      <c r="BB84" s="157"/>
      <c r="BC84" s="157"/>
      <c r="BD84" s="50"/>
      <c r="BE84" s="157"/>
      <c r="BF84" s="157"/>
      <c r="BG84" s="157"/>
      <c r="BH84" s="50"/>
      <c r="BI84" s="157"/>
    </row>
    <row r="85" spans="1:61" s="9" customFormat="1" ht="13.5" customHeight="1">
      <c r="B85" s="302" t="s">
        <v>190</v>
      </c>
      <c r="D85" s="50">
        <v>0.6</v>
      </c>
      <c r="E85" s="142"/>
      <c r="F85" s="260">
        <v>0.56000000000000005</v>
      </c>
      <c r="G85" s="50"/>
      <c r="H85" s="50">
        <v>0.56999999999999995</v>
      </c>
      <c r="I85" s="142"/>
      <c r="J85" s="142"/>
      <c r="K85" s="50"/>
      <c r="L85" s="50">
        <v>0.51</v>
      </c>
      <c r="M85" s="40"/>
      <c r="N85" s="50"/>
      <c r="O85" s="50"/>
      <c r="P85" s="50"/>
      <c r="Q85" s="40"/>
      <c r="R85" s="40"/>
      <c r="S85" s="50"/>
      <c r="T85" s="50"/>
      <c r="V85" s="50"/>
      <c r="W85" s="40"/>
      <c r="X85" s="50"/>
      <c r="Y85" s="50"/>
      <c r="Z85" s="50"/>
      <c r="AA85" s="40"/>
      <c r="AB85" s="40"/>
      <c r="AC85" s="50"/>
      <c r="AD85" s="50"/>
      <c r="AF85" s="50"/>
      <c r="AG85" s="40"/>
      <c r="AH85" s="50"/>
      <c r="AI85" s="50"/>
      <c r="AJ85" s="50"/>
      <c r="AK85" s="40"/>
      <c r="AL85" s="40"/>
      <c r="AM85" s="50"/>
      <c r="AN85" s="50"/>
      <c r="AP85" s="50"/>
      <c r="AQ85" s="40"/>
      <c r="AR85" s="50"/>
      <c r="AS85" s="50"/>
      <c r="AT85" s="50"/>
      <c r="AU85" s="40"/>
      <c r="AV85" s="40"/>
      <c r="AW85" s="50"/>
      <c r="AX85" s="50"/>
      <c r="BA85" s="50"/>
      <c r="BB85" s="40"/>
      <c r="BC85" s="50"/>
      <c r="BD85" s="50"/>
      <c r="BE85" s="50"/>
      <c r="BF85" s="40"/>
      <c r="BG85" s="40"/>
      <c r="BH85" s="50"/>
      <c r="BI85" s="50"/>
    </row>
    <row r="86" spans="1:61" s="9" customFormat="1" ht="13.5" customHeight="1">
      <c r="B86" s="302" t="s">
        <v>191</v>
      </c>
      <c r="D86" s="50">
        <v>0.5</v>
      </c>
      <c r="E86" s="142"/>
      <c r="F86" s="260">
        <v>0.47</v>
      </c>
      <c r="G86" s="50"/>
      <c r="H86" s="50">
        <v>0.48</v>
      </c>
      <c r="I86" s="142"/>
      <c r="J86" s="142"/>
      <c r="K86" s="50"/>
      <c r="L86" s="50">
        <v>0.42</v>
      </c>
      <c r="M86" s="40"/>
      <c r="N86" s="50"/>
      <c r="O86" s="50"/>
      <c r="P86" s="50"/>
      <c r="Q86" s="40"/>
      <c r="R86" s="40"/>
      <c r="S86" s="50"/>
      <c r="T86" s="50"/>
      <c r="V86" s="50"/>
      <c r="W86" s="40"/>
      <c r="X86" s="50"/>
      <c r="Y86" s="50"/>
      <c r="Z86" s="50"/>
      <c r="AA86" s="40"/>
      <c r="AB86" s="40"/>
      <c r="AC86" s="50"/>
      <c r="AD86" s="50"/>
      <c r="AF86" s="50"/>
      <c r="AG86" s="40"/>
      <c r="AH86" s="50"/>
      <c r="AI86" s="50"/>
      <c r="AJ86" s="50"/>
      <c r="AK86" s="40"/>
      <c r="AL86" s="40"/>
      <c r="AM86" s="50"/>
      <c r="AN86" s="50"/>
      <c r="AP86" s="50"/>
      <c r="AQ86" s="40"/>
      <c r="AR86" s="50"/>
      <c r="AS86" s="50"/>
      <c r="AT86" s="50"/>
      <c r="AU86" s="40"/>
      <c r="AV86" s="40"/>
      <c r="AW86" s="50"/>
      <c r="AX86" s="50"/>
      <c r="BA86" s="50"/>
      <c r="BB86" s="40"/>
      <c r="BC86" s="50"/>
      <c r="BD86" s="50"/>
      <c r="BE86" s="50"/>
      <c r="BF86" s="40"/>
      <c r="BG86" s="40"/>
      <c r="BH86" s="50"/>
      <c r="BI86" s="50"/>
    </row>
    <row r="87" spans="1:61" s="9" customFormat="1" ht="13.5" customHeight="1">
      <c r="B87"/>
      <c r="D87" s="50"/>
      <c r="E87" s="40"/>
      <c r="F87" s="50"/>
      <c r="G87" s="50"/>
      <c r="H87" s="50"/>
      <c r="I87" s="50"/>
      <c r="J87" s="51"/>
      <c r="K87" s="50"/>
      <c r="L87" s="51"/>
      <c r="M87" s="40"/>
      <c r="N87" s="50"/>
      <c r="O87" s="50"/>
      <c r="P87" s="50"/>
      <c r="Q87" s="50"/>
      <c r="R87" s="51"/>
      <c r="S87" s="50"/>
      <c r="T87" s="51"/>
      <c r="V87" s="50"/>
      <c r="W87" s="40"/>
      <c r="X87" s="50"/>
      <c r="Y87" s="50"/>
      <c r="Z87" s="50"/>
      <c r="AA87" s="50"/>
      <c r="AB87" s="51"/>
      <c r="AC87" s="50"/>
      <c r="AD87" s="51"/>
      <c r="AF87" s="50"/>
      <c r="AG87" s="40"/>
      <c r="AH87" s="50"/>
      <c r="AI87" s="50"/>
      <c r="AJ87" s="50"/>
      <c r="AK87" s="50"/>
      <c r="AL87" s="51"/>
      <c r="AM87" s="50"/>
      <c r="AN87" s="51"/>
      <c r="AP87" s="50"/>
      <c r="AQ87" s="40"/>
      <c r="AR87" s="50"/>
      <c r="AS87" s="50"/>
      <c r="AT87" s="50"/>
      <c r="AU87" s="50"/>
      <c r="AV87" s="51"/>
      <c r="AW87" s="50"/>
      <c r="AX87" s="51"/>
      <c r="BA87" s="50"/>
      <c r="BB87" s="40"/>
      <c r="BC87" s="50"/>
      <c r="BD87" s="50"/>
      <c r="BE87" s="50"/>
      <c r="BF87" s="50"/>
      <c r="BG87" s="51"/>
      <c r="BH87" s="50"/>
      <c r="BI87" s="51"/>
    </row>
    <row r="88" spans="1:61" s="3" customFormat="1" ht="16.2">
      <c r="A88" s="250" t="s">
        <v>73</v>
      </c>
    </row>
    <row r="89" spans="1:61">
      <c r="B89" t="s">
        <v>1</v>
      </c>
      <c r="D89" s="244" t="str">
        <f>D5</f>
        <v>2025年度　（2025年4月-2026年3月）</v>
      </c>
      <c r="E89" s="244"/>
      <c r="F89" s="244"/>
      <c r="G89" s="244"/>
      <c r="H89" s="244"/>
      <c r="I89" s="244"/>
      <c r="J89" s="244"/>
      <c r="K89" s="244"/>
      <c r="L89" s="244"/>
      <c r="M89" s="5"/>
      <c r="N89" s="5"/>
      <c r="O89" s="5"/>
      <c r="P89" s="5"/>
      <c r="Q89" s="5"/>
      <c r="R89" s="5"/>
      <c r="S89" s="5"/>
      <c r="T89" s="5"/>
      <c r="V89" s="5"/>
      <c r="W89" s="5"/>
      <c r="X89" s="5"/>
      <c r="Y89" s="5"/>
      <c r="Z89" s="5"/>
      <c r="AA89" s="5"/>
      <c r="AB89" s="5"/>
      <c r="AC89" s="5"/>
      <c r="AD89" s="5"/>
      <c r="AF89" s="5"/>
      <c r="AG89" s="5"/>
      <c r="AH89" s="5"/>
      <c r="AI89" s="5"/>
      <c r="AJ89" s="5"/>
      <c r="AK89" s="5"/>
      <c r="AL89" s="5"/>
      <c r="AM89" s="5"/>
      <c r="AN89" s="5"/>
      <c r="AP89" s="5"/>
      <c r="AQ89" s="5"/>
      <c r="AR89" s="5"/>
      <c r="AS89" s="5"/>
      <c r="AT89" s="5"/>
      <c r="AU89" s="5"/>
      <c r="AV89" s="5"/>
      <c r="AW89" s="5"/>
      <c r="AX89" s="5"/>
      <c r="BA89" s="5"/>
      <c r="BB89" s="5"/>
      <c r="BC89" s="5"/>
      <c r="BD89" s="5"/>
      <c r="BE89" s="5"/>
      <c r="BF89" s="5"/>
      <c r="BG89" s="5"/>
      <c r="BH89" s="5"/>
      <c r="BI89" s="5"/>
    </row>
    <row r="90" spans="1:61" ht="3.75" customHeight="1">
      <c r="D90" s="5"/>
      <c r="E90" s="5"/>
      <c r="F90" s="5"/>
      <c r="G90" s="5"/>
      <c r="H90" s="5"/>
      <c r="I90" s="5"/>
      <c r="J90" s="5"/>
      <c r="K90" s="5"/>
      <c r="L90" s="244"/>
      <c r="M90" s="5"/>
      <c r="N90" s="5"/>
      <c r="O90" s="5"/>
      <c r="P90" s="5"/>
      <c r="Q90" s="5"/>
      <c r="R90" s="5"/>
      <c r="S90" s="5"/>
      <c r="T90" s="5"/>
      <c r="V90" s="5"/>
      <c r="W90" s="5"/>
      <c r="X90" s="5"/>
      <c r="Y90" s="5"/>
      <c r="Z90" s="5"/>
      <c r="AA90" s="5"/>
      <c r="AB90" s="5"/>
      <c r="AC90" s="5"/>
      <c r="AD90" s="5"/>
      <c r="AF90" s="5"/>
      <c r="AG90" s="5"/>
      <c r="AH90" s="5"/>
      <c r="AI90" s="5"/>
      <c r="AJ90" s="5"/>
      <c r="AK90" s="5"/>
      <c r="AL90" s="5"/>
      <c r="AM90" s="5"/>
      <c r="AN90" s="5"/>
      <c r="AP90" s="5"/>
      <c r="AQ90" s="5"/>
      <c r="AR90" s="5"/>
      <c r="AS90" s="5"/>
      <c r="AT90" s="5"/>
      <c r="AU90" s="5"/>
      <c r="AV90" s="5"/>
      <c r="AW90" s="5"/>
      <c r="AX90" s="5"/>
      <c r="BA90" s="5"/>
      <c r="BB90" s="5"/>
      <c r="BC90" s="5"/>
      <c r="BD90" s="5"/>
      <c r="BE90" s="5"/>
      <c r="BF90" s="5"/>
      <c r="BG90" s="5"/>
      <c r="BH90" s="5"/>
      <c r="BI90" s="5"/>
    </row>
    <row r="91" spans="1:61">
      <c r="D91" s="6"/>
      <c r="E91" s="6"/>
      <c r="F91" s="7" t="s">
        <v>28</v>
      </c>
      <c r="H91" s="7"/>
      <c r="I91" s="7"/>
      <c r="J91" s="7" t="s">
        <v>29</v>
      </c>
      <c r="L91" s="245" t="s">
        <v>4</v>
      </c>
      <c r="N91" s="8"/>
      <c r="P91" s="8"/>
      <c r="Q91" s="8"/>
      <c r="R91" s="8"/>
      <c r="T91" s="8"/>
      <c r="X91" s="8"/>
      <c r="Z91" s="8"/>
      <c r="AA91" s="8"/>
      <c r="AB91" s="8"/>
      <c r="AD91" s="8"/>
      <c r="AH91" s="8"/>
      <c r="AJ91" s="8"/>
      <c r="AK91" s="8"/>
      <c r="AL91" s="8"/>
      <c r="AN91" s="8"/>
      <c r="AR91" s="8"/>
      <c r="AT91" s="8"/>
      <c r="AU91" s="8"/>
      <c r="AV91" s="8"/>
      <c r="AX91" s="8"/>
      <c r="BC91" s="8"/>
      <c r="BE91" s="8"/>
      <c r="BF91" s="8"/>
      <c r="BG91" s="8"/>
      <c r="BI91" s="8"/>
    </row>
    <row r="92" spans="1:61" s="9" customFormat="1" ht="10.95" customHeight="1">
      <c r="D92" s="9" t="s">
        <v>31</v>
      </c>
      <c r="E92" s="9" t="s">
        <v>32</v>
      </c>
      <c r="F92" s="10" t="s">
        <v>33</v>
      </c>
      <c r="H92" s="9" t="s">
        <v>7</v>
      </c>
      <c r="I92" s="9" t="s">
        <v>8</v>
      </c>
      <c r="J92" s="10"/>
      <c r="L92" s="246"/>
      <c r="N92" s="11"/>
      <c r="R92" s="11"/>
      <c r="T92" s="11"/>
      <c r="X92" s="11"/>
      <c r="AB92" s="11"/>
      <c r="AD92" s="11"/>
      <c r="AH92" s="11"/>
      <c r="AL92" s="11"/>
      <c r="AN92" s="11"/>
      <c r="AR92" s="11"/>
      <c r="AV92" s="11"/>
      <c r="AX92" s="11"/>
      <c r="BC92" s="11"/>
      <c r="BG92" s="11"/>
      <c r="BI92" s="11"/>
    </row>
    <row r="93" spans="1:61" s="9" customFormat="1" ht="10.8">
      <c r="D93" s="9" t="s">
        <v>34</v>
      </c>
      <c r="E93" s="9" t="s">
        <v>35</v>
      </c>
      <c r="F93" s="10" t="s">
        <v>36</v>
      </c>
      <c r="H93" s="9" t="s">
        <v>12</v>
      </c>
      <c r="I93" s="9" t="s">
        <v>13</v>
      </c>
      <c r="J93" s="10" t="s">
        <v>37</v>
      </c>
      <c r="L93" s="246" t="s">
        <v>15</v>
      </c>
      <c r="N93" s="11"/>
      <c r="R93" s="11"/>
      <c r="T93" s="11"/>
      <c r="X93" s="11"/>
      <c r="AB93" s="11"/>
      <c r="AD93" s="11"/>
      <c r="AH93" s="11"/>
      <c r="AL93" s="11"/>
      <c r="AN93" s="11"/>
      <c r="AR93" s="11"/>
      <c r="AV93" s="11"/>
      <c r="AX93" s="11"/>
      <c r="BC93" s="11"/>
      <c r="BG93" s="11"/>
      <c r="BI93" s="11"/>
    </row>
    <row r="94" spans="1:61" ht="5.0999999999999996" customHeight="1">
      <c r="H94" s="52"/>
      <c r="I94" s="52"/>
      <c r="J94" s="8"/>
      <c r="P94" s="52"/>
      <c r="Q94" s="52"/>
      <c r="R94" s="8"/>
      <c r="Z94" s="52"/>
      <c r="AA94" s="52"/>
      <c r="AB94" s="8"/>
      <c r="AJ94" s="52"/>
      <c r="AK94" s="52"/>
      <c r="AL94" s="8"/>
      <c r="AT94" s="52"/>
      <c r="AU94" s="52"/>
      <c r="AV94" s="8"/>
      <c r="BE94" s="52"/>
      <c r="BF94" s="52"/>
      <c r="BG94" s="8"/>
    </row>
    <row r="95" spans="1:61" ht="13.5" customHeight="1" thickBot="1">
      <c r="B95" s="12" t="s">
        <v>39</v>
      </c>
      <c r="C95" s="12"/>
      <c r="D95" s="13">
        <v>28700</v>
      </c>
      <c r="E95" s="185">
        <f>F95-D95</f>
        <v>28219</v>
      </c>
      <c r="F95" s="185">
        <v>56919</v>
      </c>
      <c r="G95" s="12"/>
      <c r="H95" s="57">
        <f>87224-F95</f>
        <v>30305</v>
      </c>
      <c r="I95" s="57">
        <f>J95-H95</f>
        <v>30431</v>
      </c>
      <c r="J95" s="57">
        <f>L95-F95</f>
        <v>60736</v>
      </c>
      <c r="K95" s="57"/>
      <c r="L95" s="334">
        <v>117655</v>
      </c>
      <c r="M95" s="112"/>
      <c r="N95" s="112"/>
      <c r="P95" s="58"/>
      <c r="Q95" s="58"/>
      <c r="R95" s="58"/>
      <c r="S95" s="58"/>
      <c r="T95" s="58"/>
      <c r="V95" s="112"/>
      <c r="W95" s="112"/>
      <c r="X95" s="112"/>
      <c r="Z95" s="58"/>
      <c r="AA95" s="58"/>
      <c r="AB95" s="88"/>
      <c r="AC95" s="88"/>
      <c r="AD95" s="88"/>
      <c r="AF95" s="112"/>
      <c r="AG95" s="112"/>
      <c r="AH95" s="112"/>
      <c r="AJ95" s="58"/>
      <c r="AK95" s="58"/>
      <c r="AL95" s="88"/>
      <c r="AM95" s="88"/>
      <c r="AN95" s="88"/>
      <c r="AP95" s="112"/>
      <c r="AQ95" s="112"/>
      <c r="AR95" s="112"/>
      <c r="AT95" s="58"/>
      <c r="AU95" s="58"/>
      <c r="AV95" s="88"/>
      <c r="AW95" s="88"/>
      <c r="AX95" s="88"/>
      <c r="BA95" s="112"/>
      <c r="BB95" s="112"/>
      <c r="BC95" s="112"/>
      <c r="BE95" s="58"/>
      <c r="BF95" s="58"/>
      <c r="BG95" s="88"/>
      <c r="BH95" s="88"/>
      <c r="BI95" s="88"/>
    </row>
    <row r="96" spans="1:61" ht="13.5" customHeight="1">
      <c r="B96" t="s">
        <v>197</v>
      </c>
      <c r="D96" s="16">
        <v>25438</v>
      </c>
      <c r="E96" s="186">
        <f>F96-D96</f>
        <v>24814</v>
      </c>
      <c r="F96" s="186">
        <v>50252</v>
      </c>
      <c r="H96" s="148">
        <f>77152-F96</f>
        <v>26900</v>
      </c>
      <c r="I96" s="85">
        <f>J96-H96</f>
        <v>26801</v>
      </c>
      <c r="J96" s="85">
        <f>L96-F96</f>
        <v>53701</v>
      </c>
      <c r="K96" s="58"/>
      <c r="L96" s="349">
        <v>103953</v>
      </c>
      <c r="M96" s="112"/>
      <c r="N96" s="112"/>
      <c r="P96" s="74"/>
      <c r="Q96" s="58"/>
      <c r="R96" s="58"/>
      <c r="S96" s="58"/>
      <c r="T96" s="58"/>
      <c r="V96" s="112"/>
      <c r="W96" s="112"/>
      <c r="X96" s="112"/>
      <c r="Z96" s="74"/>
      <c r="AA96" s="58"/>
      <c r="AB96" s="88"/>
      <c r="AC96" s="88"/>
      <c r="AD96" s="88"/>
      <c r="AF96" s="112"/>
      <c r="AG96" s="112"/>
      <c r="AH96" s="112"/>
      <c r="AJ96" s="74"/>
      <c r="AK96" s="58"/>
      <c r="AL96" s="88"/>
      <c r="AM96" s="88"/>
      <c r="AN96" s="88"/>
      <c r="AP96" s="112"/>
      <c r="AQ96" s="112"/>
      <c r="AR96" s="112"/>
      <c r="AT96" s="97"/>
      <c r="AU96" s="58"/>
      <c r="AV96" s="88"/>
      <c r="AW96" s="88"/>
      <c r="AX96" s="88"/>
      <c r="BA96" s="112"/>
      <c r="BB96" s="112"/>
      <c r="BC96" s="112"/>
      <c r="BE96" s="97"/>
      <c r="BF96" s="58"/>
      <c r="BG96" s="88"/>
      <c r="BH96" s="88"/>
      <c r="BI96" s="88"/>
    </row>
    <row r="97" spans="2:61" ht="13.5" customHeight="1">
      <c r="B97" t="s">
        <v>202</v>
      </c>
      <c r="D97" s="16">
        <v>503</v>
      </c>
      <c r="E97" s="186">
        <f t="shared" ref="E97:E101" si="10">F97-D97</f>
        <v>531</v>
      </c>
      <c r="F97" s="186">
        <v>1034</v>
      </c>
      <c r="H97" s="148">
        <f>1607-F97</f>
        <v>573</v>
      </c>
      <c r="I97" s="58">
        <f>J97-H97</f>
        <v>560</v>
      </c>
      <c r="J97" s="58">
        <f>L97-F97</f>
        <v>1133</v>
      </c>
      <c r="K97" s="58"/>
      <c r="L97" s="350">
        <v>2167</v>
      </c>
      <c r="M97" s="112"/>
      <c r="N97" s="112"/>
      <c r="P97" s="74"/>
      <c r="Q97" s="58"/>
      <c r="R97" s="58"/>
      <c r="S97" s="58"/>
      <c r="T97" s="58"/>
      <c r="V97" s="112"/>
      <c r="W97" s="112"/>
      <c r="X97" s="112"/>
      <c r="Z97" s="74"/>
      <c r="AA97" s="58"/>
      <c r="AB97" s="88"/>
      <c r="AC97" s="88"/>
      <c r="AD97" s="88"/>
      <c r="AF97" s="112"/>
      <c r="AG97" s="112"/>
      <c r="AH97" s="112"/>
      <c r="AJ97" s="74"/>
      <c r="AK97" s="58"/>
      <c r="AL97" s="88"/>
      <c r="AM97" s="88"/>
      <c r="AN97" s="88"/>
      <c r="AP97" s="112"/>
      <c r="AQ97" s="112"/>
      <c r="AR97" s="112"/>
      <c r="AT97" s="97"/>
      <c r="AU97" s="58"/>
      <c r="AV97" s="88"/>
      <c r="AW97" s="88"/>
      <c r="AX97" s="88"/>
      <c r="BA97" s="112"/>
      <c r="BB97" s="112"/>
      <c r="BC97" s="112"/>
      <c r="BE97" s="97"/>
      <c r="BF97" s="58"/>
      <c r="BG97" s="88"/>
      <c r="BH97" s="88"/>
      <c r="BI97" s="88"/>
    </row>
    <row r="98" spans="2:61" ht="13.5" customHeight="1">
      <c r="B98" t="s">
        <v>198</v>
      </c>
      <c r="D98" s="16">
        <v>846</v>
      </c>
      <c r="E98" s="186">
        <f t="shared" si="10"/>
        <v>805</v>
      </c>
      <c r="F98" s="186">
        <v>1651</v>
      </c>
      <c r="H98" s="78">
        <f>2523-F98</f>
        <v>872</v>
      </c>
      <c r="I98" s="58">
        <f t="shared" ref="I98:I101" si="11">J98-H98</f>
        <v>867</v>
      </c>
      <c r="J98" s="58">
        <f t="shared" ref="J98:J101" si="12">L98-F98</f>
        <v>1739</v>
      </c>
      <c r="K98" s="58"/>
      <c r="L98" s="350">
        <v>3390</v>
      </c>
      <c r="M98" s="112"/>
      <c r="N98" s="112"/>
      <c r="P98" s="74"/>
      <c r="Q98" s="58"/>
      <c r="R98" s="58"/>
      <c r="S98" s="58"/>
      <c r="T98" s="58"/>
      <c r="V98" s="112"/>
      <c r="W98" s="112"/>
      <c r="X98" s="112"/>
      <c r="Z98" s="74"/>
      <c r="AA98" s="58"/>
      <c r="AB98" s="88"/>
      <c r="AC98" s="88"/>
      <c r="AD98" s="88"/>
      <c r="AF98" s="112"/>
      <c r="AG98" s="112"/>
      <c r="AH98" s="112"/>
      <c r="AJ98" s="74"/>
      <c r="AK98" s="58"/>
      <c r="AL98" s="88"/>
      <c r="AM98" s="88"/>
      <c r="AN98" s="88"/>
      <c r="AP98" s="112"/>
      <c r="AQ98" s="112"/>
      <c r="AR98" s="112"/>
      <c r="AT98" s="97"/>
      <c r="AU98" s="58"/>
      <c r="AV98" s="88"/>
      <c r="AW98" s="88"/>
      <c r="AX98" s="88"/>
      <c r="BA98" s="112"/>
      <c r="BB98" s="112"/>
      <c r="BC98" s="112"/>
      <c r="BE98" s="97"/>
      <c r="BF98" s="58"/>
      <c r="BG98" s="88"/>
      <c r="BH98" s="88"/>
      <c r="BI98" s="88"/>
    </row>
    <row r="99" spans="2:61" ht="13.5" customHeight="1">
      <c r="B99" t="s">
        <v>200</v>
      </c>
      <c r="D99" s="16">
        <v>769</v>
      </c>
      <c r="E99" s="186">
        <f t="shared" si="10"/>
        <v>1006</v>
      </c>
      <c r="F99" s="186">
        <v>1775</v>
      </c>
      <c r="H99" s="148">
        <f>2551-F99</f>
        <v>776</v>
      </c>
      <c r="I99" s="58">
        <f t="shared" si="11"/>
        <v>941</v>
      </c>
      <c r="J99" s="58">
        <f t="shared" si="12"/>
        <v>1717</v>
      </c>
      <c r="K99" s="58"/>
      <c r="L99" s="350">
        <v>3492</v>
      </c>
      <c r="M99" s="112"/>
      <c r="N99" s="112"/>
      <c r="P99" s="74"/>
      <c r="Q99" s="58"/>
      <c r="R99" s="58"/>
      <c r="S99" s="58"/>
      <c r="T99" s="58"/>
      <c r="V99" s="112"/>
      <c r="W99" s="112"/>
      <c r="X99" s="112"/>
      <c r="Z99" s="74"/>
      <c r="AA99" s="58"/>
      <c r="AB99" s="88"/>
      <c r="AC99" s="88"/>
      <c r="AD99" s="88"/>
      <c r="AF99" s="112"/>
      <c r="AG99" s="112"/>
      <c r="AH99" s="112"/>
      <c r="AJ99" s="74"/>
      <c r="AK99" s="58"/>
      <c r="AL99" s="88"/>
      <c r="AM99" s="88"/>
      <c r="AN99" s="88"/>
      <c r="AP99" s="112"/>
      <c r="AQ99" s="112"/>
      <c r="AR99" s="112"/>
      <c r="AT99" s="97"/>
      <c r="AU99" s="58"/>
      <c r="AV99" s="88"/>
      <c r="AW99" s="88"/>
      <c r="AX99" s="88"/>
      <c r="BA99" s="112"/>
      <c r="BB99" s="112"/>
      <c r="BC99" s="112"/>
      <c r="BE99" s="97"/>
      <c r="BF99" s="58"/>
      <c r="BG99" s="88"/>
      <c r="BH99" s="88"/>
      <c r="BI99" s="88"/>
    </row>
    <row r="100" spans="2:61" ht="13.5" customHeight="1">
      <c r="B100" t="s">
        <v>201</v>
      </c>
      <c r="D100" s="16">
        <v>121</v>
      </c>
      <c r="E100" s="186">
        <f t="shared" si="10"/>
        <v>127</v>
      </c>
      <c r="F100" s="186">
        <v>248</v>
      </c>
      <c r="H100" s="148">
        <f>362-F100</f>
        <v>114</v>
      </c>
      <c r="I100" s="58">
        <f t="shared" si="11"/>
        <v>125</v>
      </c>
      <c r="J100" s="58">
        <f t="shared" si="12"/>
        <v>239</v>
      </c>
      <c r="K100" s="58"/>
      <c r="L100" s="350">
        <v>487</v>
      </c>
      <c r="M100" s="112"/>
      <c r="N100" s="112"/>
      <c r="P100" s="74"/>
      <c r="Q100" s="58"/>
      <c r="R100" s="58"/>
      <c r="S100" s="58"/>
      <c r="T100" s="58"/>
      <c r="V100" s="112"/>
      <c r="W100" s="112"/>
      <c r="X100" s="112"/>
      <c r="Z100" s="74"/>
      <c r="AA100" s="58"/>
      <c r="AB100" s="88"/>
      <c r="AC100" s="88"/>
      <c r="AD100" s="88"/>
      <c r="AF100" s="112"/>
      <c r="AG100" s="112"/>
      <c r="AH100" s="112"/>
      <c r="AJ100" s="74"/>
      <c r="AK100" s="58"/>
      <c r="AL100" s="88"/>
      <c r="AM100" s="88"/>
      <c r="AN100" s="88"/>
      <c r="AP100" s="112"/>
      <c r="AQ100" s="112"/>
      <c r="AR100" s="112"/>
      <c r="AT100" s="97"/>
      <c r="AU100" s="58"/>
      <c r="AV100" s="88"/>
      <c r="AW100" s="88"/>
      <c r="AX100" s="88"/>
      <c r="BA100" s="112"/>
      <c r="BB100" s="112"/>
      <c r="BC100" s="112"/>
      <c r="BE100" s="97"/>
      <c r="BF100" s="58"/>
      <c r="BG100" s="88"/>
      <c r="BH100" s="88"/>
      <c r="BI100" s="88"/>
    </row>
    <row r="101" spans="2:61" ht="13.5" customHeight="1">
      <c r="B101" t="s">
        <v>119</v>
      </c>
      <c r="D101" s="16">
        <v>1023</v>
      </c>
      <c r="E101" s="186">
        <f t="shared" si="10"/>
        <v>936</v>
      </c>
      <c r="F101" s="186">
        <v>1959</v>
      </c>
      <c r="H101" s="148">
        <f>3029-F101</f>
        <v>1070</v>
      </c>
      <c r="I101" s="58">
        <f t="shared" si="11"/>
        <v>1137</v>
      </c>
      <c r="J101" s="58">
        <f t="shared" si="12"/>
        <v>2207</v>
      </c>
      <c r="K101" s="58"/>
      <c r="L101" s="350">
        <v>4166</v>
      </c>
      <c r="M101" s="112"/>
      <c r="N101" s="112"/>
      <c r="P101" s="74"/>
      <c r="Q101" s="58"/>
      <c r="R101" s="58"/>
      <c r="S101" s="58"/>
      <c r="T101" s="58"/>
      <c r="V101" s="112"/>
      <c r="W101" s="112"/>
      <c r="X101" s="112"/>
      <c r="Z101" s="74"/>
      <c r="AA101" s="58"/>
      <c r="AB101" s="88"/>
      <c r="AC101" s="88"/>
      <c r="AD101" s="88"/>
      <c r="AF101" s="112"/>
      <c r="AG101" s="112"/>
      <c r="AH101" s="112"/>
      <c r="AJ101" s="74"/>
      <c r="AK101" s="58"/>
      <c r="AL101" s="88"/>
      <c r="AM101" s="88"/>
      <c r="AN101" s="88"/>
      <c r="AP101" s="112"/>
      <c r="AQ101" s="112"/>
      <c r="AR101" s="112"/>
      <c r="AT101" s="97"/>
      <c r="AU101" s="58"/>
      <c r="AV101" s="88"/>
      <c r="AW101" s="88"/>
      <c r="AX101" s="88"/>
      <c r="BA101" s="112"/>
      <c r="BB101" s="112"/>
      <c r="BC101" s="112"/>
      <c r="BE101" s="97"/>
      <c r="BF101" s="58"/>
      <c r="BG101" s="88"/>
      <c r="BH101" s="88"/>
      <c r="BI101" s="88"/>
    </row>
    <row r="102" spans="2:61" ht="15.75" customHeight="1">
      <c r="D102" s="16"/>
      <c r="E102" s="186"/>
      <c r="F102" s="186"/>
      <c r="I102" s="58"/>
      <c r="J102" s="58"/>
      <c r="K102" s="58"/>
      <c r="L102" s="351"/>
      <c r="M102" s="112"/>
      <c r="N102" s="112"/>
      <c r="Q102" s="58"/>
      <c r="R102" s="58"/>
      <c r="S102" s="58"/>
      <c r="T102" s="112"/>
      <c r="V102" s="112"/>
      <c r="W102" s="112"/>
      <c r="X102" s="112"/>
      <c r="AA102" s="58"/>
      <c r="AB102" s="88"/>
      <c r="AC102" s="88"/>
      <c r="AD102" s="98"/>
      <c r="AF102" s="112"/>
      <c r="AG102" s="112"/>
      <c r="AH102" s="112"/>
      <c r="AK102" s="58"/>
      <c r="AL102" s="88"/>
      <c r="AM102" s="88"/>
      <c r="AN102" s="98"/>
      <c r="AP102" s="112"/>
      <c r="AQ102" s="112"/>
      <c r="AR102" s="112"/>
      <c r="AU102" s="58"/>
      <c r="AV102" s="88"/>
      <c r="AW102" s="88"/>
      <c r="AX102" s="98"/>
      <c r="BA102" s="112"/>
      <c r="BB102" s="112"/>
      <c r="BC102" s="112"/>
      <c r="BF102" s="58"/>
      <c r="BG102" s="88"/>
      <c r="BH102" s="88"/>
      <c r="BI102" s="98"/>
    </row>
    <row r="103" spans="2:61" ht="13.5" customHeight="1" thickBot="1">
      <c r="B103" s="12" t="s">
        <v>75</v>
      </c>
      <c r="C103" s="12"/>
      <c r="D103" s="13">
        <v>503</v>
      </c>
      <c r="E103" s="185">
        <f>F103-D103</f>
        <v>1164</v>
      </c>
      <c r="F103" s="13">
        <v>1667</v>
      </c>
      <c r="G103" s="12"/>
      <c r="H103" s="57">
        <f>2708-F103</f>
        <v>1041</v>
      </c>
      <c r="I103" s="57">
        <f>J103-H103</f>
        <v>1958</v>
      </c>
      <c r="J103" s="57">
        <f>L103-F103</f>
        <v>2999</v>
      </c>
      <c r="K103" s="57"/>
      <c r="L103" s="334">
        <v>4666</v>
      </c>
      <c r="M103" s="112"/>
      <c r="N103" s="112"/>
      <c r="P103" s="58"/>
      <c r="Q103" s="58"/>
      <c r="R103" s="58"/>
      <c r="S103" s="58"/>
      <c r="T103" s="58"/>
      <c r="V103" s="112"/>
      <c r="W103" s="112"/>
      <c r="X103" s="112"/>
      <c r="Z103" s="58"/>
      <c r="AA103" s="58"/>
      <c r="AB103" s="88"/>
      <c r="AC103" s="88"/>
      <c r="AD103" s="88"/>
      <c r="AF103" s="112"/>
      <c r="AG103" s="112"/>
      <c r="AH103" s="112"/>
      <c r="AJ103" s="58"/>
      <c r="AK103" s="58"/>
      <c r="AL103" s="88"/>
      <c r="AM103" s="88"/>
      <c r="AN103" s="88"/>
      <c r="AP103" s="112"/>
      <c r="AQ103" s="112"/>
      <c r="AR103" s="112"/>
      <c r="AT103" s="58"/>
      <c r="AU103" s="58"/>
      <c r="AV103" s="88"/>
      <c r="AW103" s="88"/>
      <c r="AX103" s="88"/>
      <c r="BA103" s="112"/>
      <c r="BB103" s="112"/>
      <c r="BC103" s="112"/>
      <c r="BE103" s="58"/>
      <c r="BF103" s="58"/>
      <c r="BG103" s="88"/>
      <c r="BH103" s="88"/>
      <c r="BI103" s="88"/>
    </row>
    <row r="104" spans="2:61" ht="13.5" customHeight="1">
      <c r="B104" t="s">
        <v>197</v>
      </c>
      <c r="D104" s="16">
        <v>40</v>
      </c>
      <c r="E104" s="186">
        <f>F104-D104</f>
        <v>673</v>
      </c>
      <c r="F104" s="186">
        <v>713</v>
      </c>
      <c r="H104" s="16">
        <f>1187-F104</f>
        <v>474</v>
      </c>
      <c r="I104" s="85">
        <f>J104-H104</f>
        <v>1737</v>
      </c>
      <c r="J104" s="16">
        <f>L104-F104</f>
        <v>2211</v>
      </c>
      <c r="K104" s="58"/>
      <c r="L104" s="349">
        <v>2924</v>
      </c>
      <c r="M104" s="112"/>
      <c r="N104" s="112"/>
      <c r="P104" s="112"/>
      <c r="Q104" s="58"/>
      <c r="R104" s="112"/>
      <c r="S104" s="58"/>
      <c r="T104" s="58"/>
      <c r="V104" s="112"/>
      <c r="W104" s="112"/>
      <c r="X104" s="112"/>
      <c r="Z104" s="74"/>
      <c r="AA104" s="58"/>
      <c r="AB104" s="112"/>
      <c r="AC104" s="88"/>
      <c r="AD104" s="88"/>
      <c r="AF104" s="112"/>
      <c r="AG104" s="112"/>
      <c r="AH104" s="112"/>
      <c r="AJ104" s="74"/>
      <c r="AK104" s="58"/>
      <c r="AL104" s="88"/>
      <c r="AM104" s="88"/>
      <c r="AN104" s="88"/>
      <c r="AP104" s="112"/>
      <c r="AQ104" s="112"/>
      <c r="AR104" s="112"/>
      <c r="AT104" s="97"/>
      <c r="AU104" s="58"/>
      <c r="AV104" s="88"/>
      <c r="AW104" s="88"/>
      <c r="AX104" s="88"/>
      <c r="BA104" s="112"/>
      <c r="BB104" s="112"/>
      <c r="BC104" s="112"/>
      <c r="BE104" s="97"/>
      <c r="BF104" s="58"/>
      <c r="BG104" s="88"/>
      <c r="BH104" s="88"/>
      <c r="BI104" s="88"/>
    </row>
    <row r="105" spans="2:61" ht="13.5" customHeight="1">
      <c r="B105" t="s">
        <v>202</v>
      </c>
      <c r="D105" s="16">
        <v>132</v>
      </c>
      <c r="E105" s="186">
        <f t="shared" ref="E105:E109" si="13">F105-D105</f>
        <v>141</v>
      </c>
      <c r="F105" s="186">
        <v>273</v>
      </c>
      <c r="H105" s="148">
        <f>457-F105</f>
        <v>184</v>
      </c>
      <c r="I105" s="58">
        <f>J105-H105</f>
        <v>51</v>
      </c>
      <c r="J105" s="16">
        <f t="shared" ref="J105:J109" si="14">L105-F105</f>
        <v>235</v>
      </c>
      <c r="K105" s="58"/>
      <c r="L105" s="350">
        <v>508</v>
      </c>
      <c r="M105" s="112"/>
      <c r="N105" s="112"/>
      <c r="P105" s="74"/>
      <c r="Q105" s="58"/>
      <c r="R105" s="58"/>
      <c r="S105" s="58"/>
      <c r="T105" s="58"/>
      <c r="V105" s="112"/>
      <c r="W105" s="112"/>
      <c r="X105" s="112"/>
      <c r="Z105" s="74"/>
      <c r="AA105" s="58"/>
      <c r="AB105" s="88"/>
      <c r="AC105" s="88"/>
      <c r="AD105" s="88"/>
      <c r="AF105" s="112"/>
      <c r="AG105" s="112"/>
      <c r="AH105" s="112"/>
      <c r="AJ105" s="74"/>
      <c r="AK105" s="58"/>
      <c r="AL105" s="88"/>
      <c r="AM105" s="88"/>
      <c r="AN105" s="88"/>
      <c r="AP105" s="112"/>
      <c r="AQ105" s="112"/>
      <c r="AR105" s="112"/>
      <c r="AT105" s="97"/>
      <c r="AU105" s="58"/>
      <c r="AV105" s="88"/>
      <c r="AW105" s="88"/>
      <c r="AX105" s="88"/>
      <c r="BA105" s="112"/>
      <c r="BB105" s="112"/>
      <c r="BC105" s="112"/>
      <c r="BE105" s="97"/>
      <c r="BF105" s="58"/>
      <c r="BG105" s="88"/>
      <c r="BH105" s="88"/>
      <c r="BI105" s="88"/>
    </row>
    <row r="106" spans="2:61" ht="13.2" customHeight="1">
      <c r="B106" t="s">
        <v>198</v>
      </c>
      <c r="D106" s="16">
        <v>53</v>
      </c>
      <c r="E106" s="186">
        <f t="shared" si="13"/>
        <v>41</v>
      </c>
      <c r="F106" s="186">
        <v>94</v>
      </c>
      <c r="H106" s="16">
        <f>143-F106</f>
        <v>49</v>
      </c>
      <c r="I106" s="58">
        <f t="shared" ref="I106:I109" si="15">J106-H106</f>
        <v>-32</v>
      </c>
      <c r="J106" s="16">
        <f t="shared" si="14"/>
        <v>17</v>
      </c>
      <c r="K106" s="58"/>
      <c r="L106" s="350">
        <v>111</v>
      </c>
      <c r="M106" s="112"/>
      <c r="N106" s="112"/>
      <c r="P106" s="112"/>
      <c r="Q106" s="58"/>
      <c r="R106" s="112"/>
      <c r="S106" s="58"/>
      <c r="T106" s="58"/>
      <c r="V106" s="112"/>
      <c r="W106" s="112"/>
      <c r="X106" s="112"/>
      <c r="Z106" s="74"/>
      <c r="AA106" s="58"/>
      <c r="AB106" s="112"/>
      <c r="AC106" s="88"/>
      <c r="AD106" s="88"/>
      <c r="AF106" s="112"/>
      <c r="AG106" s="112"/>
      <c r="AH106" s="112"/>
      <c r="AJ106" s="74"/>
      <c r="AK106" s="58"/>
      <c r="AL106" s="88"/>
      <c r="AM106" s="88"/>
      <c r="AN106" s="88"/>
      <c r="AP106" s="112"/>
      <c r="AQ106" s="112"/>
      <c r="AR106" s="112"/>
      <c r="AT106" s="97"/>
      <c r="AU106" s="58"/>
      <c r="AV106" s="88"/>
      <c r="AW106" s="88"/>
      <c r="AX106" s="88"/>
      <c r="BA106" s="112"/>
      <c r="BB106" s="112"/>
      <c r="BC106" s="112"/>
      <c r="BE106" s="97"/>
      <c r="BF106" s="58"/>
      <c r="BG106" s="88"/>
      <c r="BH106" s="88"/>
      <c r="BI106" s="88"/>
    </row>
    <row r="107" spans="2:61" ht="13.5" customHeight="1">
      <c r="B107" t="s">
        <v>199</v>
      </c>
      <c r="D107" s="16">
        <v>80</v>
      </c>
      <c r="E107" s="186">
        <f t="shared" si="13"/>
        <v>107</v>
      </c>
      <c r="F107" s="186">
        <v>187</v>
      </c>
      <c r="H107" s="16">
        <f>232-F107</f>
        <v>45</v>
      </c>
      <c r="I107" s="58">
        <f t="shared" si="15"/>
        <v>-12</v>
      </c>
      <c r="J107" s="16">
        <f t="shared" si="14"/>
        <v>33</v>
      </c>
      <c r="K107" s="58"/>
      <c r="L107" s="350">
        <v>220</v>
      </c>
      <c r="M107" s="112"/>
      <c r="N107" s="112"/>
      <c r="P107" s="112"/>
      <c r="Q107" s="58"/>
      <c r="R107" s="112"/>
      <c r="S107" s="58"/>
      <c r="T107" s="58"/>
      <c r="V107" s="112"/>
      <c r="W107" s="112"/>
      <c r="X107" s="112"/>
      <c r="Z107" s="74"/>
      <c r="AA107" s="58"/>
      <c r="AB107" s="112"/>
      <c r="AC107" s="88"/>
      <c r="AD107" s="88"/>
      <c r="AF107" s="112"/>
      <c r="AG107" s="112"/>
      <c r="AH107" s="112"/>
      <c r="AJ107" s="74"/>
      <c r="AK107" s="58"/>
      <c r="AL107" s="88"/>
      <c r="AM107" s="88"/>
      <c r="AN107" s="88"/>
      <c r="AP107" s="112"/>
      <c r="AQ107" s="112"/>
      <c r="AR107" s="112"/>
      <c r="AT107" s="97"/>
      <c r="AU107" s="58"/>
      <c r="AV107" s="88"/>
      <c r="AW107" s="88"/>
      <c r="AX107" s="88"/>
      <c r="BA107" s="112"/>
      <c r="BB107" s="112"/>
      <c r="BC107" s="112"/>
      <c r="BE107" s="97"/>
      <c r="BF107" s="58"/>
      <c r="BG107" s="88"/>
      <c r="BH107" s="88"/>
      <c r="BI107" s="88"/>
    </row>
    <row r="108" spans="2:61" ht="13.5" customHeight="1">
      <c r="B108" t="s">
        <v>201</v>
      </c>
      <c r="D108" s="16">
        <v>3</v>
      </c>
      <c r="E108" s="186">
        <f t="shared" si="13"/>
        <v>8</v>
      </c>
      <c r="F108" s="186">
        <v>11</v>
      </c>
      <c r="H108" s="16">
        <f>5-F108</f>
        <v>-6</v>
      </c>
      <c r="I108" s="58">
        <f t="shared" si="15"/>
        <v>-14</v>
      </c>
      <c r="J108" s="16">
        <f t="shared" si="14"/>
        <v>-20</v>
      </c>
      <c r="K108" s="58"/>
      <c r="L108" s="350">
        <v>-9</v>
      </c>
      <c r="M108" s="112"/>
      <c r="N108" s="112"/>
      <c r="P108" s="112"/>
      <c r="Q108" s="58"/>
      <c r="R108" s="112"/>
      <c r="S108" s="58"/>
      <c r="T108" s="58"/>
      <c r="V108" s="112"/>
      <c r="W108" s="112"/>
      <c r="X108" s="112"/>
      <c r="Z108" s="74"/>
      <c r="AA108" s="58"/>
      <c r="AB108" s="112"/>
      <c r="AC108" s="88"/>
      <c r="AD108" s="88"/>
      <c r="AF108" s="112"/>
      <c r="AG108" s="112"/>
      <c r="AH108" s="112"/>
      <c r="AJ108" s="74"/>
      <c r="AK108" s="58"/>
      <c r="AL108" s="88"/>
      <c r="AM108" s="88"/>
      <c r="AN108" s="88"/>
      <c r="AP108" s="112"/>
      <c r="AQ108" s="112"/>
      <c r="AR108" s="112"/>
      <c r="AT108" s="97"/>
      <c r="AU108" s="58"/>
      <c r="AV108" s="88"/>
      <c r="AW108" s="88"/>
      <c r="AX108" s="88"/>
      <c r="BA108" s="112"/>
      <c r="BB108" s="112"/>
      <c r="BC108" s="112"/>
      <c r="BE108" s="97"/>
      <c r="BF108" s="58"/>
      <c r="BG108" s="88"/>
      <c r="BH108" s="88"/>
      <c r="BI108" s="88"/>
    </row>
    <row r="109" spans="2:61" ht="13.5" customHeight="1">
      <c r="B109" t="s">
        <v>119</v>
      </c>
      <c r="D109" s="16">
        <v>195</v>
      </c>
      <c r="E109" s="186">
        <f t="shared" si="13"/>
        <v>194</v>
      </c>
      <c r="F109" s="186">
        <v>389</v>
      </c>
      <c r="H109" s="148">
        <f>684-F109</f>
        <v>295</v>
      </c>
      <c r="I109" s="58">
        <f t="shared" si="15"/>
        <v>228</v>
      </c>
      <c r="J109" s="16">
        <f t="shared" si="14"/>
        <v>523</v>
      </c>
      <c r="K109" s="58"/>
      <c r="L109" s="350">
        <v>912</v>
      </c>
      <c r="M109" s="112"/>
      <c r="N109" s="112"/>
      <c r="P109" s="74"/>
      <c r="Q109" s="58"/>
      <c r="R109" s="58"/>
      <c r="S109" s="58"/>
      <c r="T109" s="58"/>
      <c r="V109" s="112"/>
      <c r="W109" s="112"/>
      <c r="X109" s="112"/>
      <c r="Z109" s="74"/>
      <c r="AA109" s="58"/>
      <c r="AB109" s="88"/>
      <c r="AC109" s="88"/>
      <c r="AD109" s="88"/>
      <c r="AF109" s="112"/>
      <c r="AG109" s="112"/>
      <c r="AH109" s="112"/>
      <c r="AJ109" s="74"/>
      <c r="AK109" s="58"/>
      <c r="AL109" s="88"/>
      <c r="AM109" s="88"/>
      <c r="AN109" s="88"/>
      <c r="AP109" s="112"/>
      <c r="AQ109" s="112"/>
      <c r="AR109" s="112"/>
      <c r="AT109" s="97"/>
      <c r="AU109" s="58"/>
      <c r="AV109" s="88"/>
      <c r="AW109" s="88"/>
      <c r="AX109" s="88"/>
      <c r="BA109" s="112"/>
      <c r="BB109" s="112"/>
      <c r="BC109" s="112"/>
      <c r="BE109" s="97"/>
      <c r="BF109" s="58"/>
      <c r="BG109" s="88"/>
      <c r="BH109" s="88"/>
      <c r="BI109" s="88"/>
    </row>
    <row r="110" spans="2:61" ht="13.5" customHeight="1">
      <c r="D110" s="16"/>
      <c r="E110" s="186"/>
      <c r="F110" s="186"/>
      <c r="H110" s="148"/>
      <c r="I110" s="58"/>
      <c r="J110" s="58"/>
      <c r="K110" s="58"/>
      <c r="L110" s="351"/>
      <c r="M110" s="112"/>
      <c r="N110" s="112"/>
      <c r="P110" s="74"/>
      <c r="Q110" s="58"/>
      <c r="R110" s="58"/>
      <c r="S110" s="58"/>
      <c r="T110" s="112"/>
      <c r="V110" s="112"/>
      <c r="W110" s="112"/>
      <c r="X110" s="112"/>
      <c r="Z110" s="74"/>
      <c r="AA110" s="58"/>
      <c r="AB110" s="88"/>
      <c r="AC110" s="88"/>
      <c r="AD110" s="98"/>
      <c r="AF110" s="112"/>
      <c r="AG110" s="112"/>
      <c r="AH110" s="112"/>
      <c r="AK110" s="58"/>
      <c r="AL110" s="88"/>
      <c r="AM110" s="88"/>
      <c r="AN110" s="98"/>
      <c r="AP110" s="112"/>
      <c r="AQ110" s="112"/>
      <c r="AR110" s="112"/>
      <c r="AU110" s="58"/>
      <c r="AV110" s="88"/>
      <c r="AW110" s="88"/>
      <c r="AX110" s="98"/>
      <c r="BA110" s="112"/>
      <c r="BB110" s="112"/>
      <c r="BC110" s="112"/>
      <c r="BF110" s="58"/>
      <c r="BG110" s="88"/>
      <c r="BH110" s="88"/>
      <c r="BI110" s="98"/>
    </row>
    <row r="111" spans="2:61" ht="13.5" customHeight="1" thickBot="1">
      <c r="B111" s="12" t="s">
        <v>153</v>
      </c>
      <c r="C111" s="12"/>
      <c r="D111" s="13">
        <v>-59</v>
      </c>
      <c r="E111" s="185">
        <f>F111-D111</f>
        <v>-29</v>
      </c>
      <c r="F111" s="185">
        <v>-88</v>
      </c>
      <c r="G111" s="12"/>
      <c r="H111" s="333">
        <f>-119-F111</f>
        <v>-31</v>
      </c>
      <c r="I111" s="57">
        <f>J111-H111</f>
        <v>-59</v>
      </c>
      <c r="J111" s="57">
        <f>L111-F111</f>
        <v>-90</v>
      </c>
      <c r="K111" s="57"/>
      <c r="L111" s="334">
        <v>-178</v>
      </c>
      <c r="M111" s="112"/>
      <c r="N111" s="112"/>
      <c r="P111" s="58"/>
      <c r="Q111" s="58"/>
      <c r="R111" s="58"/>
      <c r="S111" s="58"/>
      <c r="T111" s="58"/>
      <c r="V111" s="112"/>
      <c r="W111" s="112"/>
      <c r="X111" s="112"/>
      <c r="Z111" s="58"/>
      <c r="AA111" s="58"/>
      <c r="AB111" s="88"/>
      <c r="AC111" s="88"/>
      <c r="AD111" s="88"/>
      <c r="AF111" s="112"/>
      <c r="AG111" s="112"/>
      <c r="AH111" s="112"/>
      <c r="AJ111" s="58"/>
      <c r="AK111" s="58"/>
      <c r="AL111" s="88"/>
      <c r="AM111" s="88"/>
      <c r="AN111" s="88"/>
      <c r="AP111" s="112"/>
      <c r="AQ111" s="112"/>
      <c r="AR111" s="112"/>
      <c r="AT111" s="58"/>
      <c r="AU111" s="58"/>
      <c r="AV111" s="88"/>
      <c r="AW111" s="88"/>
      <c r="AX111" s="88"/>
      <c r="BA111" s="112"/>
      <c r="BB111" s="112"/>
      <c r="BC111" s="112"/>
      <c r="BE111" s="58"/>
      <c r="BF111" s="58"/>
      <c r="BG111" s="88"/>
      <c r="BH111" s="88"/>
      <c r="BI111" s="88"/>
    </row>
    <row r="112" spans="2:61" ht="13.5" customHeight="1">
      <c r="B112" t="s">
        <v>197</v>
      </c>
      <c r="D112" s="16">
        <v>-35</v>
      </c>
      <c r="E112" s="186">
        <f>F112-D112</f>
        <v>-15</v>
      </c>
      <c r="F112" s="186">
        <v>-50</v>
      </c>
      <c r="H112" s="328">
        <f>-72-F112</f>
        <v>-22</v>
      </c>
      <c r="I112" s="85">
        <f>J112-H112</f>
        <v>-36</v>
      </c>
      <c r="J112" s="85">
        <f>L112-F112</f>
        <v>-58</v>
      </c>
      <c r="K112" s="58"/>
      <c r="L112" s="349">
        <v>-108</v>
      </c>
      <c r="M112" s="112"/>
      <c r="N112" s="112"/>
      <c r="P112" s="58"/>
      <c r="Q112" s="58"/>
      <c r="R112" s="58"/>
      <c r="S112" s="58"/>
      <c r="T112" s="58"/>
      <c r="V112" s="112"/>
      <c r="W112" s="112"/>
      <c r="X112" s="112"/>
      <c r="Z112" s="58"/>
      <c r="AA112" s="58"/>
      <c r="AB112" s="88"/>
      <c r="AC112" s="88"/>
      <c r="AD112" s="88"/>
      <c r="AF112" s="112"/>
      <c r="AG112" s="112"/>
      <c r="AH112" s="112"/>
      <c r="AK112" s="58"/>
      <c r="AL112" s="88"/>
      <c r="AM112" s="88"/>
      <c r="AN112" s="88"/>
      <c r="AP112" s="112"/>
      <c r="AQ112" s="112"/>
      <c r="AR112" s="112"/>
      <c r="AT112" s="58"/>
      <c r="AU112" s="58"/>
      <c r="AV112" s="88"/>
      <c r="AW112" s="88"/>
      <c r="AX112" s="88"/>
      <c r="BA112" s="112"/>
      <c r="BB112" s="112"/>
      <c r="BC112" s="112"/>
      <c r="BF112" s="58"/>
      <c r="BG112" s="88"/>
      <c r="BH112" s="88"/>
      <c r="BI112" s="88"/>
    </row>
    <row r="113" spans="2:61" ht="13.5" customHeight="1">
      <c r="B113" t="s">
        <v>202</v>
      </c>
      <c r="D113" s="16">
        <v>-8</v>
      </c>
      <c r="E113" s="186">
        <f t="shared" ref="E113:E117" si="16">F113-D113</f>
        <v>0</v>
      </c>
      <c r="F113" s="186">
        <v>-8</v>
      </c>
      <c r="H113" s="328">
        <f>-4-F113</f>
        <v>4</v>
      </c>
      <c r="I113" s="58">
        <f>J113-H113</f>
        <v>1</v>
      </c>
      <c r="J113" s="58">
        <f>L113-F113</f>
        <v>5</v>
      </c>
      <c r="K113" s="58"/>
      <c r="L113" s="350">
        <v>-3</v>
      </c>
      <c r="M113" s="112"/>
      <c r="N113" s="112"/>
      <c r="P113" s="112"/>
      <c r="Q113" s="58"/>
      <c r="R113" s="58"/>
      <c r="S113" s="58"/>
      <c r="T113" s="58"/>
      <c r="V113" s="112"/>
      <c r="W113" s="112"/>
      <c r="X113" s="112"/>
      <c r="Z113" s="112"/>
      <c r="AA113" s="58"/>
      <c r="AB113" s="88"/>
      <c r="AC113" s="88"/>
      <c r="AD113" s="88"/>
      <c r="AF113" s="112"/>
      <c r="AG113" s="112"/>
      <c r="AH113" s="112"/>
      <c r="AJ113" s="112"/>
      <c r="AK113" s="58"/>
      <c r="AL113" s="88"/>
      <c r="AM113" s="88"/>
      <c r="AN113" s="88"/>
      <c r="AP113" s="112"/>
      <c r="AQ113" s="112"/>
      <c r="AR113" s="112"/>
      <c r="AT113" s="58"/>
      <c r="AU113" s="58"/>
      <c r="AV113" s="88"/>
      <c r="AW113" s="88"/>
      <c r="AX113" s="88"/>
      <c r="BA113" s="112"/>
      <c r="BB113" s="112"/>
      <c r="BC113" s="112"/>
      <c r="BF113" s="58"/>
      <c r="BG113" s="88"/>
      <c r="BH113" s="88"/>
      <c r="BI113" s="88"/>
    </row>
    <row r="114" spans="2:61" ht="13.5" customHeight="1">
      <c r="B114" t="s">
        <v>198</v>
      </c>
      <c r="D114" s="16">
        <v>-5</v>
      </c>
      <c r="E114" s="186">
        <f t="shared" si="16"/>
        <v>-6</v>
      </c>
      <c r="F114" s="186">
        <v>-11</v>
      </c>
      <c r="H114" s="328">
        <f>-16-F114</f>
        <v>-5</v>
      </c>
      <c r="I114" s="58">
        <f t="shared" ref="I114:I117" si="17">J114-H114</f>
        <v>-4</v>
      </c>
      <c r="J114" s="58">
        <f t="shared" ref="J114:J117" si="18">L114-F114</f>
        <v>-9</v>
      </c>
      <c r="K114" s="58"/>
      <c r="L114" s="350">
        <v>-20</v>
      </c>
      <c r="M114" s="112"/>
      <c r="N114" s="112"/>
      <c r="P114" s="58"/>
      <c r="Q114" s="58"/>
      <c r="R114" s="58"/>
      <c r="S114" s="58"/>
      <c r="T114" s="58"/>
      <c r="V114" s="112"/>
      <c r="W114" s="112"/>
      <c r="X114" s="112"/>
      <c r="Z114" s="58"/>
      <c r="AA114" s="58"/>
      <c r="AB114" s="88"/>
      <c r="AC114" s="88"/>
      <c r="AD114" s="88"/>
      <c r="AF114" s="112"/>
      <c r="AG114" s="112"/>
      <c r="AH114" s="112"/>
      <c r="AK114" s="58"/>
      <c r="AL114" s="88"/>
      <c r="AM114" s="88"/>
      <c r="AN114" s="88"/>
      <c r="AP114" s="112"/>
      <c r="AQ114" s="112"/>
      <c r="AR114" s="112"/>
      <c r="AT114" s="58"/>
      <c r="AU114" s="58"/>
      <c r="AV114" s="88"/>
      <c r="AW114" s="88"/>
      <c r="AX114" s="88"/>
      <c r="BA114" s="112"/>
      <c r="BB114" s="112"/>
      <c r="BC114" s="112"/>
      <c r="BF114" s="58"/>
      <c r="BG114" s="88"/>
      <c r="BH114" s="88"/>
      <c r="BI114" s="88"/>
    </row>
    <row r="115" spans="2:61" ht="13.5" customHeight="1">
      <c r="B115" t="s">
        <v>199</v>
      </c>
      <c r="D115" s="16">
        <v>-3</v>
      </c>
      <c r="E115" s="186">
        <f t="shared" si="16"/>
        <v>-3</v>
      </c>
      <c r="F115" s="186">
        <v>-6</v>
      </c>
      <c r="H115" s="328">
        <f>-9-F115</f>
        <v>-3</v>
      </c>
      <c r="I115" s="58">
        <f t="shared" si="17"/>
        <v>-11</v>
      </c>
      <c r="J115" s="58">
        <f t="shared" si="18"/>
        <v>-14</v>
      </c>
      <c r="K115" s="58"/>
      <c r="L115" s="350">
        <v>-20</v>
      </c>
      <c r="M115" s="112"/>
      <c r="N115" s="112"/>
      <c r="P115" s="58"/>
      <c r="Q115" s="58"/>
      <c r="R115" s="58"/>
      <c r="S115" s="58"/>
      <c r="T115" s="58"/>
      <c r="V115" s="112"/>
      <c r="W115" s="112"/>
      <c r="X115" s="112"/>
      <c r="Z115" s="58"/>
      <c r="AA115" s="58"/>
      <c r="AB115" s="88"/>
      <c r="AC115" s="88"/>
      <c r="AD115" s="88"/>
      <c r="AF115" s="112"/>
      <c r="AG115" s="112"/>
      <c r="AH115" s="112"/>
      <c r="AK115" s="58"/>
      <c r="AL115" s="88"/>
      <c r="AM115" s="88"/>
      <c r="AN115" s="88"/>
      <c r="AP115" s="112"/>
      <c r="AQ115" s="112"/>
      <c r="AR115" s="112"/>
      <c r="AT115" s="58"/>
      <c r="AU115" s="58"/>
      <c r="AV115" s="88"/>
      <c r="AW115" s="88"/>
      <c r="AX115" s="88"/>
      <c r="BA115" s="112"/>
      <c r="BB115" s="112"/>
      <c r="BC115" s="112"/>
      <c r="BF115" s="58"/>
      <c r="BG115" s="88"/>
      <c r="BH115" s="88"/>
      <c r="BI115" s="88"/>
    </row>
    <row r="116" spans="2:61" ht="13.5" customHeight="1">
      <c r="B116" t="s">
        <v>201</v>
      </c>
      <c r="D116" s="16">
        <v>-10</v>
      </c>
      <c r="E116" s="186">
        <f t="shared" si="16"/>
        <v>-10</v>
      </c>
      <c r="F116" s="186">
        <v>-20</v>
      </c>
      <c r="H116" s="328">
        <f>-29-F116</f>
        <v>-9</v>
      </c>
      <c r="I116" s="58">
        <f t="shared" si="17"/>
        <v>-10</v>
      </c>
      <c r="J116" s="58">
        <f t="shared" si="18"/>
        <v>-19</v>
      </c>
      <c r="K116" s="58"/>
      <c r="L116" s="350">
        <v>-39</v>
      </c>
      <c r="M116" s="112"/>
      <c r="N116" s="112"/>
      <c r="P116" s="58"/>
      <c r="Q116" s="58"/>
      <c r="R116" s="58"/>
      <c r="S116" s="58"/>
      <c r="T116" s="58"/>
      <c r="V116" s="112"/>
      <c r="W116" s="112"/>
      <c r="X116" s="112"/>
      <c r="Z116" s="58"/>
      <c r="AA116" s="58"/>
      <c r="AB116" s="88"/>
      <c r="AC116" s="88"/>
      <c r="AD116" s="88"/>
      <c r="AF116" s="112"/>
      <c r="AG116" s="112"/>
      <c r="AH116" s="112"/>
      <c r="AK116" s="58"/>
      <c r="AL116" s="88"/>
      <c r="AM116" s="88"/>
      <c r="AN116" s="88"/>
      <c r="AP116" s="112"/>
      <c r="AQ116" s="112"/>
      <c r="AR116" s="112"/>
      <c r="AT116" s="58"/>
      <c r="AU116" s="58"/>
      <c r="AV116" s="88"/>
      <c r="AW116" s="88"/>
      <c r="AX116" s="88"/>
      <c r="BA116" s="112"/>
      <c r="BB116" s="112"/>
      <c r="BC116" s="112"/>
      <c r="BF116" s="58"/>
      <c r="BG116" s="88"/>
      <c r="BH116" s="88"/>
      <c r="BI116" s="88"/>
    </row>
    <row r="117" spans="2:61" ht="13.5" customHeight="1">
      <c r="B117" t="s">
        <v>119</v>
      </c>
      <c r="D117" s="16">
        <v>2</v>
      </c>
      <c r="E117" s="186">
        <f t="shared" si="16"/>
        <v>5</v>
      </c>
      <c r="F117" s="186">
        <v>7</v>
      </c>
      <c r="H117" s="328">
        <f>11-F117</f>
        <v>4</v>
      </c>
      <c r="I117" s="58">
        <f t="shared" si="17"/>
        <v>1</v>
      </c>
      <c r="J117" s="58">
        <f t="shared" si="18"/>
        <v>5</v>
      </c>
      <c r="K117" s="58"/>
      <c r="L117" s="350">
        <v>12</v>
      </c>
      <c r="M117" s="112"/>
      <c r="N117" s="112"/>
      <c r="P117" s="178"/>
      <c r="Q117" s="58"/>
      <c r="R117" s="58"/>
      <c r="S117" s="58"/>
      <c r="T117" s="58"/>
      <c r="V117" s="112"/>
      <c r="W117" s="112"/>
      <c r="X117" s="112"/>
      <c r="Z117" s="178"/>
      <c r="AA117" s="58"/>
      <c r="AB117" s="88"/>
      <c r="AC117" s="88"/>
      <c r="AD117" s="88"/>
      <c r="AF117" s="112"/>
      <c r="AG117" s="112"/>
      <c r="AH117" s="112"/>
      <c r="AK117" s="58"/>
      <c r="AL117" s="88"/>
      <c r="AM117" s="88"/>
      <c r="AN117" s="88"/>
      <c r="AP117" s="112"/>
      <c r="AQ117" s="112"/>
      <c r="AR117" s="112"/>
      <c r="AT117" s="58"/>
      <c r="AU117" s="58"/>
      <c r="AV117" s="88"/>
      <c r="AW117" s="88"/>
      <c r="AX117" s="88"/>
      <c r="BA117" s="112"/>
      <c r="BB117" s="112"/>
      <c r="BC117" s="112"/>
      <c r="BF117" s="58"/>
      <c r="BG117" s="88"/>
      <c r="BH117" s="88"/>
      <c r="BI117" s="88"/>
    </row>
    <row r="118" spans="2:61" ht="13.5" customHeight="1">
      <c r="D118" s="16"/>
      <c r="E118" s="186"/>
      <c r="F118" s="186"/>
      <c r="I118" s="58"/>
      <c r="J118" s="58"/>
      <c r="K118" s="58"/>
      <c r="L118" s="351"/>
      <c r="M118" s="112"/>
      <c r="N118" s="112"/>
      <c r="Q118" s="58"/>
      <c r="R118" s="58"/>
      <c r="S118" s="58"/>
      <c r="T118" s="112"/>
      <c r="V118" s="112"/>
      <c r="W118" s="112"/>
      <c r="X118" s="112"/>
      <c r="AA118" s="58"/>
      <c r="AB118" s="88"/>
      <c r="AC118" s="88"/>
      <c r="AD118" s="98"/>
      <c r="AF118" s="112"/>
      <c r="AG118" s="112"/>
      <c r="AH118" s="112"/>
      <c r="AK118" s="58"/>
      <c r="AL118" s="88"/>
      <c r="AM118" s="88"/>
      <c r="AN118" s="98"/>
      <c r="AP118" s="112"/>
      <c r="AQ118" s="112"/>
      <c r="AR118" s="112"/>
      <c r="AU118" s="58"/>
      <c r="AV118" s="88"/>
      <c r="AW118" s="88"/>
      <c r="AX118" s="98"/>
      <c r="BA118" s="112"/>
      <c r="BB118" s="112"/>
      <c r="BC118" s="112"/>
      <c r="BF118" s="58"/>
      <c r="BG118" s="88"/>
      <c r="BH118" s="88"/>
      <c r="BI118" s="98"/>
    </row>
    <row r="119" spans="2:61" ht="13.5" customHeight="1" thickBot="1">
      <c r="B119" s="12" t="s">
        <v>166</v>
      </c>
      <c r="C119" s="12"/>
      <c r="D119" s="253">
        <v>-145</v>
      </c>
      <c r="E119" s="185">
        <f>F119-D119</f>
        <v>793</v>
      </c>
      <c r="F119" s="185">
        <v>648</v>
      </c>
      <c r="G119" s="12"/>
      <c r="H119" s="334">
        <f>1292-F119</f>
        <v>644</v>
      </c>
      <c r="I119" s="57">
        <f>J119-H119</f>
        <v>1295</v>
      </c>
      <c r="J119" s="57">
        <f>L119-F119</f>
        <v>1939</v>
      </c>
      <c r="K119" s="57"/>
      <c r="L119" s="334">
        <v>2587</v>
      </c>
      <c r="M119" s="112"/>
      <c r="N119" s="112"/>
      <c r="P119" s="58"/>
      <c r="Q119" s="58"/>
      <c r="R119" s="58"/>
      <c r="S119" s="58"/>
      <c r="T119" s="58"/>
      <c r="V119" s="112"/>
      <c r="W119" s="112"/>
      <c r="X119" s="112"/>
      <c r="Z119" s="58"/>
      <c r="AA119" s="58"/>
      <c r="AB119" s="88"/>
      <c r="AC119" s="88"/>
      <c r="AD119" s="88"/>
      <c r="AF119" s="112"/>
      <c r="AG119" s="112"/>
      <c r="AH119" s="112"/>
      <c r="AJ119" s="58"/>
      <c r="AK119" s="58"/>
      <c r="AL119" s="88"/>
      <c r="AM119" s="88"/>
      <c r="AN119" s="88"/>
      <c r="AP119" s="112"/>
      <c r="AQ119" s="112"/>
      <c r="AR119" s="112"/>
      <c r="AT119" s="58"/>
      <c r="AU119" s="58"/>
      <c r="AV119" s="88"/>
      <c r="AW119" s="88"/>
      <c r="AX119" s="88"/>
      <c r="BA119" s="112"/>
      <c r="BB119" s="112"/>
      <c r="BC119" s="112"/>
      <c r="BE119" s="58"/>
      <c r="BF119" s="58"/>
      <c r="BG119" s="88"/>
      <c r="BH119" s="88"/>
      <c r="BI119" s="88"/>
    </row>
    <row r="120" spans="2:61" ht="13.5" customHeight="1">
      <c r="B120" t="s">
        <v>197</v>
      </c>
      <c r="D120" s="16">
        <v>-286</v>
      </c>
      <c r="E120" s="186">
        <f>F120-D120</f>
        <v>505</v>
      </c>
      <c r="F120" s="186">
        <v>219</v>
      </c>
      <c r="H120" s="328">
        <f>549-F120</f>
        <v>330</v>
      </c>
      <c r="I120" s="85">
        <f>J120-H120</f>
        <v>1349</v>
      </c>
      <c r="J120" s="85">
        <f>L120-F120</f>
        <v>1679</v>
      </c>
      <c r="K120" s="58"/>
      <c r="L120" s="349">
        <v>1898</v>
      </c>
      <c r="M120" s="112"/>
      <c r="N120" s="112"/>
      <c r="P120" s="112"/>
      <c r="Q120" s="58"/>
      <c r="R120" s="58"/>
      <c r="S120" s="58"/>
      <c r="T120" s="58"/>
      <c r="V120" s="112"/>
      <c r="W120" s="112"/>
      <c r="X120" s="112"/>
      <c r="Z120" s="112"/>
      <c r="AA120" s="58"/>
      <c r="AB120" s="88"/>
      <c r="AC120" s="88"/>
      <c r="AD120" s="88"/>
      <c r="AF120" s="112"/>
      <c r="AG120" s="112"/>
      <c r="AH120" s="112"/>
      <c r="AJ120" s="112"/>
      <c r="AK120" s="58"/>
      <c r="AL120" s="88"/>
      <c r="AM120" s="88"/>
      <c r="AN120" s="88"/>
      <c r="AP120" s="112"/>
      <c r="AQ120" s="112"/>
      <c r="AR120" s="112"/>
      <c r="AT120" s="112"/>
      <c r="AU120" s="58"/>
      <c r="AV120" s="88"/>
      <c r="AW120" s="88"/>
      <c r="AX120" s="88"/>
      <c r="BA120" s="112"/>
      <c r="BB120" s="112"/>
      <c r="BC120" s="112"/>
      <c r="BE120" s="112"/>
      <c r="BF120" s="58"/>
      <c r="BG120" s="88"/>
      <c r="BH120" s="88"/>
      <c r="BI120" s="88"/>
    </row>
    <row r="121" spans="2:61" ht="13.5" customHeight="1">
      <c r="B121" t="s">
        <v>202</v>
      </c>
      <c r="D121" s="16">
        <v>11</v>
      </c>
      <c r="E121" s="186">
        <f t="shared" ref="E121:E125" si="19">F121-D121</f>
        <v>78</v>
      </c>
      <c r="F121" s="186">
        <v>89</v>
      </c>
      <c r="H121" s="46">
        <f>173-F121</f>
        <v>84</v>
      </c>
      <c r="I121" s="58">
        <f>J121-H121</f>
        <v>-74</v>
      </c>
      <c r="J121" s="58">
        <f>L121-F121</f>
        <v>10</v>
      </c>
      <c r="K121" s="58"/>
      <c r="L121" s="350">
        <v>99</v>
      </c>
      <c r="M121" s="112"/>
      <c r="N121" s="112"/>
      <c r="P121" s="74"/>
      <c r="Q121" s="58"/>
      <c r="R121" s="58"/>
      <c r="S121" s="58"/>
      <c r="T121" s="58"/>
      <c r="V121" s="112"/>
      <c r="W121" s="112"/>
      <c r="X121" s="112"/>
      <c r="Z121" s="74"/>
      <c r="AA121" s="58"/>
      <c r="AB121" s="88"/>
      <c r="AC121" s="88"/>
      <c r="AD121" s="88"/>
      <c r="AF121" s="112"/>
      <c r="AG121" s="112"/>
      <c r="AH121" s="112"/>
      <c r="AJ121" s="74"/>
      <c r="AK121" s="58"/>
      <c r="AL121" s="88"/>
      <c r="AM121" s="88"/>
      <c r="AN121" s="88"/>
      <c r="AP121" s="112"/>
      <c r="AQ121" s="112"/>
      <c r="AR121" s="112"/>
      <c r="AT121" s="97"/>
      <c r="AU121" s="58"/>
      <c r="AV121" s="88"/>
      <c r="AW121" s="88"/>
      <c r="AX121" s="88"/>
      <c r="BA121" s="112"/>
      <c r="BB121" s="112"/>
      <c r="BC121" s="112"/>
      <c r="BE121" s="97"/>
      <c r="BF121" s="58"/>
      <c r="BG121" s="88"/>
      <c r="BH121" s="88"/>
      <c r="BI121" s="88"/>
    </row>
    <row r="122" spans="2:61" ht="13.5" customHeight="1">
      <c r="B122" t="s">
        <v>198</v>
      </c>
      <c r="D122" s="16">
        <v>18</v>
      </c>
      <c r="E122" s="186">
        <f t="shared" si="19"/>
        <v>22</v>
      </c>
      <c r="F122" s="186">
        <v>40</v>
      </c>
      <c r="H122" s="328">
        <f>63-F122</f>
        <v>23</v>
      </c>
      <c r="I122" s="58">
        <f t="shared" ref="I122:I125" si="20">J122-H122</f>
        <v>-59</v>
      </c>
      <c r="J122" s="58">
        <f t="shared" ref="J122:J125" si="21">L122-F122</f>
        <v>-36</v>
      </c>
      <c r="K122" s="58"/>
      <c r="L122" s="350">
        <v>4</v>
      </c>
      <c r="M122" s="112"/>
      <c r="N122" s="112"/>
      <c r="P122" s="112"/>
      <c r="Q122" s="58"/>
      <c r="R122" s="58"/>
      <c r="S122" s="58"/>
      <c r="T122" s="58"/>
      <c r="V122" s="112"/>
      <c r="W122" s="112"/>
      <c r="X122" s="112"/>
      <c r="Z122" s="112"/>
      <c r="AA122" s="58"/>
      <c r="AB122" s="88"/>
      <c r="AC122" s="88"/>
      <c r="AD122" s="88"/>
      <c r="AF122" s="112"/>
      <c r="AG122" s="112"/>
      <c r="AH122" s="112"/>
      <c r="AJ122" s="112"/>
      <c r="AK122" s="58"/>
      <c r="AL122" s="88"/>
      <c r="AM122" s="88"/>
      <c r="AN122" s="88"/>
      <c r="AP122" s="112"/>
      <c r="AQ122" s="112"/>
      <c r="AR122" s="112"/>
      <c r="AT122" s="112"/>
      <c r="AU122" s="58"/>
      <c r="AV122" s="88"/>
      <c r="AW122" s="88"/>
      <c r="AX122" s="88"/>
      <c r="BA122" s="112"/>
      <c r="BB122" s="112"/>
      <c r="BC122" s="112"/>
      <c r="BE122" s="112"/>
      <c r="BF122" s="58"/>
      <c r="BG122" s="88"/>
      <c r="BH122" s="88"/>
      <c r="BI122" s="88"/>
    </row>
    <row r="123" spans="2:61" ht="13.5" customHeight="1">
      <c r="B123" t="s">
        <v>199</v>
      </c>
      <c r="D123" s="16">
        <v>45</v>
      </c>
      <c r="E123" s="186">
        <f t="shared" si="19"/>
        <v>64</v>
      </c>
      <c r="F123" s="186">
        <v>109</v>
      </c>
      <c r="H123" s="328">
        <f>137-F123</f>
        <v>28</v>
      </c>
      <c r="I123" s="58">
        <f t="shared" si="20"/>
        <v>-60</v>
      </c>
      <c r="J123" s="58">
        <f t="shared" si="21"/>
        <v>-32</v>
      </c>
      <c r="K123" s="58"/>
      <c r="L123" s="350">
        <v>77</v>
      </c>
      <c r="M123" s="112"/>
      <c r="N123" s="112"/>
      <c r="P123" s="112"/>
      <c r="Q123" s="58"/>
      <c r="R123" s="58"/>
      <c r="S123" s="58"/>
      <c r="T123" s="58"/>
      <c r="V123" s="112"/>
      <c r="W123" s="112"/>
      <c r="X123" s="112"/>
      <c r="Z123" s="112"/>
      <c r="AA123" s="58"/>
      <c r="AB123" s="88"/>
      <c r="AC123" s="88"/>
      <c r="AD123" s="88"/>
      <c r="AF123" s="112"/>
      <c r="AG123" s="112"/>
      <c r="AH123" s="112"/>
      <c r="AJ123" s="112"/>
      <c r="AK123" s="58"/>
      <c r="AL123" s="88"/>
      <c r="AM123" s="88"/>
      <c r="AN123" s="88"/>
      <c r="AP123" s="112"/>
      <c r="AQ123" s="112"/>
      <c r="AR123" s="112"/>
      <c r="AT123" s="112"/>
      <c r="AU123" s="58"/>
      <c r="AV123" s="88"/>
      <c r="AW123" s="88"/>
      <c r="AX123" s="88"/>
      <c r="BA123" s="112"/>
      <c r="BB123" s="112"/>
      <c r="BC123" s="112"/>
      <c r="BE123" s="112"/>
      <c r="BF123" s="58"/>
      <c r="BG123" s="88"/>
      <c r="BH123" s="88"/>
      <c r="BI123" s="88"/>
    </row>
    <row r="124" spans="2:61" ht="13.5" customHeight="1">
      <c r="B124" t="s">
        <v>201</v>
      </c>
      <c r="D124" s="16">
        <v>-12</v>
      </c>
      <c r="E124" s="186">
        <f t="shared" si="19"/>
        <v>-3</v>
      </c>
      <c r="F124" s="186">
        <v>-15</v>
      </c>
      <c r="H124" s="328">
        <f>-33-F124</f>
        <v>-18</v>
      </c>
      <c r="I124" s="58">
        <f t="shared" si="20"/>
        <v>-27</v>
      </c>
      <c r="J124" s="58">
        <f t="shared" si="21"/>
        <v>-45</v>
      </c>
      <c r="K124" s="58"/>
      <c r="L124" s="350">
        <v>-60</v>
      </c>
      <c r="M124" s="112"/>
      <c r="N124" s="112"/>
      <c r="P124" s="112"/>
      <c r="Q124" s="58"/>
      <c r="R124" s="58"/>
      <c r="S124" s="58"/>
      <c r="T124" s="58"/>
      <c r="V124" s="112"/>
      <c r="W124" s="112"/>
      <c r="X124" s="112"/>
      <c r="Z124" s="112"/>
      <c r="AA124" s="58"/>
      <c r="AB124" s="88"/>
      <c r="AC124" s="88"/>
      <c r="AD124" s="88"/>
      <c r="AF124" s="112"/>
      <c r="AG124" s="112"/>
      <c r="AH124" s="112"/>
      <c r="AJ124" s="112"/>
      <c r="AK124" s="58"/>
      <c r="AL124" s="88"/>
      <c r="AM124" s="88"/>
      <c r="AN124" s="88"/>
      <c r="AP124" s="112"/>
      <c r="AQ124" s="112"/>
      <c r="AR124" s="112"/>
      <c r="AT124" s="112"/>
      <c r="AU124" s="58"/>
      <c r="AV124" s="88"/>
      <c r="AW124" s="88"/>
      <c r="AX124" s="88"/>
      <c r="BA124" s="112"/>
      <c r="BB124" s="112"/>
      <c r="BC124" s="112"/>
      <c r="BE124" s="112"/>
      <c r="BF124" s="58"/>
      <c r="BG124" s="88"/>
      <c r="BH124" s="88"/>
      <c r="BI124" s="88"/>
    </row>
    <row r="125" spans="2:61" ht="13.5" customHeight="1">
      <c r="B125" t="s">
        <v>119</v>
      </c>
      <c r="D125" s="16">
        <v>79</v>
      </c>
      <c r="E125" s="186">
        <f t="shared" si="19"/>
        <v>127</v>
      </c>
      <c r="F125" s="186">
        <v>206</v>
      </c>
      <c r="H125" s="328">
        <f>403-F125</f>
        <v>197</v>
      </c>
      <c r="I125" s="58">
        <f t="shared" si="20"/>
        <v>166</v>
      </c>
      <c r="J125" s="58">
        <f t="shared" si="21"/>
        <v>363</v>
      </c>
      <c r="K125" s="58"/>
      <c r="L125" s="350">
        <v>569</v>
      </c>
      <c r="M125" s="112"/>
      <c r="N125" s="112"/>
      <c r="P125" s="74"/>
      <c r="Q125" s="58"/>
      <c r="R125" s="58"/>
      <c r="S125" s="58"/>
      <c r="T125" s="58"/>
      <c r="V125" s="112"/>
      <c r="W125" s="112"/>
      <c r="X125" s="112"/>
      <c r="Z125" s="74"/>
      <c r="AA125" s="58"/>
      <c r="AB125" s="88"/>
      <c r="AC125" s="88"/>
      <c r="AD125" s="88"/>
      <c r="AF125" s="112"/>
      <c r="AG125" s="112"/>
      <c r="AH125" s="112"/>
      <c r="AJ125" s="74"/>
      <c r="AK125" s="58"/>
      <c r="AL125" s="88"/>
      <c r="AM125" s="88"/>
      <c r="AN125" s="88"/>
      <c r="AP125" s="112"/>
      <c r="AQ125" s="112"/>
      <c r="AR125" s="112"/>
      <c r="AT125" s="97"/>
      <c r="AU125" s="58"/>
      <c r="AV125" s="88"/>
      <c r="AW125" s="88"/>
      <c r="AX125" s="88"/>
      <c r="BA125" s="112"/>
      <c r="BB125" s="112"/>
      <c r="BC125" s="112"/>
      <c r="BE125" s="97"/>
      <c r="BF125" s="58"/>
      <c r="BG125" s="88"/>
      <c r="BH125" s="88"/>
      <c r="BI125" s="88"/>
    </row>
    <row r="126" spans="2:61">
      <c r="L126" s="352"/>
    </row>
    <row r="127" spans="2:61" ht="13.8" thickBot="1">
      <c r="B127" s="305" t="s">
        <v>192</v>
      </c>
      <c r="C127" s="304"/>
      <c r="D127" s="304">
        <v>449</v>
      </c>
      <c r="E127" s="316">
        <f>F127-D127</f>
        <v>947</v>
      </c>
      <c r="F127" s="311">
        <v>1396</v>
      </c>
      <c r="G127" s="304"/>
      <c r="H127" s="316">
        <f>2136-F127</f>
        <v>740</v>
      </c>
      <c r="I127" s="316">
        <f>J127-H127</f>
        <v>506</v>
      </c>
      <c r="J127" s="316">
        <f>L127-F127</f>
        <v>1246</v>
      </c>
      <c r="K127" s="304"/>
      <c r="L127" s="353">
        <v>2642</v>
      </c>
    </row>
    <row r="129" spans="1:61">
      <c r="A129" s="251"/>
      <c r="B129" s="252" t="s">
        <v>156</v>
      </c>
    </row>
    <row r="130" spans="1:61">
      <c r="B130" t="s">
        <v>1</v>
      </c>
      <c r="D130" s="244" t="str">
        <f>D5</f>
        <v>2025年度　（2025年4月-2026年3月）</v>
      </c>
      <c r="E130" s="244"/>
      <c r="F130" s="244"/>
      <c r="G130" s="244"/>
      <c r="H130" s="244"/>
      <c r="I130" s="244"/>
      <c r="J130" s="244"/>
      <c r="K130" s="244"/>
      <c r="L130" s="244"/>
      <c r="M130" s="5"/>
      <c r="N130" s="5"/>
      <c r="O130" s="5"/>
      <c r="P130" s="5"/>
      <c r="Q130" s="5"/>
      <c r="R130" s="5"/>
      <c r="S130" s="5"/>
      <c r="T130" s="5"/>
      <c r="V130" s="5"/>
      <c r="W130" s="5"/>
      <c r="X130" s="5"/>
      <c r="Y130" s="5"/>
      <c r="Z130" s="5"/>
      <c r="AA130" s="5"/>
      <c r="AB130" s="5"/>
      <c r="AC130" s="5"/>
      <c r="AD130" s="5"/>
      <c r="AF130" s="5"/>
      <c r="AG130" s="5"/>
      <c r="AH130" s="5"/>
      <c r="AI130" s="5"/>
      <c r="AJ130" s="5"/>
      <c r="AK130" s="5"/>
      <c r="AL130" s="5"/>
      <c r="AM130" s="5"/>
      <c r="AN130" s="5"/>
      <c r="AP130" s="5"/>
      <c r="AQ130" s="5"/>
      <c r="AR130" s="5"/>
      <c r="AS130" s="5"/>
      <c r="AT130" s="5"/>
      <c r="AU130" s="5"/>
      <c r="AV130" s="5"/>
      <c r="AW130" s="5"/>
      <c r="AX130" s="5"/>
      <c r="BA130" s="5"/>
      <c r="BB130" s="5"/>
      <c r="BC130" s="5"/>
      <c r="BD130" s="5"/>
      <c r="BE130" s="5"/>
      <c r="BF130" s="5"/>
      <c r="BG130" s="5"/>
      <c r="BH130" s="5"/>
      <c r="BI130" s="5"/>
    </row>
    <row r="131" spans="1:61" ht="3.75" customHeight="1">
      <c r="D131" s="5"/>
      <c r="E131" s="5"/>
      <c r="F131" s="5"/>
      <c r="G131" s="5"/>
      <c r="H131" s="5"/>
      <c r="I131" s="5"/>
      <c r="J131" s="5"/>
      <c r="K131" s="5"/>
      <c r="L131" s="244"/>
      <c r="M131" s="5"/>
      <c r="N131" s="5"/>
      <c r="O131" s="5"/>
      <c r="P131" s="5"/>
      <c r="Q131" s="5"/>
      <c r="R131" s="5"/>
      <c r="S131" s="5"/>
      <c r="T131" s="5"/>
      <c r="V131" s="5"/>
      <c r="W131" s="5"/>
      <c r="X131" s="5"/>
      <c r="Y131" s="5"/>
      <c r="Z131" s="5"/>
      <c r="AA131" s="5"/>
      <c r="AB131" s="5"/>
      <c r="AC131" s="5"/>
      <c r="AD131" s="5"/>
      <c r="AF131" s="5"/>
      <c r="AG131" s="5"/>
      <c r="AH131" s="5"/>
      <c r="AI131" s="5"/>
      <c r="AJ131" s="5"/>
      <c r="AK131" s="5"/>
      <c r="AL131" s="5"/>
      <c r="AM131" s="5"/>
      <c r="AN131" s="5"/>
      <c r="AP131" s="5"/>
      <c r="AQ131" s="5"/>
      <c r="AR131" s="5"/>
      <c r="AS131" s="5"/>
      <c r="AT131" s="5"/>
      <c r="AU131" s="5"/>
      <c r="AV131" s="5"/>
      <c r="AW131" s="5"/>
      <c r="AX131" s="5"/>
      <c r="BA131" s="5"/>
      <c r="BB131" s="5"/>
      <c r="BC131" s="5"/>
      <c r="BD131" s="5"/>
      <c r="BE131" s="5"/>
      <c r="BF131" s="5"/>
      <c r="BG131" s="5"/>
      <c r="BH131" s="5"/>
      <c r="BI131" s="5"/>
    </row>
    <row r="132" spans="1:61">
      <c r="D132" s="6"/>
      <c r="E132" s="6"/>
      <c r="F132" s="7" t="s">
        <v>28</v>
      </c>
      <c r="H132" s="7"/>
      <c r="I132" s="7"/>
      <c r="J132" s="7" t="s">
        <v>29</v>
      </c>
      <c r="L132" s="245" t="s">
        <v>4</v>
      </c>
      <c r="N132" s="8"/>
      <c r="P132" s="8"/>
      <c r="Q132" s="8"/>
      <c r="R132" s="8"/>
      <c r="T132" s="8"/>
      <c r="X132" s="8"/>
      <c r="Z132" s="8"/>
      <c r="AA132" s="8"/>
      <c r="AB132" s="8"/>
      <c r="AD132" s="8"/>
      <c r="AH132" s="8"/>
      <c r="AJ132" s="8"/>
      <c r="AK132" s="8"/>
      <c r="AL132" s="8"/>
      <c r="AN132" s="8"/>
      <c r="AR132" s="8"/>
      <c r="AT132" s="8"/>
      <c r="AU132" s="8"/>
      <c r="AV132" s="8"/>
      <c r="AX132" s="8"/>
      <c r="BC132" s="8"/>
      <c r="BE132" s="8"/>
      <c r="BF132" s="8"/>
      <c r="BG132" s="8"/>
      <c r="BI132" s="8"/>
    </row>
    <row r="133" spans="1:61" s="9" customFormat="1" ht="10.95" customHeight="1">
      <c r="D133" s="9" t="s">
        <v>31</v>
      </c>
      <c r="E133" s="9" t="s">
        <v>32</v>
      </c>
      <c r="F133" s="10" t="s">
        <v>33</v>
      </c>
      <c r="H133" s="9" t="s">
        <v>7</v>
      </c>
      <c r="I133" s="9" t="s">
        <v>8</v>
      </c>
      <c r="J133" s="10"/>
      <c r="L133" s="246"/>
      <c r="N133" s="11"/>
      <c r="R133" s="11"/>
      <c r="T133" s="11"/>
      <c r="X133" s="11"/>
      <c r="AB133" s="11"/>
      <c r="AD133" s="11"/>
      <c r="AH133" s="11"/>
      <c r="AL133" s="11"/>
      <c r="AN133" s="11"/>
      <c r="AR133" s="11"/>
      <c r="AV133" s="11"/>
      <c r="AX133" s="11"/>
      <c r="BC133" s="11"/>
      <c r="BG133" s="11"/>
      <c r="BI133" s="11"/>
    </row>
    <row r="134" spans="1:61" s="9" customFormat="1" ht="10.8">
      <c r="D134" s="9" t="s">
        <v>34</v>
      </c>
      <c r="E134" s="9" t="s">
        <v>35</v>
      </c>
      <c r="F134" s="10" t="s">
        <v>36</v>
      </c>
      <c r="H134" s="9" t="s">
        <v>12</v>
      </c>
      <c r="I134" s="9" t="s">
        <v>13</v>
      </c>
      <c r="J134" s="10" t="s">
        <v>37</v>
      </c>
      <c r="L134" s="246" t="s">
        <v>15</v>
      </c>
      <c r="N134" s="11"/>
      <c r="R134" s="11"/>
      <c r="T134" s="11"/>
      <c r="X134" s="11"/>
      <c r="AB134" s="11"/>
      <c r="AD134" s="11"/>
      <c r="AH134" s="11"/>
      <c r="AL134" s="11"/>
      <c r="AN134" s="11"/>
      <c r="AR134" s="11"/>
      <c r="AV134" s="11"/>
      <c r="AX134" s="11"/>
      <c r="BC134" s="11"/>
      <c r="BG134" s="11"/>
      <c r="BI134" s="11"/>
    </row>
    <row r="135" spans="1:61" ht="5.0999999999999996" customHeight="1"/>
    <row r="136" spans="1:61" ht="13.5" customHeight="1" thickBot="1">
      <c r="B136" s="12" t="s">
        <v>154</v>
      </c>
      <c r="C136" s="12"/>
      <c r="D136" s="57">
        <v>503</v>
      </c>
      <c r="E136" s="200">
        <f t="shared" ref="E136:E145" si="22">F136-D136</f>
        <v>1164</v>
      </c>
      <c r="F136" s="57">
        <v>1667</v>
      </c>
      <c r="G136" s="57"/>
      <c r="H136" s="57">
        <f>2708-F136</f>
        <v>1041</v>
      </c>
      <c r="I136" s="57">
        <f t="shared" ref="I136:I142" si="23">J136-H136</f>
        <v>1958</v>
      </c>
      <c r="J136" s="57">
        <f t="shared" ref="J136:J142" si="24">L136-F136</f>
        <v>2999</v>
      </c>
      <c r="K136" s="57"/>
      <c r="L136" s="334">
        <v>4666</v>
      </c>
      <c r="M136" s="58"/>
      <c r="N136" s="58"/>
      <c r="O136" s="58"/>
      <c r="P136" s="58"/>
      <c r="Q136" s="58"/>
      <c r="R136" s="58"/>
      <c r="S136" s="58"/>
      <c r="T136" s="58"/>
      <c r="V136" s="58"/>
      <c r="W136" s="58"/>
      <c r="X136" s="58"/>
      <c r="Y136" s="58"/>
      <c r="Z136" s="58"/>
      <c r="AA136" s="58"/>
      <c r="AB136" s="58"/>
      <c r="AC136" s="58"/>
      <c r="AD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row>
    <row r="137" spans="1:61" ht="13.5" customHeight="1" thickBot="1">
      <c r="B137" t="s">
        <v>155</v>
      </c>
      <c r="D137" s="58">
        <v>1351</v>
      </c>
      <c r="E137" s="181">
        <f t="shared" si="22"/>
        <v>1384</v>
      </c>
      <c r="F137" s="181">
        <v>2735</v>
      </c>
      <c r="G137" s="58"/>
      <c r="H137" s="58">
        <f>3914-F137</f>
        <v>1179</v>
      </c>
      <c r="I137" s="58">
        <f t="shared" si="23"/>
        <v>830</v>
      </c>
      <c r="J137" s="58">
        <f t="shared" si="24"/>
        <v>2009</v>
      </c>
      <c r="K137" s="58"/>
      <c r="L137" s="354">
        <v>4744</v>
      </c>
      <c r="M137" s="58"/>
      <c r="N137" s="58"/>
      <c r="O137" s="58"/>
      <c r="P137" s="58"/>
      <c r="Q137" s="58"/>
      <c r="R137" s="58"/>
      <c r="S137" s="58"/>
      <c r="T137" s="58"/>
      <c r="V137" s="58"/>
      <c r="W137" s="58"/>
      <c r="X137" s="58"/>
      <c r="Y137" s="58"/>
      <c r="Z137" s="58"/>
      <c r="AA137" s="58"/>
      <c r="AB137" s="58"/>
      <c r="AC137" s="58"/>
      <c r="AD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row>
    <row r="138" spans="1:61" ht="13.5" customHeight="1">
      <c r="B138" s="59" t="s">
        <v>207</v>
      </c>
      <c r="C138" s="60"/>
      <c r="D138" s="61">
        <v>40</v>
      </c>
      <c r="E138" s="261">
        <f t="shared" si="22"/>
        <v>673</v>
      </c>
      <c r="F138" s="261">
        <v>713</v>
      </c>
      <c r="G138" s="61"/>
      <c r="H138" s="61">
        <f>1187-F138</f>
        <v>474</v>
      </c>
      <c r="I138" s="61">
        <f t="shared" si="23"/>
        <v>1737</v>
      </c>
      <c r="J138" s="61">
        <f t="shared" si="24"/>
        <v>2211</v>
      </c>
      <c r="K138" s="61"/>
      <c r="L138" s="355">
        <v>2924</v>
      </c>
      <c r="M138" s="58"/>
      <c r="N138" s="58"/>
      <c r="O138" s="58"/>
      <c r="P138" s="58"/>
      <c r="Q138" s="58"/>
      <c r="R138" s="58"/>
      <c r="S138" s="58"/>
      <c r="T138" s="58"/>
      <c r="V138" s="58"/>
      <c r="W138" s="58"/>
      <c r="X138" s="58"/>
      <c r="Y138" s="58"/>
      <c r="Z138" s="58"/>
      <c r="AA138" s="58"/>
      <c r="AB138" s="58"/>
      <c r="AC138" s="58"/>
      <c r="AD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row>
    <row r="139" spans="1:61" ht="13.5" customHeight="1">
      <c r="B139" t="s">
        <v>204</v>
      </c>
      <c r="D139" s="58">
        <v>-848</v>
      </c>
      <c r="E139" s="181">
        <f t="shared" si="22"/>
        <v>-220</v>
      </c>
      <c r="F139" s="181">
        <v>-1068</v>
      </c>
      <c r="G139" s="58"/>
      <c r="H139" s="58">
        <f>-1206-F139</f>
        <v>-138</v>
      </c>
      <c r="I139" s="58">
        <f t="shared" si="23"/>
        <v>1128</v>
      </c>
      <c r="J139" s="58">
        <f t="shared" si="24"/>
        <v>990</v>
      </c>
      <c r="K139" s="58"/>
      <c r="L139" s="356">
        <v>-78</v>
      </c>
      <c r="M139" s="58"/>
      <c r="N139" s="58"/>
      <c r="O139" s="58"/>
      <c r="P139" s="58"/>
      <c r="Q139" s="58"/>
      <c r="R139" s="58"/>
      <c r="S139" s="58"/>
      <c r="T139" s="58"/>
      <c r="V139" s="58"/>
      <c r="W139" s="58"/>
      <c r="X139" s="58"/>
      <c r="Y139" s="58"/>
      <c r="Z139" s="58"/>
      <c r="AA139" s="58"/>
      <c r="AB139" s="58"/>
      <c r="AC139" s="58"/>
      <c r="AD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row>
    <row r="140" spans="1:61" ht="13.5" customHeight="1">
      <c r="B140" t="s">
        <v>205</v>
      </c>
      <c r="D140" s="58">
        <v>888</v>
      </c>
      <c r="E140" s="181">
        <f t="shared" si="22"/>
        <v>893</v>
      </c>
      <c r="F140" s="181">
        <f>F138-F139</f>
        <v>1781</v>
      </c>
      <c r="G140" s="58"/>
      <c r="H140" s="58">
        <f>2393-F140</f>
        <v>612</v>
      </c>
      <c r="I140" s="58">
        <f t="shared" si="23"/>
        <v>609</v>
      </c>
      <c r="J140" s="58">
        <f t="shared" si="24"/>
        <v>1221</v>
      </c>
      <c r="K140" s="58"/>
      <c r="L140" s="350">
        <v>3002</v>
      </c>
      <c r="M140" s="58"/>
      <c r="N140" s="58"/>
      <c r="O140" s="58"/>
      <c r="P140" s="58"/>
      <c r="Q140" s="58"/>
      <c r="R140" s="58"/>
      <c r="S140" s="58"/>
      <c r="T140" s="58"/>
      <c r="V140" s="58"/>
      <c r="W140" s="58"/>
      <c r="X140" s="58"/>
      <c r="Y140" s="58"/>
      <c r="Z140" s="58"/>
      <c r="AA140" s="58"/>
      <c r="AB140" s="58"/>
      <c r="AC140" s="58"/>
      <c r="AD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row>
    <row r="141" spans="1:61" ht="13.5" customHeight="1">
      <c r="B141" s="62" t="s">
        <v>211</v>
      </c>
      <c r="C141" s="34"/>
      <c r="D141" s="63">
        <v>132</v>
      </c>
      <c r="E141" s="262">
        <f t="shared" si="22"/>
        <v>141</v>
      </c>
      <c r="F141" s="262">
        <v>273</v>
      </c>
      <c r="G141" s="63"/>
      <c r="H141" s="63">
        <f>457-F141</f>
        <v>184</v>
      </c>
      <c r="I141" s="63">
        <f t="shared" si="23"/>
        <v>51</v>
      </c>
      <c r="J141" s="63">
        <f t="shared" si="24"/>
        <v>235</v>
      </c>
      <c r="K141" s="63"/>
      <c r="L141" s="357">
        <v>508</v>
      </c>
      <c r="M141" s="58"/>
      <c r="N141" s="58"/>
      <c r="O141" s="58"/>
      <c r="P141" s="58"/>
      <c r="Q141" s="58"/>
      <c r="R141" s="58"/>
      <c r="S141" s="58"/>
      <c r="T141" s="58"/>
      <c r="V141" s="58"/>
      <c r="W141" s="58"/>
      <c r="X141" s="58"/>
      <c r="Y141" s="58"/>
      <c r="Z141" s="58"/>
      <c r="AA141" s="58"/>
      <c r="AB141" s="58"/>
      <c r="AC141" s="58"/>
      <c r="AD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row>
    <row r="142" spans="1:61" ht="13.5" customHeight="1">
      <c r="B142" s="62" t="s">
        <v>208</v>
      </c>
      <c r="C142" s="34"/>
      <c r="D142" s="63">
        <v>53</v>
      </c>
      <c r="E142" s="262">
        <f t="shared" si="22"/>
        <v>41</v>
      </c>
      <c r="F142" s="262">
        <v>94</v>
      </c>
      <c r="G142" s="63"/>
      <c r="H142" s="63">
        <f>143-F142</f>
        <v>49</v>
      </c>
      <c r="I142" s="63">
        <f t="shared" si="23"/>
        <v>-32</v>
      </c>
      <c r="J142" s="63">
        <f t="shared" si="24"/>
        <v>17</v>
      </c>
      <c r="K142" s="63"/>
      <c r="L142" s="357">
        <v>111</v>
      </c>
      <c r="M142" s="58"/>
      <c r="N142" s="58"/>
      <c r="O142" s="58"/>
      <c r="P142" s="58"/>
      <c r="Q142" s="58"/>
      <c r="R142" s="58"/>
      <c r="S142" s="58"/>
      <c r="T142" s="58"/>
      <c r="V142" s="58"/>
      <c r="W142" s="58"/>
      <c r="X142" s="58"/>
      <c r="Y142" s="58"/>
      <c r="Z142" s="58"/>
      <c r="AA142" s="58"/>
      <c r="AB142" s="58"/>
      <c r="AC142" s="58"/>
      <c r="AD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row>
    <row r="143" spans="1:61" ht="13.5" customHeight="1">
      <c r="B143" s="62" t="s">
        <v>209</v>
      </c>
      <c r="C143" s="34"/>
      <c r="D143" s="63">
        <v>80</v>
      </c>
      <c r="E143" s="262">
        <f t="shared" si="22"/>
        <v>107</v>
      </c>
      <c r="F143" s="262">
        <v>187</v>
      </c>
      <c r="G143" s="63"/>
      <c r="H143" s="63">
        <f>232-F143</f>
        <v>45</v>
      </c>
      <c r="I143" s="63">
        <f t="shared" ref="I143:I145" si="25">J143-H143</f>
        <v>-12</v>
      </c>
      <c r="J143" s="63">
        <f t="shared" ref="J143:J145" si="26">L143-F143</f>
        <v>33</v>
      </c>
      <c r="K143" s="63"/>
      <c r="L143" s="358">
        <v>220</v>
      </c>
      <c r="M143" s="58"/>
      <c r="N143" s="58"/>
      <c r="O143" s="58"/>
      <c r="P143" s="58"/>
      <c r="Q143" s="58"/>
      <c r="R143" s="58"/>
      <c r="S143" s="58"/>
      <c r="T143" s="58"/>
      <c r="V143" s="58"/>
      <c r="W143" s="58"/>
      <c r="X143" s="58"/>
      <c r="Y143" s="58"/>
      <c r="Z143" s="58"/>
      <c r="AA143" s="58"/>
      <c r="AB143" s="58"/>
      <c r="AC143" s="58"/>
      <c r="AD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row>
    <row r="144" spans="1:61" ht="13.5" customHeight="1">
      <c r="B144" s="62" t="s">
        <v>210</v>
      </c>
      <c r="C144" s="34"/>
      <c r="D144" s="63">
        <v>3</v>
      </c>
      <c r="E144" s="262">
        <f t="shared" si="22"/>
        <v>8</v>
      </c>
      <c r="F144" s="262">
        <v>11</v>
      </c>
      <c r="G144" s="63"/>
      <c r="H144" s="63">
        <f>5-F144</f>
        <v>-6</v>
      </c>
      <c r="I144" s="63">
        <f t="shared" si="25"/>
        <v>-14</v>
      </c>
      <c r="J144" s="63">
        <f t="shared" si="26"/>
        <v>-20</v>
      </c>
      <c r="K144" s="63"/>
      <c r="L144" s="358">
        <v>-9</v>
      </c>
      <c r="M144" s="58"/>
      <c r="N144" s="58"/>
      <c r="O144" s="58"/>
      <c r="P144" s="58"/>
      <c r="Q144" s="58"/>
      <c r="R144" s="58"/>
      <c r="S144" s="58"/>
      <c r="T144" s="58"/>
      <c r="V144" s="58"/>
      <c r="W144" s="58"/>
      <c r="X144" s="58"/>
      <c r="Y144" s="58"/>
      <c r="Z144" s="58"/>
      <c r="AA144" s="58"/>
      <c r="AB144" s="58"/>
      <c r="AC144" s="58"/>
      <c r="AD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row>
    <row r="145" spans="1:61" ht="13.5" customHeight="1">
      <c r="B145" s="66" t="s">
        <v>206</v>
      </c>
      <c r="C145" s="34"/>
      <c r="D145" s="63">
        <v>195</v>
      </c>
      <c r="E145" s="262">
        <f t="shared" si="22"/>
        <v>194</v>
      </c>
      <c r="F145" s="262">
        <v>389</v>
      </c>
      <c r="G145" s="63"/>
      <c r="H145" s="63">
        <f>684-F145</f>
        <v>295</v>
      </c>
      <c r="I145" s="63">
        <f t="shared" si="25"/>
        <v>228</v>
      </c>
      <c r="J145" s="63">
        <f t="shared" si="26"/>
        <v>523</v>
      </c>
      <c r="K145" s="161"/>
      <c r="L145" s="359">
        <v>912</v>
      </c>
      <c r="M145" s="58"/>
      <c r="N145" s="58"/>
      <c r="O145" s="58"/>
      <c r="P145" s="58"/>
      <c r="Q145" s="58"/>
      <c r="R145" s="58"/>
      <c r="S145" s="58"/>
      <c r="T145" s="58"/>
      <c r="V145" s="58"/>
      <c r="W145" s="58"/>
      <c r="X145" s="58"/>
      <c r="Y145" s="58"/>
      <c r="Z145" s="58"/>
      <c r="AA145" s="58"/>
      <c r="AB145" s="58"/>
      <c r="AC145" s="58"/>
      <c r="AD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row>
    <row r="146" spans="1:61" ht="6.75" customHeight="1">
      <c r="M146" s="58"/>
      <c r="N146" s="58"/>
      <c r="O146" s="58"/>
      <c r="P146" s="58"/>
      <c r="Q146" s="58"/>
      <c r="R146" s="58"/>
      <c r="S146" s="58"/>
      <c r="T146" s="58"/>
      <c r="V146" s="58"/>
      <c r="W146" s="58"/>
      <c r="X146" s="58"/>
      <c r="Y146" s="58"/>
      <c r="Z146" s="58"/>
      <c r="AA146" s="58"/>
      <c r="AB146" s="58"/>
      <c r="AC146" s="58"/>
      <c r="AD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row>
    <row r="147" spans="1:61">
      <c r="M147" s="58"/>
      <c r="N147" s="58"/>
      <c r="O147" s="58"/>
      <c r="P147" s="58"/>
      <c r="Q147" s="58"/>
      <c r="R147" s="58"/>
      <c r="S147" s="58"/>
      <c r="T147" s="58"/>
      <c r="V147" s="58"/>
      <c r="W147" s="58"/>
      <c r="X147" s="58"/>
      <c r="Y147" s="58"/>
      <c r="Z147" s="58"/>
      <c r="AA147" s="58"/>
      <c r="AB147" s="58"/>
      <c r="AC147" s="58"/>
      <c r="AD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row>
    <row r="148" spans="1:61">
      <c r="B148" s="252" t="s">
        <v>89</v>
      </c>
    </row>
    <row r="149" spans="1:61">
      <c r="B149" t="s">
        <v>1</v>
      </c>
      <c r="D149" s="244" t="str">
        <f>D5</f>
        <v>2025年度　（2025年4月-2026年3月）</v>
      </c>
      <c r="E149" s="244"/>
      <c r="F149" s="244"/>
      <c r="G149" s="244"/>
      <c r="H149" s="244"/>
      <c r="I149" s="244"/>
      <c r="J149" s="244"/>
      <c r="K149" s="244"/>
      <c r="L149" s="244"/>
      <c r="M149" s="5"/>
      <c r="N149" s="5"/>
      <c r="O149" s="5"/>
      <c r="P149" s="5"/>
      <c r="Q149" s="5"/>
      <c r="R149" s="5"/>
      <c r="S149" s="5"/>
      <c r="T149" s="5"/>
      <c r="V149" s="5"/>
      <c r="W149" s="5"/>
      <c r="X149" s="5"/>
      <c r="Y149" s="5"/>
      <c r="Z149" s="5"/>
      <c r="AA149" s="5"/>
      <c r="AB149" s="5"/>
      <c r="AC149" s="5"/>
      <c r="AD149" s="5"/>
      <c r="AF149" s="5"/>
      <c r="AG149" s="5"/>
      <c r="AH149" s="5"/>
      <c r="AI149" s="5"/>
      <c r="AJ149" s="5"/>
      <c r="AK149" s="5"/>
      <c r="AL149" s="5"/>
      <c r="AM149" s="5"/>
      <c r="AN149" s="5"/>
      <c r="AP149" s="5"/>
      <c r="AQ149" s="5"/>
      <c r="AR149" s="5"/>
      <c r="AS149" s="5"/>
      <c r="AT149" s="5"/>
      <c r="AU149" s="5"/>
      <c r="AV149" s="5"/>
      <c r="AW149" s="5"/>
      <c r="AX149" s="5"/>
      <c r="BA149" s="5"/>
      <c r="BB149" s="5"/>
      <c r="BC149" s="5"/>
      <c r="BD149" s="5"/>
      <c r="BE149" s="5"/>
      <c r="BF149" s="5"/>
      <c r="BG149" s="5"/>
      <c r="BH149" s="5"/>
      <c r="BI149" s="5"/>
    </row>
    <row r="150" spans="1:61" ht="3.75" customHeight="1">
      <c r="D150" s="5"/>
      <c r="E150" s="5"/>
      <c r="F150" s="5"/>
      <c r="G150" s="5"/>
      <c r="H150" s="5"/>
      <c r="I150" s="5"/>
      <c r="J150" s="5"/>
      <c r="K150" s="5"/>
      <c r="L150" s="244"/>
      <c r="M150" s="5"/>
      <c r="N150" s="5"/>
      <c r="O150" s="5"/>
      <c r="P150" s="5"/>
      <c r="Q150" s="5"/>
      <c r="R150" s="5"/>
      <c r="S150" s="5"/>
      <c r="T150" s="5"/>
      <c r="V150" s="5"/>
      <c r="W150" s="5"/>
      <c r="X150" s="5"/>
      <c r="Y150" s="5"/>
      <c r="Z150" s="5"/>
      <c r="AA150" s="5"/>
      <c r="AB150" s="5"/>
      <c r="AC150" s="5"/>
      <c r="AD150" s="5"/>
      <c r="AF150" s="5"/>
      <c r="AG150" s="5"/>
      <c r="AH150" s="5"/>
      <c r="AI150" s="5"/>
      <c r="AJ150" s="5"/>
      <c r="AK150" s="5"/>
      <c r="AL150" s="5"/>
      <c r="AM150" s="5"/>
      <c r="AN150" s="5"/>
      <c r="AP150" s="5"/>
      <c r="AQ150" s="5"/>
      <c r="AR150" s="5"/>
      <c r="AS150" s="5"/>
      <c r="AT150" s="5"/>
      <c r="AU150" s="5"/>
      <c r="AV150" s="5"/>
      <c r="AW150" s="5"/>
      <c r="AX150" s="5"/>
      <c r="BA150" s="5"/>
      <c r="BB150" s="5"/>
      <c r="BC150" s="5"/>
      <c r="BD150" s="5"/>
      <c r="BE150" s="5"/>
      <c r="BF150" s="5"/>
      <c r="BG150" s="5"/>
      <c r="BH150" s="5"/>
      <c r="BI150" s="5"/>
    </row>
    <row r="151" spans="1:61">
      <c r="D151" s="6"/>
      <c r="E151" s="6"/>
      <c r="F151" s="7" t="s">
        <v>28</v>
      </c>
      <c r="H151" s="7"/>
      <c r="I151" s="7"/>
      <c r="J151" s="7" t="s">
        <v>29</v>
      </c>
      <c r="L151" s="245" t="s">
        <v>4</v>
      </c>
      <c r="N151" s="8"/>
      <c r="P151" s="8"/>
      <c r="Q151" s="8"/>
      <c r="R151" s="8"/>
      <c r="T151" s="8"/>
      <c r="X151" s="8"/>
      <c r="Z151" s="8"/>
      <c r="AA151" s="8"/>
      <c r="AB151" s="8"/>
      <c r="AD151" s="8"/>
      <c r="AH151" s="8"/>
      <c r="AJ151" s="8"/>
      <c r="AK151" s="8"/>
      <c r="AL151" s="8"/>
      <c r="AN151" s="8"/>
      <c r="AR151" s="8"/>
      <c r="AT151" s="8"/>
      <c r="AU151" s="8"/>
      <c r="AV151" s="8"/>
      <c r="AX151" s="8"/>
      <c r="BC151" s="8"/>
      <c r="BE151" s="8"/>
      <c r="BF151" s="8"/>
      <c r="BG151" s="8"/>
      <c r="BI151" s="8"/>
    </row>
    <row r="152" spans="1:61" s="9" customFormat="1" ht="10.8">
      <c r="D152" s="9" t="s">
        <v>31</v>
      </c>
      <c r="E152" s="220"/>
      <c r="F152" s="10" t="s">
        <v>33</v>
      </c>
      <c r="H152" s="9" t="s">
        <v>171</v>
      </c>
      <c r="I152" s="220"/>
      <c r="J152" s="225"/>
      <c r="L152" s="246"/>
      <c r="N152" s="11"/>
      <c r="R152" s="11"/>
      <c r="T152" s="11"/>
      <c r="X152" s="11"/>
      <c r="AB152" s="11"/>
      <c r="AD152" s="11"/>
      <c r="AH152" s="11"/>
      <c r="AL152" s="11"/>
      <c r="AN152" s="11"/>
      <c r="AR152" s="11"/>
      <c r="AV152" s="11"/>
      <c r="AX152" s="11"/>
      <c r="BC152" s="11"/>
      <c r="BG152" s="11"/>
      <c r="BI152" s="11"/>
    </row>
    <row r="153" spans="1:61" s="9" customFormat="1" ht="10.8">
      <c r="E153" s="220"/>
      <c r="F153" s="10"/>
      <c r="I153" s="220"/>
      <c r="J153" s="225"/>
      <c r="L153" s="246" t="s">
        <v>15</v>
      </c>
      <c r="N153" s="11"/>
      <c r="R153" s="11"/>
      <c r="T153" s="11"/>
      <c r="X153" s="11"/>
      <c r="AB153" s="11"/>
      <c r="AD153" s="11"/>
      <c r="AH153" s="11"/>
      <c r="AL153" s="11"/>
      <c r="AN153" s="11"/>
      <c r="AR153" s="11"/>
      <c r="AV153" s="11"/>
      <c r="AX153" s="11"/>
      <c r="BC153" s="11"/>
      <c r="BG153" s="11"/>
      <c r="BI153" s="11"/>
    </row>
    <row r="154" spans="1:61" ht="5.0999999999999996" customHeight="1"/>
    <row r="155" spans="1:61" ht="13.5" customHeight="1">
      <c r="B155" s="67" t="s">
        <v>90</v>
      </c>
      <c r="C155" s="34"/>
      <c r="D155" s="34"/>
      <c r="E155" s="221"/>
      <c r="F155" s="264"/>
      <c r="G155" s="34"/>
      <c r="H155" s="34"/>
      <c r="I155" s="226"/>
      <c r="J155" s="226"/>
      <c r="K155" s="330"/>
      <c r="L155" s="330"/>
    </row>
    <row r="156" spans="1:61" ht="13.5" customHeight="1">
      <c r="B156" s="254" t="s">
        <v>91</v>
      </c>
      <c r="D156" s="16">
        <v>145</v>
      </c>
      <c r="E156" s="138"/>
      <c r="F156" s="186">
        <v>146</v>
      </c>
      <c r="G156" s="16"/>
      <c r="H156" s="16">
        <v>149</v>
      </c>
      <c r="I156" s="227"/>
      <c r="J156" s="227"/>
      <c r="K156" s="201"/>
      <c r="L156" s="351">
        <v>151</v>
      </c>
      <c r="M156" s="112"/>
      <c r="N156" s="112"/>
      <c r="O156" s="112"/>
      <c r="P156" s="112"/>
      <c r="Q156" s="112"/>
      <c r="R156" s="112"/>
      <c r="S156" s="112"/>
      <c r="T156" s="112"/>
      <c r="V156" s="112"/>
      <c r="W156" s="112"/>
      <c r="X156" s="112"/>
      <c r="Y156" s="112"/>
      <c r="Z156" s="112"/>
      <c r="AA156" s="112"/>
      <c r="AB156" s="112"/>
      <c r="AC156" s="112"/>
      <c r="AD156" s="112"/>
      <c r="AF156" s="112"/>
      <c r="AG156" s="112"/>
      <c r="AH156" s="112"/>
      <c r="AI156" s="112"/>
      <c r="AJ156" s="112"/>
      <c r="AK156" s="112"/>
      <c r="AL156" s="112"/>
      <c r="AM156" s="112"/>
      <c r="AN156" s="112"/>
      <c r="AO156" s="112"/>
      <c r="AP156" s="112"/>
      <c r="AQ156" s="112"/>
      <c r="AR156" s="112"/>
      <c r="AS156" s="112"/>
      <c r="AT156" s="112"/>
      <c r="AU156" s="112"/>
      <c r="AV156" s="112"/>
      <c r="AW156" s="112"/>
      <c r="AX156" s="112"/>
      <c r="BA156" s="112"/>
      <c r="BB156" s="112"/>
      <c r="BC156" s="112"/>
      <c r="BD156" s="112"/>
      <c r="BE156" s="112"/>
      <c r="BF156" s="112"/>
      <c r="BG156" s="112"/>
      <c r="BH156" s="112"/>
      <c r="BI156" s="112"/>
    </row>
    <row r="157" spans="1:61" ht="13.5" customHeight="1">
      <c r="B157" s="69" t="s">
        <v>207</v>
      </c>
      <c r="C157" s="34"/>
      <c r="D157" s="109"/>
      <c r="E157" s="222"/>
      <c r="F157" s="204"/>
      <c r="G157" s="109"/>
      <c r="H157" s="109"/>
      <c r="I157" s="222"/>
      <c r="J157" s="222"/>
      <c r="K157" s="204"/>
      <c r="L157" s="360"/>
      <c r="M157" s="112"/>
      <c r="N157" s="112"/>
      <c r="O157" s="112"/>
      <c r="P157" s="112"/>
      <c r="Q157" s="112"/>
      <c r="R157" s="112"/>
      <c r="S157" s="112"/>
      <c r="T157" s="112"/>
      <c r="V157" s="112"/>
      <c r="W157" s="112"/>
      <c r="X157" s="112"/>
      <c r="Y157" s="112"/>
      <c r="Z157" s="112"/>
      <c r="AA157" s="112"/>
      <c r="AB157" s="112"/>
      <c r="AC157" s="112"/>
      <c r="AD157" s="112"/>
      <c r="AF157" s="112"/>
      <c r="AG157" s="112"/>
      <c r="AH157" s="112"/>
      <c r="AI157" s="112"/>
      <c r="AJ157" s="112"/>
      <c r="AK157" s="112"/>
      <c r="AL157" s="112"/>
      <c r="AM157" s="112"/>
      <c r="AN157" s="112"/>
      <c r="AO157" s="112"/>
      <c r="AP157" s="112"/>
      <c r="AQ157" s="112"/>
      <c r="AR157" s="112"/>
      <c r="AS157" s="112"/>
      <c r="AT157" s="112"/>
      <c r="AU157" s="112"/>
      <c r="AV157" s="112"/>
      <c r="AW157" s="112"/>
      <c r="AX157" s="112"/>
      <c r="BA157" s="112"/>
      <c r="BB157" s="112"/>
      <c r="BC157" s="112"/>
      <c r="BD157" s="112"/>
      <c r="BE157" s="112"/>
      <c r="BF157" s="112"/>
      <c r="BG157" s="112"/>
      <c r="BH157" s="112"/>
      <c r="BI157" s="112"/>
    </row>
    <row r="158" spans="1:61" ht="13.5" customHeight="1">
      <c r="A158" s="21"/>
      <c r="B158" s="31" t="s">
        <v>215</v>
      </c>
      <c r="D158" s="16">
        <v>67</v>
      </c>
      <c r="E158" s="223"/>
      <c r="F158" s="186">
        <v>69</v>
      </c>
      <c r="G158" s="16"/>
      <c r="H158" s="16">
        <v>67</v>
      </c>
      <c r="I158" s="228"/>
      <c r="J158" s="228"/>
      <c r="K158" s="201"/>
      <c r="L158" s="361">
        <v>72</v>
      </c>
      <c r="M158" s="25"/>
      <c r="N158" s="112"/>
      <c r="O158" s="112"/>
      <c r="P158" s="112"/>
      <c r="Q158" s="112"/>
      <c r="R158" s="112"/>
      <c r="S158" s="112"/>
      <c r="T158" s="112"/>
      <c r="V158" s="112"/>
      <c r="W158" s="112"/>
      <c r="X158" s="112"/>
      <c r="Y158" s="112"/>
      <c r="Z158" s="112"/>
      <c r="AA158" s="112"/>
      <c r="AB158" s="112"/>
      <c r="AC158" s="112"/>
      <c r="AD158" s="112"/>
      <c r="AF158" s="112"/>
      <c r="AG158" s="112"/>
      <c r="AH158" s="112"/>
      <c r="AI158" s="112"/>
      <c r="AJ158" s="112"/>
      <c r="AK158" s="112"/>
      <c r="AL158" s="112"/>
      <c r="AM158" s="112"/>
      <c r="AN158" s="112"/>
      <c r="AO158" s="112"/>
      <c r="AP158" s="112"/>
      <c r="AQ158" s="112"/>
      <c r="AR158" s="112"/>
      <c r="AS158" s="112"/>
      <c r="AT158" s="112"/>
      <c r="AU158" s="112"/>
      <c r="AV158" s="112"/>
      <c r="AW158" s="112"/>
      <c r="AX158" s="112"/>
      <c r="BA158" s="112"/>
      <c r="BB158" s="112"/>
      <c r="BC158" s="112"/>
      <c r="BD158" s="112"/>
      <c r="BE158" s="112"/>
      <c r="BF158" s="112"/>
      <c r="BG158" s="112"/>
      <c r="BH158" s="112"/>
      <c r="BI158" s="112"/>
    </row>
    <row r="159" spans="1:61" ht="13.5" customHeight="1">
      <c r="A159" s="21"/>
      <c r="B159" s="31" t="s">
        <v>213</v>
      </c>
      <c r="D159" s="16">
        <v>978</v>
      </c>
      <c r="E159" s="223"/>
      <c r="F159" s="186">
        <v>2022</v>
      </c>
      <c r="G159" s="16"/>
      <c r="H159" s="16">
        <v>3160</v>
      </c>
      <c r="I159" s="228"/>
      <c r="J159" s="228"/>
      <c r="K159" s="201"/>
      <c r="L159" s="351">
        <v>4306</v>
      </c>
      <c r="M159" s="25"/>
      <c r="N159" s="112"/>
      <c r="O159" s="112"/>
      <c r="P159" s="112"/>
      <c r="Q159" s="112"/>
      <c r="R159" s="112"/>
      <c r="S159" s="112"/>
      <c r="T159" s="112"/>
      <c r="V159" s="112"/>
      <c r="W159" s="112"/>
      <c r="X159" s="112"/>
      <c r="Y159" s="112"/>
      <c r="Z159" s="112"/>
      <c r="AA159" s="112"/>
      <c r="AB159" s="112"/>
      <c r="AC159" s="112"/>
      <c r="AD159" s="112"/>
      <c r="AF159" s="112"/>
      <c r="AG159" s="112"/>
      <c r="AH159" s="112"/>
      <c r="AI159" s="112"/>
      <c r="AJ159" s="112"/>
      <c r="AK159" s="112"/>
      <c r="AL159" s="112"/>
      <c r="AM159" s="112"/>
      <c r="AN159" s="112"/>
      <c r="AO159" s="112"/>
      <c r="AP159" s="112"/>
      <c r="AQ159" s="112"/>
      <c r="AR159" s="112"/>
      <c r="AS159" s="112"/>
      <c r="AT159" s="112"/>
      <c r="AU159" s="112"/>
      <c r="AV159" s="112"/>
      <c r="AW159" s="112"/>
      <c r="AX159" s="112"/>
      <c r="BA159" s="112"/>
      <c r="BB159" s="112"/>
      <c r="BC159" s="112"/>
      <c r="BD159" s="112"/>
      <c r="BE159" s="112"/>
      <c r="BF159" s="112"/>
      <c r="BG159" s="112"/>
      <c r="BH159" s="112"/>
      <c r="BI159" s="112"/>
    </row>
    <row r="160" spans="1:61" ht="13.5" customHeight="1">
      <c r="B160" s="62" t="s">
        <v>211</v>
      </c>
      <c r="C160" s="34"/>
      <c r="D160" s="109"/>
      <c r="E160" s="222"/>
      <c r="F160" s="204"/>
      <c r="G160" s="109"/>
      <c r="H160" s="109"/>
      <c r="I160" s="222"/>
      <c r="J160" s="222"/>
      <c r="K160" s="204"/>
      <c r="L160" s="360"/>
      <c r="M160" s="112"/>
      <c r="N160" s="112"/>
      <c r="O160" s="112"/>
      <c r="P160" s="112"/>
      <c r="Q160" s="112"/>
      <c r="R160" s="112"/>
      <c r="S160" s="112"/>
      <c r="T160" s="112"/>
      <c r="V160" s="112"/>
      <c r="W160" s="112"/>
      <c r="X160" s="112"/>
      <c r="Y160" s="112"/>
      <c r="Z160" s="112"/>
      <c r="AA160" s="112"/>
      <c r="AB160" s="112"/>
      <c r="AC160" s="112"/>
      <c r="AD160" s="112"/>
      <c r="AF160" s="112"/>
      <c r="AG160" s="112"/>
      <c r="AH160" s="112"/>
      <c r="AI160" s="112"/>
      <c r="AJ160" s="112"/>
      <c r="AK160" s="112"/>
      <c r="AL160" s="112"/>
      <c r="AM160" s="112"/>
      <c r="AN160" s="112"/>
      <c r="AO160" s="112"/>
      <c r="AP160" s="112"/>
      <c r="AQ160" s="112"/>
      <c r="AR160" s="112"/>
      <c r="AS160" s="112"/>
      <c r="AT160" s="112"/>
      <c r="AU160" s="112"/>
      <c r="AV160" s="112"/>
      <c r="AW160" s="112"/>
      <c r="AX160" s="112"/>
      <c r="BA160" s="112"/>
      <c r="BB160" s="112"/>
      <c r="BC160" s="112"/>
      <c r="BD160" s="112"/>
      <c r="BE160" s="112"/>
      <c r="BF160" s="112"/>
      <c r="BG160" s="112"/>
      <c r="BH160" s="112"/>
      <c r="BI160" s="112"/>
    </row>
    <row r="161" spans="1:61" ht="13.5" customHeight="1">
      <c r="B161" s="31" t="s">
        <v>214</v>
      </c>
      <c r="D161" s="16">
        <v>95</v>
      </c>
      <c r="E161" s="138"/>
      <c r="F161" s="186">
        <v>93</v>
      </c>
      <c r="G161" s="16"/>
      <c r="H161" s="16">
        <v>93</v>
      </c>
      <c r="I161" s="228"/>
      <c r="J161" s="228"/>
      <c r="K161" s="201"/>
      <c r="L161" s="361">
        <v>95</v>
      </c>
      <c r="M161" s="112"/>
      <c r="N161" s="112"/>
      <c r="O161" s="112"/>
      <c r="P161" s="112"/>
      <c r="Q161" s="112"/>
      <c r="R161" s="112"/>
      <c r="S161" s="112"/>
      <c r="T161" s="112"/>
      <c r="V161" s="112"/>
      <c r="W161" s="112"/>
      <c r="X161" s="112"/>
      <c r="Y161" s="112"/>
      <c r="Z161" s="112"/>
      <c r="AA161" s="112"/>
      <c r="AB161" s="112"/>
      <c r="AC161" s="112"/>
      <c r="AD161" s="112"/>
      <c r="AF161" s="112"/>
      <c r="AG161" s="112"/>
      <c r="AH161" s="112"/>
      <c r="AI161" s="112"/>
      <c r="AJ161" s="112"/>
      <c r="AK161" s="112"/>
      <c r="AL161" s="112"/>
      <c r="AM161" s="112"/>
      <c r="AN161" s="112"/>
      <c r="AO161" s="112"/>
      <c r="AP161" s="112"/>
      <c r="AQ161" s="112"/>
      <c r="AR161" s="112"/>
      <c r="AS161" s="112"/>
      <c r="AT161" s="112"/>
      <c r="AU161" s="112"/>
      <c r="AV161" s="112"/>
      <c r="AW161" s="112"/>
      <c r="AX161" s="112"/>
      <c r="BA161" s="112"/>
      <c r="BB161" s="112"/>
      <c r="BC161" s="112"/>
      <c r="BD161" s="112"/>
      <c r="BE161" s="112"/>
      <c r="BF161" s="112"/>
      <c r="BG161" s="112"/>
      <c r="BH161" s="112"/>
      <c r="BI161" s="112"/>
    </row>
    <row r="162" spans="1:61" s="179" customFormat="1" ht="13.5" customHeight="1">
      <c r="B162" s="31" t="s">
        <v>217</v>
      </c>
      <c r="C162"/>
      <c r="D162" s="16">
        <v>67</v>
      </c>
      <c r="E162" s="223"/>
      <c r="F162" s="186">
        <v>67</v>
      </c>
      <c r="G162" s="110"/>
      <c r="H162" s="16">
        <v>66</v>
      </c>
      <c r="I162" s="229"/>
      <c r="J162" s="229"/>
      <c r="K162" s="205"/>
      <c r="L162" s="342">
        <v>69</v>
      </c>
      <c r="M162" s="153"/>
      <c r="N162" s="153"/>
      <c r="O162" s="153"/>
      <c r="P162" s="153"/>
      <c r="Q162" s="153"/>
      <c r="R162" s="153"/>
      <c r="S162" s="153"/>
      <c r="T162" s="153"/>
      <c r="V162" s="153"/>
      <c r="W162" s="153"/>
      <c r="X162" s="153"/>
      <c r="Y162" s="153"/>
      <c r="Z162" s="153"/>
      <c r="AA162" s="153"/>
      <c r="AB162" s="153"/>
      <c r="AC162" s="153"/>
      <c r="AD162" s="153"/>
      <c r="AF162" s="153"/>
      <c r="AG162" s="153"/>
      <c r="AH162" s="153"/>
      <c r="AI162" s="153"/>
      <c r="AJ162" s="153"/>
      <c r="AK162" s="153"/>
      <c r="AL162" s="153"/>
      <c r="AM162" s="153"/>
      <c r="AN162" s="153"/>
      <c r="AO162" s="153"/>
      <c r="AP162" s="153"/>
      <c r="AQ162" s="153"/>
      <c r="AR162" s="153"/>
      <c r="AS162" s="153"/>
      <c r="AT162" s="153"/>
      <c r="AU162" s="153"/>
      <c r="AV162" s="153"/>
      <c r="AW162" s="153"/>
      <c r="AX162" s="153"/>
      <c r="BA162" s="153"/>
      <c r="BB162" s="153"/>
      <c r="BC162" s="153"/>
      <c r="BD162" s="153"/>
      <c r="BE162" s="153"/>
      <c r="BF162" s="153"/>
      <c r="BG162" s="153"/>
      <c r="BH162" s="153"/>
      <c r="BI162" s="153"/>
    </row>
    <row r="163" spans="1:61" ht="13.5" customHeight="1">
      <c r="B163" s="62" t="s">
        <v>208</v>
      </c>
      <c r="C163" s="34"/>
      <c r="D163" s="109"/>
      <c r="E163" s="222"/>
      <c r="F163" s="204"/>
      <c r="G163" s="109"/>
      <c r="H163" s="109"/>
      <c r="I163" s="222"/>
      <c r="J163" s="222"/>
      <c r="K163" s="204"/>
      <c r="L163" s="360"/>
      <c r="M163" s="112"/>
      <c r="N163" s="112"/>
      <c r="O163" s="112"/>
      <c r="P163" s="112"/>
      <c r="Q163" s="112"/>
      <c r="R163" s="112"/>
      <c r="S163" s="112"/>
      <c r="T163" s="112"/>
      <c r="V163" s="112"/>
      <c r="W163" s="112"/>
      <c r="X163" s="112"/>
      <c r="Y163" s="112"/>
      <c r="Z163" s="112"/>
      <c r="AA163" s="112"/>
      <c r="AB163" s="112"/>
      <c r="AC163" s="112"/>
      <c r="AD163" s="112"/>
      <c r="AF163" s="112"/>
      <c r="AG163" s="112"/>
      <c r="AH163" s="112"/>
      <c r="AI163" s="112"/>
      <c r="AJ163" s="112"/>
      <c r="AK163" s="112"/>
      <c r="AL163" s="112"/>
      <c r="AM163" s="112"/>
      <c r="AN163" s="112"/>
      <c r="AO163" s="112"/>
      <c r="AP163" s="112"/>
      <c r="AQ163" s="112"/>
      <c r="AR163" s="112"/>
      <c r="AS163" s="112"/>
      <c r="AT163" s="112"/>
      <c r="AU163" s="112"/>
      <c r="AV163" s="112"/>
      <c r="AW163" s="112"/>
      <c r="AX163" s="112"/>
      <c r="BA163" s="112"/>
      <c r="BB163" s="112"/>
      <c r="BC163" s="112"/>
      <c r="BD163" s="112"/>
      <c r="BE163" s="112"/>
      <c r="BF163" s="112"/>
      <c r="BG163" s="112"/>
      <c r="BH163" s="112"/>
      <c r="BI163" s="112"/>
    </row>
    <row r="164" spans="1:61" ht="13.5" customHeight="1">
      <c r="B164" s="31" t="s">
        <v>218</v>
      </c>
      <c r="D164" s="16">
        <v>103</v>
      </c>
      <c r="E164" s="223"/>
      <c r="F164" s="186">
        <v>101</v>
      </c>
      <c r="G164" s="16"/>
      <c r="H164" s="16">
        <v>103</v>
      </c>
      <c r="I164" s="228"/>
      <c r="J164" s="228"/>
      <c r="K164" s="201"/>
      <c r="L164" s="361">
        <v>105</v>
      </c>
      <c r="M164" s="112"/>
      <c r="N164" s="112"/>
      <c r="O164" s="112"/>
      <c r="P164" s="112"/>
      <c r="Q164" s="112"/>
      <c r="R164" s="112"/>
      <c r="S164" s="112"/>
      <c r="T164" s="112"/>
      <c r="V164" s="112"/>
      <c r="W164" s="112"/>
      <c r="X164" s="112"/>
      <c r="Y164" s="112"/>
      <c r="Z164" s="112"/>
      <c r="AA164" s="112"/>
      <c r="AB164" s="112"/>
      <c r="AC164" s="112"/>
      <c r="AD164" s="112"/>
      <c r="AF164" s="112"/>
      <c r="AG164" s="112"/>
      <c r="AH164" s="112"/>
      <c r="AI164" s="112"/>
      <c r="AJ164" s="112"/>
      <c r="AK164" s="112"/>
      <c r="AL164" s="112"/>
      <c r="AM164" s="112"/>
      <c r="AN164" s="112"/>
      <c r="AO164" s="112"/>
      <c r="AP164" s="112"/>
      <c r="AQ164" s="112"/>
      <c r="AR164" s="112"/>
      <c r="AS164" s="112"/>
      <c r="AT164" s="112"/>
      <c r="AU164" s="112"/>
      <c r="AV164" s="112"/>
      <c r="AW164" s="112"/>
      <c r="AX164" s="112"/>
      <c r="BA164" s="112"/>
      <c r="BB164" s="112"/>
      <c r="BC164" s="112"/>
      <c r="BD164" s="112"/>
      <c r="BE164" s="112"/>
      <c r="BF164" s="112"/>
      <c r="BG164" s="112"/>
      <c r="BH164" s="112"/>
      <c r="BI164" s="112"/>
    </row>
    <row r="165" spans="1:61" ht="13.5" customHeight="1">
      <c r="B165" s="62" t="s">
        <v>209</v>
      </c>
      <c r="C165" s="34"/>
      <c r="D165" s="109"/>
      <c r="E165" s="222"/>
      <c r="F165" s="204"/>
      <c r="G165" s="109"/>
      <c r="H165" s="109"/>
      <c r="I165" s="222"/>
      <c r="J165" s="222"/>
      <c r="K165" s="204"/>
      <c r="L165" s="360"/>
      <c r="M165" s="25"/>
      <c r="N165" s="112"/>
      <c r="O165" s="153"/>
      <c r="P165" s="112"/>
      <c r="Q165" s="154"/>
      <c r="R165" s="154"/>
      <c r="S165" s="154"/>
      <c r="T165" s="154"/>
      <c r="V165" s="112"/>
      <c r="W165" s="112"/>
      <c r="X165" s="112"/>
      <c r="Y165" s="153"/>
      <c r="Z165" s="112"/>
      <c r="AA165" s="154"/>
      <c r="AB165" s="154"/>
      <c r="AC165" s="154"/>
      <c r="AD165" s="154"/>
      <c r="AF165" s="112"/>
      <c r="AG165" s="112"/>
      <c r="AH165" s="112"/>
      <c r="AI165" s="153"/>
      <c r="AJ165" s="112"/>
      <c r="AK165" s="154"/>
      <c r="AL165" s="154"/>
      <c r="AM165" s="154"/>
      <c r="AN165" s="154"/>
      <c r="AO165" s="154"/>
      <c r="AP165" s="154"/>
      <c r="AQ165" s="154"/>
      <c r="AR165" s="154"/>
      <c r="AS165" s="154"/>
      <c r="AT165" s="214"/>
      <c r="AU165" s="154"/>
      <c r="AV165" s="154"/>
      <c r="AW165" s="154"/>
      <c r="AX165" s="154"/>
      <c r="AY165" s="97"/>
      <c r="AZ165" s="97"/>
      <c r="BA165" s="154"/>
      <c r="BB165" s="154"/>
      <c r="BC165" s="154"/>
      <c r="BD165" s="154"/>
      <c r="BE165" s="154"/>
      <c r="BF165" s="154"/>
      <c r="BG165" s="154"/>
      <c r="BH165" s="154"/>
      <c r="BI165" s="154"/>
    </row>
    <row r="166" spans="1:61" ht="13.5" customHeight="1">
      <c r="B166" s="31" t="s">
        <v>235</v>
      </c>
      <c r="D166" s="110">
        <v>10.6</v>
      </c>
      <c r="E166" s="223"/>
      <c r="F166" s="265">
        <v>11.7</v>
      </c>
      <c r="G166" s="16"/>
      <c r="H166" s="110">
        <v>11.5</v>
      </c>
      <c r="I166" s="228"/>
      <c r="J166" s="228"/>
      <c r="K166" s="201"/>
      <c r="L166" s="362">
        <v>11.5</v>
      </c>
      <c r="M166" s="112"/>
      <c r="N166" s="112"/>
      <c r="O166" s="112"/>
      <c r="P166" s="112"/>
      <c r="Q166" s="112"/>
      <c r="R166" s="112"/>
      <c r="S166" s="112"/>
      <c r="T166" s="112"/>
      <c r="V166" s="112"/>
      <c r="W166" s="112"/>
      <c r="X166" s="112"/>
      <c r="Y166" s="112"/>
      <c r="Z166" s="112"/>
      <c r="AA166" s="112"/>
      <c r="AB166" s="112"/>
      <c r="AC166" s="112"/>
      <c r="AD166" s="112"/>
      <c r="AF166" s="112"/>
      <c r="AG166" s="112"/>
      <c r="AH166" s="112"/>
      <c r="AI166" s="112"/>
      <c r="AJ166" s="112"/>
      <c r="AK166" s="112"/>
      <c r="AL166" s="112"/>
      <c r="AM166" s="112"/>
      <c r="AN166" s="112"/>
      <c r="AO166" s="112"/>
      <c r="AP166" s="112"/>
      <c r="AQ166" s="112"/>
      <c r="AR166" s="112"/>
      <c r="AS166" s="112"/>
      <c r="AT166" s="112"/>
      <c r="AU166" s="112"/>
      <c r="AV166" s="112"/>
      <c r="AW166" s="112"/>
      <c r="AX166" s="112"/>
      <c r="BA166" s="112"/>
      <c r="BB166" s="112"/>
      <c r="BC166" s="112"/>
      <c r="BD166" s="112"/>
      <c r="BE166" s="112"/>
      <c r="BF166" s="112"/>
      <c r="BG166" s="112"/>
      <c r="BH166" s="112"/>
      <c r="BI166" s="112"/>
    </row>
    <row r="167" spans="1:61" s="179" customFormat="1" ht="13.5" hidden="1" customHeight="1">
      <c r="B167" s="180" t="s">
        <v>95</v>
      </c>
      <c r="D167" s="110">
        <v>2.7</v>
      </c>
      <c r="E167" s="224"/>
      <c r="F167" s="265">
        <v>2.8</v>
      </c>
      <c r="G167" s="110"/>
      <c r="H167" s="281">
        <v>2.9</v>
      </c>
      <c r="I167" s="230"/>
      <c r="J167" s="230"/>
      <c r="K167" s="206"/>
      <c r="L167" s="363"/>
      <c r="M167" s="153"/>
      <c r="N167" s="153"/>
      <c r="O167" s="153"/>
      <c r="P167" s="153"/>
      <c r="Q167" s="153"/>
      <c r="R167" s="153"/>
      <c r="S167" s="153"/>
      <c r="T167" s="153"/>
      <c r="V167" s="153"/>
      <c r="W167" s="153"/>
      <c r="X167" s="153"/>
      <c r="Y167" s="153"/>
      <c r="Z167" s="153"/>
      <c r="AA167" s="153"/>
      <c r="AB167" s="153"/>
      <c r="AC167" s="153"/>
      <c r="AD167" s="153"/>
      <c r="AF167" s="153"/>
      <c r="AG167" s="153"/>
      <c r="AH167" s="153"/>
      <c r="AI167" s="153"/>
      <c r="AJ167" s="153"/>
      <c r="AK167" s="153"/>
      <c r="AL167" s="153"/>
      <c r="AM167" s="153"/>
      <c r="AN167" s="153"/>
      <c r="AO167" s="153"/>
      <c r="AP167" s="153"/>
      <c r="AQ167" s="153"/>
      <c r="AR167" s="153"/>
      <c r="AS167" s="153"/>
      <c r="AT167" s="153"/>
      <c r="AU167" s="153"/>
      <c r="AV167" s="153"/>
      <c r="AW167" s="153"/>
      <c r="AX167" s="153"/>
      <c r="BA167" s="153"/>
      <c r="BB167" s="153"/>
      <c r="BC167" s="153"/>
      <c r="BD167" s="153"/>
      <c r="BE167" s="153"/>
      <c r="BF167" s="153"/>
      <c r="BG167" s="153"/>
      <c r="BH167" s="153"/>
      <c r="BI167" s="153"/>
    </row>
    <row r="168" spans="1:61">
      <c r="L168" s="352"/>
    </row>
    <row r="169" spans="1:61">
      <c r="A169" s="4"/>
      <c r="B169" s="31" t="s">
        <v>225</v>
      </c>
    </row>
    <row r="170" spans="1:61">
      <c r="B170" s="31" t="s">
        <v>234</v>
      </c>
    </row>
  </sheetData>
  <mergeCells count="2">
    <mergeCell ref="N3:Z3"/>
    <mergeCell ref="B3:L3"/>
  </mergeCells>
  <phoneticPr fontId="3"/>
  <printOptions horizontalCentered="1" verticalCentered="1"/>
  <pageMargins left="0" right="0" top="0" bottom="0" header="0" footer="0"/>
  <pageSetup paperSize="9" scale="79" fitToHeight="0" orientation="portrait" r:id="rId1"/>
  <headerFooter alignWithMargins="0">
    <oddHeader>&amp;R&amp;"Calibri"&amp;14&amp;K000000 【社内限り】&amp;1#_x000D_</oddHeader>
    <oddFooter>&amp;L（C)JX Holdings, Inc.</oddFooter>
  </headerFooter>
  <rowBreaks count="1" manualBreakCount="1">
    <brk id="86" max="1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A1:BL182"/>
  <sheetViews>
    <sheetView showGridLines="0" view="pageBreakPreview" zoomScaleNormal="100" zoomScaleSheetLayoutView="100" workbookViewId="0">
      <pane xSplit="3" ySplit="2" topLeftCell="F16" activePane="bottomRight" state="frozen"/>
      <selection activeCell="Y36" sqref="Y36"/>
      <selection pane="topRight" activeCell="Y36" sqref="Y36"/>
      <selection pane="bottomLeft" activeCell="Y36" sqref="Y36"/>
      <selection pane="bottomRight" activeCell="H60" sqref="H60"/>
    </sheetView>
  </sheetViews>
  <sheetFormatPr defaultRowHeight="13.2"/>
  <cols>
    <col min="1" max="1" width="2" customWidth="1"/>
    <col min="2" max="2" width="48" customWidth="1"/>
    <col min="3" max="3" width="0.88671875" customWidth="1"/>
    <col min="4" max="5" width="10.44140625" customWidth="1"/>
    <col min="6" max="6" width="13.109375" bestFit="1" customWidth="1"/>
    <col min="7" max="7" width="1.21875" customWidth="1"/>
    <col min="8" max="10" width="10.77734375" customWidth="1"/>
    <col min="11" max="11" width="1.33203125" customWidth="1"/>
    <col min="12" max="12" width="10.44140625" customWidth="1"/>
    <col min="13" max="13" width="1.21875" customWidth="1"/>
    <col min="14" max="14" width="10.44140625" customWidth="1"/>
    <col min="15" max="16" width="10.6640625" customWidth="1"/>
    <col min="17" max="17" width="0.88671875" customWidth="1"/>
    <col min="18" max="20" width="10.6640625" customWidth="1"/>
    <col min="21" max="21" width="0.88671875" customWidth="1"/>
    <col min="22" max="22" width="10.6640625" customWidth="1"/>
    <col min="23" max="23" width="0.88671875" customWidth="1"/>
    <col min="24" max="26" width="10.6640625" customWidth="1"/>
    <col min="27" max="27" width="0.88671875" customWidth="1"/>
    <col min="28" max="30" width="10.6640625" customWidth="1"/>
    <col min="31" max="31" width="0.88671875" customWidth="1"/>
    <col min="32" max="32" width="10.6640625" customWidth="1"/>
    <col min="33" max="33" width="0.88671875" customWidth="1"/>
    <col min="34" max="36" width="10.6640625" customWidth="1"/>
    <col min="37" max="37" width="0.88671875" customWidth="1"/>
    <col min="38" max="40" width="10.6640625" customWidth="1"/>
    <col min="41" max="41" width="0.88671875" customWidth="1"/>
    <col min="42" max="42" width="10.6640625" customWidth="1"/>
    <col min="43" max="43" width="0.88671875" customWidth="1"/>
    <col min="44" max="46" width="10.6640625" customWidth="1"/>
    <col min="47" max="47" width="0.88671875" customWidth="1"/>
    <col min="48" max="50" width="10.6640625" customWidth="1"/>
    <col min="51" max="51" width="0.88671875" customWidth="1"/>
    <col min="52" max="52" width="10.6640625" customWidth="1"/>
    <col min="53" max="53" width="0" hidden="1" customWidth="1"/>
    <col min="54" max="54" width="0.88671875" customWidth="1"/>
    <col min="55" max="57" width="10.6640625" customWidth="1"/>
    <col min="58" max="58" width="0.88671875" customWidth="1"/>
    <col min="59" max="61" width="10.6640625" customWidth="1"/>
    <col min="62" max="62" width="0.88671875" customWidth="1"/>
    <col min="63" max="63" width="10.6640625" customWidth="1"/>
  </cols>
  <sheetData>
    <row r="1" spans="1:63" ht="16.5" customHeight="1"/>
    <row r="2" spans="1:63" s="3" customFormat="1" ht="19.5" customHeight="1">
      <c r="A2" s="2"/>
      <c r="B2" s="247" t="s">
        <v>179</v>
      </c>
      <c r="C2" s="248"/>
      <c r="D2" s="248"/>
      <c r="E2" s="248"/>
      <c r="F2" s="248"/>
      <c r="G2" s="248"/>
      <c r="H2" s="248"/>
      <c r="I2" s="248"/>
      <c r="J2" s="248"/>
      <c r="K2" s="248"/>
      <c r="L2" s="248"/>
      <c r="M2" s="248"/>
      <c r="N2" s="248"/>
      <c r="O2"/>
      <c r="P2"/>
      <c r="W2"/>
      <c r="X2"/>
      <c r="Y2"/>
      <c r="Z2"/>
      <c r="AG2"/>
      <c r="AH2"/>
      <c r="AI2"/>
      <c r="AJ2"/>
      <c r="BC2"/>
      <c r="BD2"/>
      <c r="BE2"/>
    </row>
    <row r="3" spans="1:63" s="3" customFormat="1" ht="15.6" customHeight="1">
      <c r="A3" s="2"/>
      <c r="B3" s="303" t="s">
        <v>231</v>
      </c>
      <c r="P3" s="364"/>
      <c r="Q3" s="365"/>
      <c r="R3" s="365"/>
      <c r="S3" s="365"/>
      <c r="T3" s="365"/>
      <c r="U3" s="365"/>
      <c r="V3" s="365"/>
      <c r="W3" s="365"/>
      <c r="X3" s="365"/>
      <c r="Y3" s="365"/>
      <c r="Z3" s="365"/>
      <c r="AA3" s="365"/>
      <c r="AB3" s="365"/>
    </row>
    <row r="4" spans="1:63" s="3" customFormat="1" ht="25.95" customHeight="1">
      <c r="A4" s="2"/>
      <c r="B4" s="366" t="s">
        <v>230</v>
      </c>
      <c r="C4" s="366"/>
      <c r="D4" s="366"/>
      <c r="E4" s="366"/>
      <c r="F4" s="366"/>
      <c r="G4" s="366"/>
      <c r="H4" s="366"/>
      <c r="I4" s="366"/>
      <c r="J4" s="366"/>
      <c r="K4" s="366"/>
      <c r="L4" s="366"/>
      <c r="M4" s="366"/>
      <c r="N4" s="366"/>
      <c r="P4" s="365"/>
      <c r="Q4" s="365"/>
      <c r="R4" s="365"/>
      <c r="S4" s="365"/>
      <c r="T4" s="365"/>
      <c r="U4" s="365"/>
      <c r="V4" s="365"/>
      <c r="W4" s="365"/>
      <c r="X4" s="365"/>
      <c r="Y4" s="365"/>
      <c r="Z4" s="365"/>
      <c r="AA4" s="365"/>
      <c r="AB4" s="365"/>
    </row>
    <row r="5" spans="1:63" s="3" customFormat="1" ht="16.2">
      <c r="A5" s="250" t="s">
        <v>0</v>
      </c>
    </row>
    <row r="6" spans="1:63">
      <c r="B6" t="s">
        <v>1</v>
      </c>
      <c r="D6" s="244" t="s">
        <v>219</v>
      </c>
      <c r="E6" s="244"/>
      <c r="F6" s="244"/>
      <c r="G6" s="244"/>
      <c r="H6" s="244"/>
      <c r="I6" s="244"/>
      <c r="J6" s="244"/>
      <c r="K6" s="244"/>
      <c r="L6" s="244"/>
      <c r="M6" s="244"/>
      <c r="N6" s="244"/>
      <c r="O6" s="5"/>
      <c r="P6" s="5"/>
      <c r="Q6" s="5"/>
      <c r="R6" s="5"/>
      <c r="S6" s="5"/>
      <c r="T6" s="5"/>
      <c r="U6" s="5"/>
      <c r="V6" s="5"/>
      <c r="X6" s="5"/>
      <c r="Y6" s="5"/>
      <c r="Z6" s="5"/>
      <c r="AA6" s="5"/>
      <c r="AB6" s="5"/>
      <c r="AC6" s="5"/>
      <c r="AD6" s="5"/>
      <c r="AE6" s="5"/>
      <c r="AF6" s="5"/>
      <c r="AH6" s="5"/>
      <c r="AI6" s="5"/>
      <c r="AJ6" s="5"/>
      <c r="AK6" s="5"/>
      <c r="AL6" s="5"/>
      <c r="AM6" s="5"/>
      <c r="AN6" s="5"/>
      <c r="AO6" s="5"/>
      <c r="AP6" s="5"/>
      <c r="AR6" s="5"/>
      <c r="AS6" s="5"/>
      <c r="AT6" s="5"/>
      <c r="AU6" s="5"/>
      <c r="AV6" s="5"/>
      <c r="AW6" s="5"/>
      <c r="AX6" s="5"/>
      <c r="AY6" s="5"/>
      <c r="AZ6" s="5"/>
      <c r="BC6" s="5"/>
      <c r="BD6" s="5"/>
      <c r="BE6" s="5"/>
      <c r="BF6" s="5"/>
      <c r="BG6" s="5"/>
      <c r="BH6" s="5"/>
      <c r="BI6" s="5"/>
      <c r="BJ6" s="5"/>
      <c r="BK6" s="5"/>
    </row>
    <row r="7" spans="1:63" ht="3.75" customHeight="1">
      <c r="D7" s="5"/>
      <c r="E7" s="5"/>
      <c r="F7" s="5"/>
      <c r="G7" s="5"/>
      <c r="H7" s="5"/>
      <c r="I7" s="5"/>
      <c r="J7" s="5"/>
      <c r="K7" s="5"/>
      <c r="L7" s="244"/>
      <c r="M7" s="244"/>
      <c r="N7" s="244"/>
      <c r="O7" s="5"/>
      <c r="P7" s="5"/>
      <c r="Q7" s="5"/>
      <c r="R7" s="5"/>
      <c r="S7" s="5"/>
      <c r="T7" s="5"/>
      <c r="U7" s="5"/>
      <c r="V7" s="5"/>
      <c r="X7" s="5"/>
      <c r="Y7" s="5"/>
      <c r="Z7" s="5"/>
      <c r="AA7" s="5"/>
      <c r="AB7" s="5"/>
      <c r="AC7" s="5"/>
      <c r="AD7" s="5"/>
      <c r="AE7" s="5"/>
      <c r="AF7" s="5"/>
      <c r="AH7" s="5"/>
      <c r="AI7" s="5"/>
      <c r="AJ7" s="5"/>
      <c r="AK7" s="5"/>
      <c r="AL7" s="5"/>
      <c r="AM7" s="5"/>
      <c r="AN7" s="5"/>
      <c r="AO7" s="5"/>
      <c r="AP7" s="5"/>
      <c r="AR7" s="5"/>
      <c r="AS7" s="5"/>
      <c r="AT7" s="5"/>
      <c r="AU7" s="5"/>
      <c r="AV7" s="5"/>
      <c r="AW7" s="5"/>
      <c r="AX7" s="5"/>
      <c r="AY7" s="5"/>
      <c r="AZ7" s="5"/>
      <c r="BC7" s="5"/>
      <c r="BD7" s="5"/>
      <c r="BE7" s="5"/>
      <c r="BF7" s="5"/>
      <c r="BG7" s="5"/>
      <c r="BH7" s="5"/>
      <c r="BI7" s="5"/>
      <c r="BJ7" s="5"/>
      <c r="BK7" s="5"/>
    </row>
    <row r="8" spans="1:63">
      <c r="D8" s="6"/>
      <c r="E8" s="6"/>
      <c r="F8" s="7" t="s">
        <v>2</v>
      </c>
      <c r="H8" s="7"/>
      <c r="I8" s="7"/>
      <c r="J8" s="7" t="s">
        <v>3</v>
      </c>
      <c r="L8" s="368" t="s">
        <v>4</v>
      </c>
      <c r="M8" s="368"/>
      <c r="N8" s="368"/>
      <c r="P8" s="8"/>
      <c r="R8" s="8"/>
      <c r="S8" s="8"/>
      <c r="T8" s="8"/>
      <c r="V8" s="8"/>
      <c r="Z8" s="8"/>
      <c r="AB8" s="8"/>
      <c r="AC8" s="8"/>
      <c r="AD8" s="8"/>
      <c r="AF8" s="8"/>
      <c r="AJ8" s="8"/>
      <c r="AL8" s="8"/>
      <c r="AM8" s="8"/>
      <c r="AN8" s="8"/>
      <c r="AP8" s="8"/>
      <c r="AT8" s="8"/>
      <c r="AV8" s="8"/>
      <c r="AW8" s="8"/>
      <c r="AX8" s="8"/>
      <c r="AZ8" s="8"/>
      <c r="BE8" s="8"/>
      <c r="BG8" s="8"/>
      <c r="BH8" s="8"/>
      <c r="BI8" s="8"/>
      <c r="BK8" s="8"/>
    </row>
    <row r="9" spans="1:63" s="9" customFormat="1" ht="10.8">
      <c r="D9" s="9" t="s">
        <v>5</v>
      </c>
      <c r="E9" s="9" t="s">
        <v>6</v>
      </c>
      <c r="F9" s="10" t="s">
        <v>6</v>
      </c>
      <c r="H9" s="9" t="s">
        <v>7</v>
      </c>
      <c r="I9" s="9" t="s">
        <v>8</v>
      </c>
      <c r="J9" s="10" t="s">
        <v>9</v>
      </c>
      <c r="L9" s="246"/>
      <c r="M9" s="323"/>
      <c r="N9" s="246"/>
      <c r="P9" s="11"/>
      <c r="T9" s="11"/>
      <c r="V9" s="11"/>
      <c r="Z9" s="11"/>
      <c r="AD9" s="11"/>
      <c r="AF9" s="11"/>
      <c r="AJ9" s="11"/>
      <c r="AN9" s="11"/>
      <c r="AP9" s="11"/>
      <c r="AT9" s="11"/>
      <c r="AX9" s="11"/>
      <c r="AZ9" s="11"/>
      <c r="BE9" s="11"/>
      <c r="BI9" s="11"/>
      <c r="BK9" s="11"/>
    </row>
    <row r="10" spans="1:63" s="9" customFormat="1" ht="10.8">
      <c r="D10" s="9" t="s">
        <v>10</v>
      </c>
      <c r="E10" s="9" t="s">
        <v>11</v>
      </c>
      <c r="F10" s="10" t="s">
        <v>11</v>
      </c>
      <c r="H10" s="9" t="s">
        <v>98</v>
      </c>
      <c r="I10" s="9" t="s">
        <v>99</v>
      </c>
      <c r="J10" s="10" t="s">
        <v>14</v>
      </c>
      <c r="L10" s="381" t="s">
        <v>15</v>
      </c>
      <c r="M10" s="381"/>
      <c r="N10" s="381"/>
      <c r="P10" s="11"/>
      <c r="T10" s="11"/>
      <c r="V10" s="11"/>
      <c r="Z10" s="11"/>
      <c r="AD10" s="11"/>
      <c r="AF10" s="11"/>
      <c r="AJ10" s="11"/>
      <c r="AN10" s="11"/>
      <c r="AP10" s="11"/>
      <c r="AT10" s="11"/>
      <c r="AX10" s="11"/>
      <c r="AZ10" s="11"/>
      <c r="BE10" s="11"/>
      <c r="BI10" s="11"/>
      <c r="BK10" s="11"/>
    </row>
    <row r="11" spans="1:63" s="3" customFormat="1" ht="5.0999999999999996" customHeight="1">
      <c r="A11" s="2"/>
    </row>
    <row r="12" spans="1:63" ht="13.5" customHeight="1" thickBot="1">
      <c r="B12" s="12" t="s">
        <v>138</v>
      </c>
      <c r="C12" s="12"/>
      <c r="D12" s="253">
        <v>101946</v>
      </c>
      <c r="E12" s="137"/>
      <c r="F12" s="185">
        <v>95019</v>
      </c>
      <c r="G12" s="113"/>
      <c r="H12" s="155">
        <v>100593</v>
      </c>
      <c r="I12" s="286"/>
      <c r="J12" s="144"/>
      <c r="K12" s="155"/>
      <c r="L12" s="396">
        <v>87894</v>
      </c>
      <c r="M12" s="396"/>
      <c r="N12" s="396"/>
      <c r="O12" s="112"/>
      <c r="P12" s="112"/>
      <c r="Q12" s="136"/>
      <c r="R12" s="112"/>
      <c r="S12" s="136"/>
      <c r="T12" s="136"/>
      <c r="U12" s="154"/>
      <c r="V12" s="154"/>
      <c r="X12" s="112"/>
      <c r="Y12" s="112"/>
      <c r="Z12" s="112"/>
      <c r="AA12" s="136"/>
      <c r="AB12" s="112"/>
      <c r="AC12" s="136"/>
      <c r="AD12" s="136"/>
      <c r="AE12" s="154"/>
      <c r="AF12" s="154"/>
      <c r="AH12" s="112"/>
      <c r="AI12" s="112"/>
      <c r="AJ12" s="112"/>
      <c r="AK12" s="136"/>
      <c r="AL12" s="112"/>
      <c r="AM12" s="136"/>
      <c r="AN12" s="136"/>
      <c r="AO12" s="154"/>
      <c r="AP12" s="154"/>
      <c r="AR12" s="112"/>
      <c r="AS12" s="112"/>
      <c r="AT12" s="112"/>
      <c r="AU12" s="136"/>
      <c r="AV12" s="112"/>
      <c r="AW12" s="136"/>
      <c r="AX12" s="136"/>
      <c r="AY12" s="154"/>
      <c r="AZ12" s="210"/>
      <c r="BC12" s="112"/>
      <c r="BD12" s="112"/>
      <c r="BE12" s="112"/>
      <c r="BF12" s="136"/>
      <c r="BG12" s="112"/>
      <c r="BH12" s="136"/>
      <c r="BI12" s="136"/>
      <c r="BJ12" s="154"/>
      <c r="BK12" s="154"/>
    </row>
    <row r="13" spans="1:63" ht="13.5" customHeight="1">
      <c r="B13" t="s">
        <v>17</v>
      </c>
      <c r="D13" s="16">
        <v>47248</v>
      </c>
      <c r="E13" s="138"/>
      <c r="F13" s="186">
        <v>42490</v>
      </c>
      <c r="G13" s="20"/>
      <c r="H13" s="94">
        <v>47378</v>
      </c>
      <c r="I13" s="288"/>
      <c r="J13" s="145"/>
      <c r="K13" s="94"/>
      <c r="L13" s="397">
        <v>42076</v>
      </c>
      <c r="M13" s="397"/>
      <c r="N13" s="397"/>
      <c r="O13" s="112"/>
      <c r="P13" s="112"/>
      <c r="Q13" s="136"/>
      <c r="R13" s="112"/>
      <c r="S13" s="136"/>
      <c r="T13" s="136"/>
      <c r="U13" s="154"/>
      <c r="V13" s="154"/>
      <c r="X13" s="112"/>
      <c r="Y13" s="112"/>
      <c r="Z13" s="112"/>
      <c r="AA13" s="136"/>
      <c r="AB13" s="112"/>
      <c r="AC13" s="136"/>
      <c r="AD13" s="136"/>
      <c r="AE13" s="154"/>
      <c r="AF13" s="154"/>
      <c r="AH13" s="112"/>
      <c r="AI13" s="112"/>
      <c r="AJ13" s="112"/>
      <c r="AK13" s="136"/>
      <c r="AL13" s="112"/>
      <c r="AM13" s="136"/>
      <c r="AN13" s="136"/>
      <c r="AO13" s="154"/>
      <c r="AP13" s="154"/>
      <c r="AR13" s="112"/>
      <c r="AS13" s="112"/>
      <c r="AT13" s="112"/>
      <c r="AU13" s="136"/>
      <c r="AV13" s="112"/>
      <c r="AW13" s="136"/>
      <c r="AX13" s="136"/>
      <c r="AY13" s="154"/>
      <c r="AZ13" s="210"/>
      <c r="BC13" s="112"/>
      <c r="BD13" s="112"/>
      <c r="BE13" s="112"/>
      <c r="BF13" s="136"/>
      <c r="BG13" s="112"/>
      <c r="BH13" s="136"/>
      <c r="BI13" s="136"/>
      <c r="BJ13" s="154"/>
      <c r="BK13" s="154"/>
    </row>
    <row r="14" spans="1:63" ht="13.5" customHeight="1">
      <c r="B14" t="s">
        <v>139</v>
      </c>
      <c r="D14" s="16">
        <v>54698</v>
      </c>
      <c r="E14" s="138"/>
      <c r="F14" s="186">
        <v>52529</v>
      </c>
      <c r="G14" s="20"/>
      <c r="H14" s="94">
        <f>H12-H13</f>
        <v>53215</v>
      </c>
      <c r="I14" s="288"/>
      <c r="J14" s="145"/>
      <c r="K14" s="94"/>
      <c r="L14" s="398">
        <v>45818</v>
      </c>
      <c r="M14" s="398"/>
      <c r="N14" s="398"/>
      <c r="O14" s="112"/>
      <c r="P14" s="112"/>
      <c r="Q14" s="136"/>
      <c r="R14" s="112"/>
      <c r="S14" s="136"/>
      <c r="T14" s="136"/>
      <c r="U14" s="154"/>
      <c r="V14" s="154"/>
      <c r="X14" s="112"/>
      <c r="Y14" s="112"/>
      <c r="Z14" s="112"/>
      <c r="AA14" s="136"/>
      <c r="AB14" s="112"/>
      <c r="AC14" s="136"/>
      <c r="AD14" s="136"/>
      <c r="AE14" s="154"/>
      <c r="AF14" s="154"/>
      <c r="AH14" s="112"/>
      <c r="AI14" s="112"/>
      <c r="AJ14" s="112"/>
      <c r="AK14" s="136"/>
      <c r="AL14" s="112"/>
      <c r="AM14" s="136"/>
      <c r="AN14" s="136"/>
      <c r="AO14" s="154"/>
      <c r="AP14" s="154"/>
      <c r="AR14" s="112"/>
      <c r="AS14" s="112"/>
      <c r="AT14" s="112"/>
      <c r="AU14" s="136"/>
      <c r="AV14" s="112"/>
      <c r="AW14" s="136"/>
      <c r="AX14" s="136"/>
      <c r="AY14" s="154"/>
      <c r="AZ14" s="210"/>
      <c r="BC14" s="112"/>
      <c r="BD14" s="112"/>
      <c r="BE14" s="112"/>
      <c r="BF14" s="136"/>
      <c r="BG14" s="112"/>
      <c r="BH14" s="136"/>
      <c r="BI14" s="136"/>
      <c r="BJ14" s="154"/>
      <c r="BK14" s="154"/>
    </row>
    <row r="15" spans="1:63" ht="13.5" customHeight="1">
      <c r="B15" t="s">
        <v>19</v>
      </c>
      <c r="D15" s="16">
        <v>35402</v>
      </c>
      <c r="E15" s="138"/>
      <c r="F15" s="186">
        <v>34141</v>
      </c>
      <c r="G15" s="20"/>
      <c r="H15" s="94">
        <v>34776</v>
      </c>
      <c r="I15" s="288"/>
      <c r="J15" s="145"/>
      <c r="K15" s="94"/>
      <c r="L15" s="398">
        <v>30373</v>
      </c>
      <c r="M15" s="398"/>
      <c r="N15" s="398"/>
      <c r="O15" s="112"/>
      <c r="P15" s="112"/>
      <c r="Q15" s="136"/>
      <c r="R15" s="112"/>
      <c r="S15" s="136"/>
      <c r="T15" s="136"/>
      <c r="U15" s="154"/>
      <c r="V15" s="154"/>
      <c r="X15" s="112"/>
      <c r="Y15" s="112"/>
      <c r="Z15" s="112"/>
      <c r="AA15" s="136"/>
      <c r="AB15" s="112"/>
      <c r="AC15" s="136"/>
      <c r="AD15" s="136"/>
      <c r="AE15" s="154"/>
      <c r="AF15" s="154"/>
      <c r="AH15" s="112"/>
      <c r="AI15" s="112"/>
      <c r="AJ15" s="112"/>
      <c r="AK15" s="136"/>
      <c r="AL15" s="112"/>
      <c r="AM15" s="136"/>
      <c r="AN15" s="136"/>
      <c r="AO15" s="154"/>
      <c r="AP15" s="154"/>
      <c r="AR15" s="112"/>
      <c r="AS15" s="112"/>
      <c r="AT15" s="112"/>
      <c r="AU15" s="136"/>
      <c r="AV15" s="112"/>
      <c r="AW15" s="136"/>
      <c r="AX15" s="136"/>
      <c r="AY15" s="154"/>
      <c r="AZ15" s="210"/>
      <c r="BC15" s="112"/>
      <c r="BD15" s="112"/>
      <c r="BE15" s="112"/>
      <c r="BF15" s="136"/>
      <c r="BG15" s="112"/>
      <c r="BH15" s="136"/>
      <c r="BI15" s="136"/>
      <c r="BJ15" s="154"/>
      <c r="BK15" s="154"/>
    </row>
    <row r="16" spans="1:63" ht="13.5" customHeight="1">
      <c r="B16" t="s">
        <v>140</v>
      </c>
      <c r="D16" s="16">
        <v>2573</v>
      </c>
      <c r="E16" s="138"/>
      <c r="F16" s="186">
        <v>2580</v>
      </c>
      <c r="G16" s="20"/>
      <c r="H16" s="94">
        <v>2520</v>
      </c>
      <c r="I16" s="288"/>
      <c r="J16" s="145"/>
      <c r="K16" s="94"/>
      <c r="L16" s="398">
        <v>742</v>
      </c>
      <c r="M16" s="398"/>
      <c r="N16" s="398"/>
      <c r="O16" s="112"/>
      <c r="P16" s="112"/>
      <c r="Q16" s="136"/>
      <c r="R16" s="112"/>
      <c r="S16" s="136"/>
      <c r="T16" s="136"/>
      <c r="U16" s="154"/>
      <c r="V16" s="154"/>
      <c r="X16" s="112"/>
      <c r="Y16" s="112"/>
      <c r="Z16" s="112"/>
      <c r="AA16" s="136"/>
      <c r="AB16" s="112"/>
      <c r="AC16" s="136"/>
      <c r="AD16" s="136"/>
      <c r="AE16" s="154"/>
      <c r="AF16" s="154"/>
      <c r="AH16" s="112"/>
      <c r="AI16" s="112"/>
      <c r="AJ16" s="112"/>
      <c r="AK16" s="136"/>
      <c r="AL16" s="112"/>
      <c r="AM16" s="136"/>
      <c r="AN16" s="136"/>
      <c r="AO16" s="154"/>
      <c r="AP16" s="154"/>
      <c r="AR16" s="112"/>
      <c r="AS16" s="112"/>
      <c r="AT16" s="112"/>
      <c r="AU16" s="136"/>
      <c r="AV16" s="112"/>
      <c r="AW16" s="136"/>
      <c r="AX16" s="136"/>
      <c r="AY16" s="154"/>
      <c r="AZ16" s="210"/>
      <c r="BC16" s="112"/>
      <c r="BD16" s="112"/>
      <c r="BE16" s="112"/>
      <c r="BF16" s="136"/>
      <c r="BG16" s="112"/>
      <c r="BH16" s="136"/>
      <c r="BI16" s="136"/>
      <c r="BJ16" s="154"/>
      <c r="BK16" s="154"/>
    </row>
    <row r="17" spans="1:64" ht="13.5" customHeight="1">
      <c r="B17" t="s">
        <v>141</v>
      </c>
      <c r="D17" s="16">
        <v>4820</v>
      </c>
      <c r="E17" s="138"/>
      <c r="F17" s="186">
        <v>4729</v>
      </c>
      <c r="G17" s="20"/>
      <c r="H17" s="94">
        <v>4637</v>
      </c>
      <c r="I17" s="288"/>
      <c r="J17" s="145"/>
      <c r="K17" s="94"/>
      <c r="L17" s="398">
        <v>4323</v>
      </c>
      <c r="M17" s="398"/>
      <c r="N17" s="398"/>
      <c r="O17" s="112"/>
      <c r="P17" s="112"/>
      <c r="Q17" s="136"/>
      <c r="R17" s="112"/>
      <c r="S17" s="136"/>
      <c r="T17" s="136"/>
      <c r="U17" s="154"/>
      <c r="V17" s="154"/>
      <c r="X17" s="112"/>
      <c r="Y17" s="112"/>
      <c r="Z17" s="112"/>
      <c r="AA17" s="136"/>
      <c r="AB17" s="112"/>
      <c r="AC17" s="136"/>
      <c r="AD17" s="136"/>
      <c r="AE17" s="154"/>
      <c r="AF17" s="154"/>
      <c r="AH17" s="112"/>
      <c r="AI17" s="112"/>
      <c r="AJ17" s="112"/>
      <c r="AK17" s="136"/>
      <c r="AL17" s="112"/>
      <c r="AM17" s="136"/>
      <c r="AN17" s="136"/>
      <c r="AO17" s="154"/>
      <c r="AP17" s="154"/>
      <c r="AR17" s="112"/>
      <c r="AS17" s="112"/>
      <c r="AT17" s="112"/>
      <c r="AU17" s="136"/>
      <c r="AV17" s="112"/>
      <c r="AW17" s="136"/>
      <c r="AX17" s="136"/>
      <c r="AY17" s="154"/>
      <c r="AZ17" s="210"/>
      <c r="BC17" s="112"/>
      <c r="BD17" s="112"/>
      <c r="BE17" s="112"/>
      <c r="BF17" s="136"/>
      <c r="BG17" s="112"/>
      <c r="BH17" s="136"/>
      <c r="BI17" s="136"/>
      <c r="BJ17" s="154"/>
      <c r="BK17" s="154"/>
    </row>
    <row r="18" spans="1:64" ht="13.5" customHeight="1">
      <c r="B18" t="s">
        <v>142</v>
      </c>
      <c r="D18" s="16">
        <f>D14-D17-D16-D15</f>
        <v>11903</v>
      </c>
      <c r="E18" s="138"/>
      <c r="F18" s="186">
        <f>F14-F17-F16-F15</f>
        <v>11079</v>
      </c>
      <c r="G18" s="20"/>
      <c r="H18" s="94">
        <f>H14-H17-H16-H15</f>
        <v>11282</v>
      </c>
      <c r="I18" s="288"/>
      <c r="J18" s="145"/>
      <c r="K18" s="94"/>
      <c r="L18" s="398">
        <v>10380</v>
      </c>
      <c r="M18" s="398"/>
      <c r="N18" s="398"/>
      <c r="O18" s="112"/>
      <c r="P18" s="112"/>
      <c r="Q18" s="136"/>
      <c r="R18" s="112"/>
      <c r="S18" s="136"/>
      <c r="T18" s="136"/>
      <c r="U18" s="154"/>
      <c r="V18" s="154"/>
      <c r="X18" s="112"/>
      <c r="Y18" s="112"/>
      <c r="Z18" s="112"/>
      <c r="AA18" s="136"/>
      <c r="AB18" s="112"/>
      <c r="AC18" s="136"/>
      <c r="AD18" s="136"/>
      <c r="AE18" s="154"/>
      <c r="AF18" s="154"/>
      <c r="AH18" s="112"/>
      <c r="AI18" s="112"/>
      <c r="AJ18" s="112"/>
      <c r="AK18" s="136"/>
      <c r="AL18" s="112"/>
      <c r="AM18" s="136"/>
      <c r="AN18" s="136"/>
      <c r="AO18" s="154"/>
      <c r="AP18" s="154"/>
      <c r="AR18" s="112"/>
      <c r="AS18" s="112"/>
      <c r="AT18" s="112"/>
      <c r="AU18" s="136"/>
      <c r="AV18" s="112"/>
      <c r="AW18" s="136"/>
      <c r="AX18" s="136"/>
      <c r="AY18" s="154"/>
      <c r="AZ18" s="210"/>
      <c r="BC18" s="112"/>
      <c r="BD18" s="112"/>
      <c r="BE18" s="112"/>
      <c r="BF18" s="136"/>
      <c r="BG18" s="112"/>
      <c r="BH18" s="136"/>
      <c r="BI18" s="136"/>
      <c r="BJ18" s="154"/>
      <c r="BK18" s="154"/>
    </row>
    <row r="19" spans="1:64" ht="13.5" customHeight="1" thickBot="1">
      <c r="B19" s="12" t="s">
        <v>22</v>
      </c>
      <c r="C19" s="12"/>
      <c r="D19" s="13">
        <v>63944</v>
      </c>
      <c r="E19" s="137"/>
      <c r="F19" s="185">
        <v>59269</v>
      </c>
      <c r="G19" s="113"/>
      <c r="H19" s="155">
        <v>64159</v>
      </c>
      <c r="I19" s="286"/>
      <c r="J19" s="144"/>
      <c r="K19" s="155"/>
      <c r="L19" s="396">
        <v>53188</v>
      </c>
      <c r="M19" s="396"/>
      <c r="N19" s="396"/>
      <c r="O19" s="112"/>
      <c r="P19" s="112"/>
      <c r="Q19" s="136"/>
      <c r="R19" s="112"/>
      <c r="S19" s="136"/>
      <c r="T19" s="136"/>
      <c r="U19" s="154"/>
      <c r="V19" s="154"/>
      <c r="X19" s="112"/>
      <c r="Y19" s="112"/>
      <c r="Z19" s="112"/>
      <c r="AA19" s="136"/>
      <c r="AB19" s="112"/>
      <c r="AC19" s="136"/>
      <c r="AD19" s="136"/>
      <c r="AE19" s="154"/>
      <c r="AF19" s="154"/>
      <c r="AH19" s="112"/>
      <c r="AI19" s="112"/>
      <c r="AJ19" s="112"/>
      <c r="AK19" s="136"/>
      <c r="AL19" s="112"/>
      <c r="AM19" s="136"/>
      <c r="AN19" s="136"/>
      <c r="AO19" s="154"/>
      <c r="AP19" s="154"/>
      <c r="AR19" s="112"/>
      <c r="AS19" s="112"/>
      <c r="AT19" s="112"/>
      <c r="AU19" s="136"/>
      <c r="AV19" s="112"/>
      <c r="AW19" s="136"/>
      <c r="AX19" s="136"/>
      <c r="AY19" s="154"/>
      <c r="AZ19" s="210"/>
      <c r="BC19" s="112"/>
      <c r="BD19" s="112"/>
      <c r="BE19" s="112"/>
      <c r="BF19" s="136"/>
      <c r="BG19" s="112"/>
      <c r="BH19" s="136"/>
      <c r="BI19" s="136"/>
      <c r="BJ19" s="154"/>
      <c r="BK19" s="154"/>
    </row>
    <row r="20" spans="1:64" ht="13.5" customHeight="1">
      <c r="B20" t="s">
        <v>143</v>
      </c>
      <c r="D20" s="16">
        <v>28491</v>
      </c>
      <c r="E20" s="138"/>
      <c r="F20" s="186">
        <v>27040</v>
      </c>
      <c r="G20" s="20"/>
      <c r="H20" s="94">
        <v>29105</v>
      </c>
      <c r="I20" s="288"/>
      <c r="J20" s="145"/>
      <c r="K20" s="94"/>
      <c r="L20" s="397">
        <v>23368</v>
      </c>
      <c r="M20" s="397"/>
      <c r="N20" s="397"/>
      <c r="O20" s="112"/>
      <c r="P20" s="112"/>
      <c r="Q20" s="136"/>
      <c r="R20" s="112"/>
      <c r="S20" s="136"/>
      <c r="T20" s="136"/>
      <c r="U20" s="154"/>
      <c r="V20" s="154"/>
      <c r="X20" s="112"/>
      <c r="Y20" s="112"/>
      <c r="Z20" s="112"/>
      <c r="AA20" s="136"/>
      <c r="AB20" s="112"/>
      <c r="AC20" s="136"/>
      <c r="AD20" s="136"/>
      <c r="AE20" s="154"/>
      <c r="AF20" s="154"/>
      <c r="AH20" s="112"/>
      <c r="AI20" s="112"/>
      <c r="AJ20" s="112"/>
      <c r="AK20" s="136"/>
      <c r="AL20" s="112"/>
      <c r="AM20" s="136"/>
      <c r="AN20" s="136"/>
      <c r="AO20" s="154"/>
      <c r="AP20" s="154"/>
      <c r="AR20" s="112"/>
      <c r="AS20" s="112"/>
      <c r="AT20" s="112"/>
      <c r="AU20" s="136"/>
      <c r="AV20" s="112"/>
      <c r="AW20" s="136"/>
      <c r="AX20" s="136"/>
      <c r="AY20" s="154"/>
      <c r="AZ20" s="210"/>
      <c r="BC20" s="112"/>
      <c r="BD20" s="112"/>
      <c r="BE20" s="112"/>
      <c r="BF20" s="136"/>
      <c r="BG20" s="112"/>
      <c r="BH20" s="136"/>
      <c r="BI20" s="136"/>
      <c r="BJ20" s="154"/>
      <c r="BK20" s="154"/>
    </row>
    <row r="21" spans="1:64" ht="13.5" customHeight="1">
      <c r="B21" t="s">
        <v>144</v>
      </c>
      <c r="D21" s="16">
        <f>D19-D20</f>
        <v>35453</v>
      </c>
      <c r="E21" s="138"/>
      <c r="F21" s="186">
        <f>F19-F20</f>
        <v>32229</v>
      </c>
      <c r="G21" s="20"/>
      <c r="H21" s="94">
        <f>H19-H20</f>
        <v>35054</v>
      </c>
      <c r="I21" s="288"/>
      <c r="J21" s="145"/>
      <c r="K21" s="94"/>
      <c r="L21" s="398">
        <v>29820</v>
      </c>
      <c r="M21" s="398"/>
      <c r="N21" s="398"/>
      <c r="O21" s="112"/>
      <c r="P21" s="112"/>
      <c r="Q21" s="136"/>
      <c r="R21" s="112"/>
      <c r="S21" s="136"/>
      <c r="T21" s="136"/>
      <c r="U21" s="154"/>
      <c r="V21" s="154"/>
      <c r="X21" s="112"/>
      <c r="Y21" s="112"/>
      <c r="Z21" s="112"/>
      <c r="AA21" s="136"/>
      <c r="AB21" s="112"/>
      <c r="AC21" s="136"/>
      <c r="AD21" s="136"/>
      <c r="AE21" s="154"/>
      <c r="AF21" s="154"/>
      <c r="AH21" s="112"/>
      <c r="AI21" s="112"/>
      <c r="AJ21" s="112"/>
      <c r="AK21" s="136"/>
      <c r="AL21" s="112"/>
      <c r="AM21" s="136"/>
      <c r="AN21" s="136"/>
      <c r="AO21" s="154"/>
      <c r="AP21" s="154"/>
      <c r="AR21" s="112"/>
      <c r="AS21" s="112"/>
      <c r="AT21" s="112"/>
      <c r="AU21" s="136"/>
      <c r="AV21" s="112"/>
      <c r="AW21" s="136"/>
      <c r="AX21" s="136"/>
      <c r="AY21" s="154"/>
      <c r="AZ21" s="210"/>
      <c r="BC21" s="112"/>
      <c r="BD21" s="112"/>
      <c r="BE21" s="112"/>
      <c r="BF21" s="136"/>
      <c r="BG21" s="112"/>
      <c r="BH21" s="136"/>
      <c r="BI21" s="136"/>
      <c r="BJ21" s="154"/>
      <c r="BK21" s="154"/>
    </row>
    <row r="22" spans="1:64" ht="13.5" customHeight="1" thickBot="1">
      <c r="B22" s="12" t="s">
        <v>145</v>
      </c>
      <c r="C22" s="12"/>
      <c r="D22" s="13">
        <v>38002</v>
      </c>
      <c r="E22" s="137"/>
      <c r="F22" s="185">
        <v>35750</v>
      </c>
      <c r="G22" s="113"/>
      <c r="H22" s="155">
        <f>H12-H19</f>
        <v>36434</v>
      </c>
      <c r="I22" s="286"/>
      <c r="J22" s="144"/>
      <c r="K22" s="155"/>
      <c r="L22" s="396">
        <v>34706</v>
      </c>
      <c r="M22" s="396"/>
      <c r="N22" s="396"/>
      <c r="O22" s="112"/>
      <c r="P22" s="112"/>
      <c r="Q22" s="136"/>
      <c r="R22" s="112"/>
      <c r="S22" s="136"/>
      <c r="T22" s="136"/>
      <c r="U22" s="154"/>
      <c r="V22" s="154"/>
      <c r="X22" s="112"/>
      <c r="Y22" s="112"/>
      <c r="Z22" s="112"/>
      <c r="AA22" s="136"/>
      <c r="AB22" s="112"/>
      <c r="AC22" s="136"/>
      <c r="AD22" s="136"/>
      <c r="AE22" s="154"/>
      <c r="AF22" s="154"/>
      <c r="AH22" s="112"/>
      <c r="AI22" s="112"/>
      <c r="AJ22" s="112"/>
      <c r="AK22" s="136"/>
      <c r="AL22" s="112"/>
      <c r="AM22" s="136"/>
      <c r="AN22" s="136"/>
      <c r="AO22" s="154"/>
      <c r="AP22" s="154"/>
      <c r="AR22" s="112"/>
      <c r="AS22" s="112"/>
      <c r="AT22" s="112"/>
      <c r="AU22" s="136"/>
      <c r="AV22" s="112"/>
      <c r="AW22" s="136"/>
      <c r="AX22" s="136"/>
      <c r="AY22" s="154"/>
      <c r="AZ22" s="210"/>
      <c r="BC22" s="112"/>
      <c r="BD22" s="112"/>
      <c r="BE22" s="112"/>
      <c r="BF22" s="136"/>
      <c r="BG22" s="112"/>
      <c r="BH22" s="136"/>
      <c r="BI22" s="136"/>
      <c r="BJ22" s="154"/>
      <c r="BK22" s="154"/>
    </row>
    <row r="23" spans="1:64" ht="13.5" customHeight="1">
      <c r="B23" t="s">
        <v>146</v>
      </c>
      <c r="D23" s="16">
        <v>33137</v>
      </c>
      <c r="E23" s="138"/>
      <c r="F23" s="186">
        <v>31058</v>
      </c>
      <c r="G23" s="20"/>
      <c r="H23" s="94">
        <v>31783</v>
      </c>
      <c r="I23" s="288"/>
      <c r="J23" s="145"/>
      <c r="K23" s="94"/>
      <c r="L23" s="397">
        <v>31007</v>
      </c>
      <c r="M23" s="397"/>
      <c r="N23" s="397"/>
      <c r="O23" s="112"/>
      <c r="P23" s="112"/>
      <c r="Q23" s="136"/>
      <c r="R23" s="112"/>
      <c r="S23" s="136"/>
      <c r="T23" s="136"/>
      <c r="U23" s="154"/>
      <c r="V23" s="154"/>
      <c r="X23" s="112"/>
      <c r="Y23" s="112"/>
      <c r="Z23" s="112"/>
      <c r="AA23" s="136"/>
      <c r="AB23" s="112"/>
      <c r="AC23" s="136"/>
      <c r="AD23" s="136"/>
      <c r="AE23" s="154"/>
      <c r="AF23" s="154"/>
      <c r="AH23" s="112"/>
      <c r="AI23" s="112"/>
      <c r="AJ23" s="112"/>
      <c r="AK23" s="136"/>
      <c r="AL23" s="112"/>
      <c r="AM23" s="136"/>
      <c r="AN23" s="136"/>
      <c r="AO23" s="154"/>
      <c r="AP23" s="154"/>
      <c r="AR23" s="112"/>
      <c r="AS23" s="112"/>
      <c r="AT23" s="112"/>
      <c r="AU23" s="136"/>
      <c r="AV23" s="112"/>
      <c r="AW23" s="136"/>
      <c r="AX23" s="136"/>
      <c r="AY23" s="154"/>
      <c r="AZ23" s="210"/>
      <c r="BC23" s="112"/>
      <c r="BD23" s="112"/>
      <c r="BE23" s="112"/>
      <c r="BF23" s="136"/>
      <c r="BG23" s="112"/>
      <c r="BH23" s="136"/>
      <c r="BI23" s="136"/>
      <c r="BJ23" s="154"/>
      <c r="BK23" s="154"/>
    </row>
    <row r="24" spans="1:64" ht="13.5" customHeight="1">
      <c r="B24" t="s">
        <v>147</v>
      </c>
      <c r="D24" s="16">
        <f>D22-D23</f>
        <v>4865</v>
      </c>
      <c r="E24" s="138"/>
      <c r="F24" s="186">
        <f>F22-F23</f>
        <v>4692</v>
      </c>
      <c r="G24" s="20"/>
      <c r="H24" s="94">
        <f>H22-H23</f>
        <v>4651</v>
      </c>
      <c r="I24" s="288"/>
      <c r="J24" s="145"/>
      <c r="K24" s="94"/>
      <c r="L24" s="398">
        <v>3699</v>
      </c>
      <c r="M24" s="398"/>
      <c r="N24" s="398"/>
      <c r="O24" s="112"/>
      <c r="P24" s="112"/>
      <c r="Q24" s="136"/>
      <c r="R24" s="112"/>
      <c r="S24" s="136"/>
      <c r="T24" s="136"/>
      <c r="U24" s="211"/>
      <c r="V24" s="112"/>
      <c r="X24" s="112"/>
      <c r="Y24" s="112"/>
      <c r="Z24" s="112"/>
      <c r="AA24" s="136"/>
      <c r="AB24" s="112"/>
      <c r="AC24" s="136"/>
      <c r="AD24" s="136"/>
      <c r="AE24" s="211"/>
      <c r="AF24" s="112"/>
      <c r="AH24" s="112"/>
      <c r="AI24" s="112"/>
      <c r="AJ24" s="112"/>
      <c r="AK24" s="136"/>
      <c r="AL24" s="112"/>
      <c r="AM24" s="136"/>
      <c r="AN24" s="136"/>
      <c r="AO24" s="211"/>
      <c r="AP24" s="112"/>
      <c r="AR24" s="112"/>
      <c r="AS24" s="112"/>
      <c r="AT24" s="112"/>
      <c r="AU24" s="136"/>
      <c r="AV24" s="112"/>
      <c r="AW24" s="136"/>
      <c r="AX24" s="136"/>
      <c r="AY24" s="211"/>
      <c r="AZ24" s="112"/>
      <c r="BC24" s="112"/>
      <c r="BD24" s="112"/>
      <c r="BE24" s="112"/>
      <c r="BF24" s="136"/>
      <c r="BG24" s="112"/>
      <c r="BH24" s="136"/>
      <c r="BI24" s="136"/>
      <c r="BJ24" s="211"/>
      <c r="BK24" s="112"/>
    </row>
    <row r="25" spans="1:64" s="207" customFormat="1" ht="13.5" customHeight="1">
      <c r="D25" s="16"/>
      <c r="E25" s="16"/>
      <c r="F25" s="16"/>
      <c r="G25" s="20"/>
      <c r="H25" s="16"/>
      <c r="I25" s="20"/>
      <c r="J25" s="20"/>
      <c r="K25" s="94"/>
      <c r="L25" s="154"/>
      <c r="M25" s="20"/>
      <c r="N25" s="154"/>
      <c r="O25" s="112"/>
      <c r="P25" s="112"/>
      <c r="Q25" s="136"/>
      <c r="R25" s="112"/>
      <c r="S25" s="136"/>
      <c r="T25" s="136"/>
      <c r="U25" s="154"/>
      <c r="V25" s="154"/>
      <c r="W25"/>
      <c r="X25" s="112"/>
      <c r="Y25" s="112"/>
      <c r="Z25" s="112"/>
      <c r="AA25" s="136"/>
      <c r="AB25" s="112"/>
      <c r="AC25" s="136"/>
      <c r="AD25" s="136"/>
      <c r="AE25" s="154"/>
      <c r="AF25" s="154"/>
      <c r="AG25"/>
      <c r="AH25" s="112"/>
      <c r="AI25" s="112"/>
      <c r="AJ25" s="112"/>
      <c r="AK25" s="136"/>
      <c r="AL25" s="112"/>
      <c r="AM25" s="136"/>
      <c r="AN25" s="136"/>
      <c r="AO25" s="154"/>
      <c r="AP25" s="154"/>
      <c r="AQ25"/>
      <c r="AR25" s="112"/>
      <c r="AS25" s="112"/>
      <c r="AT25" s="112"/>
      <c r="AU25" s="136"/>
      <c r="AV25" s="112"/>
      <c r="AW25" s="136"/>
      <c r="AX25" s="136"/>
      <c r="AY25" s="154"/>
      <c r="AZ25" s="210"/>
      <c r="BA25"/>
      <c r="BB25"/>
      <c r="BC25" s="112"/>
      <c r="BD25" s="112"/>
      <c r="BE25" s="112"/>
      <c r="BF25" s="136"/>
      <c r="BG25" s="112"/>
      <c r="BH25" s="136"/>
      <c r="BI25" s="136"/>
      <c r="BJ25" s="154"/>
      <c r="BK25" s="154"/>
      <c r="BL25"/>
    </row>
    <row r="26" spans="1:64">
      <c r="D26" s="20"/>
      <c r="E26" s="20"/>
      <c r="F26" s="20"/>
      <c r="G26" s="20"/>
      <c r="H26" s="20"/>
      <c r="I26" s="20"/>
      <c r="J26" s="20"/>
      <c r="K26" s="184"/>
      <c r="L26" s="184"/>
      <c r="M26" s="20"/>
      <c r="N26" s="184"/>
      <c r="O26" s="136"/>
      <c r="P26" s="136"/>
      <c r="Q26" s="136"/>
      <c r="R26" s="136"/>
      <c r="S26" s="136"/>
      <c r="T26" s="136"/>
      <c r="U26" s="211"/>
      <c r="V26" s="211"/>
      <c r="X26" s="136"/>
      <c r="Y26" s="136"/>
      <c r="Z26" s="136"/>
      <c r="AA26" s="136"/>
      <c r="AB26" s="136"/>
      <c r="AC26" s="136"/>
      <c r="AD26" s="136"/>
      <c r="AE26" s="211"/>
      <c r="AF26" s="211"/>
      <c r="AH26" s="136"/>
      <c r="AI26" s="136"/>
      <c r="AJ26" s="136"/>
      <c r="AK26" s="136"/>
      <c r="AL26" s="136"/>
      <c r="AM26" s="136"/>
      <c r="AN26" s="136"/>
      <c r="AO26" s="211"/>
      <c r="AP26" s="211"/>
      <c r="AR26" s="136"/>
      <c r="AS26" s="136"/>
      <c r="AT26" s="136"/>
      <c r="AU26" s="136"/>
      <c r="AV26" s="136"/>
      <c r="AW26" s="136"/>
      <c r="AX26" s="136"/>
      <c r="AY26" s="211"/>
      <c r="AZ26" s="211"/>
      <c r="BC26" s="136"/>
      <c r="BD26" s="136"/>
      <c r="BE26" s="136"/>
      <c r="BF26" s="136"/>
      <c r="BG26" s="136"/>
      <c r="BH26" s="136"/>
      <c r="BI26" s="136"/>
      <c r="BJ26" s="211"/>
      <c r="BK26" s="211"/>
    </row>
    <row r="27" spans="1:64" s="3" customFormat="1" ht="16.2">
      <c r="A27" s="250" t="s">
        <v>27</v>
      </c>
    </row>
    <row r="28" spans="1:64">
      <c r="B28" t="s">
        <v>1</v>
      </c>
      <c r="D28" s="244" t="str">
        <f>D6</f>
        <v>2024年度　（2024年4月-2025年3月）</v>
      </c>
      <c r="E28" s="244"/>
      <c r="F28" s="244"/>
      <c r="G28" s="244"/>
      <c r="H28" s="244"/>
      <c r="I28" s="244"/>
      <c r="J28" s="244"/>
      <c r="K28" s="244"/>
      <c r="L28" s="244"/>
      <c r="M28" s="324"/>
      <c r="N28" s="244"/>
      <c r="O28" s="5"/>
      <c r="P28" s="5"/>
      <c r="Q28" s="5"/>
      <c r="R28" s="5"/>
      <c r="S28" s="5"/>
      <c r="T28" s="5"/>
      <c r="U28" s="5"/>
      <c r="V28" s="5"/>
      <c r="X28" s="5"/>
      <c r="Y28" s="5"/>
      <c r="Z28" s="5"/>
      <c r="AA28" s="5"/>
      <c r="AB28" s="5"/>
      <c r="AC28" s="5"/>
      <c r="AD28" s="5"/>
      <c r="AE28" s="5"/>
      <c r="AF28" s="5"/>
      <c r="AH28" s="5"/>
      <c r="AI28" s="5"/>
      <c r="AJ28" s="5"/>
      <c r="AK28" s="5"/>
      <c r="AL28" s="5"/>
      <c r="AM28" s="5"/>
      <c r="AN28" s="5"/>
      <c r="AO28" s="5"/>
      <c r="AP28" s="5"/>
      <c r="AR28" s="5"/>
      <c r="AS28" s="5"/>
      <c r="AT28" s="5"/>
      <c r="AU28" s="5"/>
      <c r="AV28" s="5"/>
      <c r="AW28" s="5"/>
      <c r="AX28" s="5"/>
      <c r="AY28" s="5"/>
      <c r="AZ28" s="5"/>
      <c r="BC28" s="5"/>
      <c r="BD28" s="5"/>
      <c r="BE28" s="5"/>
      <c r="BF28" s="5"/>
      <c r="BG28" s="5"/>
      <c r="BH28" s="5"/>
      <c r="BI28" s="5"/>
      <c r="BJ28" s="5"/>
      <c r="BK28" s="5"/>
    </row>
    <row r="29" spans="1:64" ht="3.75" customHeight="1">
      <c r="D29" s="5"/>
      <c r="E29" s="5"/>
      <c r="F29" s="5"/>
      <c r="G29" s="5"/>
      <c r="H29" s="5"/>
      <c r="I29" s="5"/>
      <c r="J29" s="5"/>
      <c r="K29" s="5"/>
      <c r="L29" s="244"/>
      <c r="M29" s="324"/>
      <c r="N29" s="244"/>
      <c r="O29" s="5"/>
      <c r="P29" s="5"/>
      <c r="Q29" s="5"/>
      <c r="R29" s="5"/>
      <c r="S29" s="5"/>
      <c r="T29" s="5"/>
      <c r="U29" s="5"/>
      <c r="V29" s="5"/>
      <c r="X29" s="5"/>
      <c r="Y29" s="5"/>
      <c r="Z29" s="5"/>
      <c r="AA29" s="5"/>
      <c r="AB29" s="5"/>
      <c r="AC29" s="5"/>
      <c r="AD29" s="5"/>
      <c r="AE29" s="5"/>
      <c r="AF29" s="5"/>
      <c r="AH29" s="5"/>
      <c r="AI29" s="5"/>
      <c r="AJ29" s="5"/>
      <c r="AK29" s="5"/>
      <c r="AL29" s="5"/>
      <c r="AM29" s="5"/>
      <c r="AN29" s="5"/>
      <c r="AO29" s="5"/>
      <c r="AP29" s="5"/>
      <c r="AR29" s="5"/>
      <c r="AS29" s="5"/>
      <c r="AT29" s="5"/>
      <c r="AU29" s="5"/>
      <c r="AV29" s="5"/>
      <c r="AW29" s="5"/>
      <c r="AX29" s="5"/>
      <c r="AY29" s="5"/>
      <c r="AZ29" s="5"/>
      <c r="BC29" s="5"/>
      <c r="BD29" s="5"/>
      <c r="BE29" s="5"/>
      <c r="BF29" s="5"/>
      <c r="BG29" s="5"/>
      <c r="BH29" s="5"/>
      <c r="BI29" s="5"/>
      <c r="BJ29" s="5"/>
      <c r="BK29" s="5"/>
    </row>
    <row r="30" spans="1:64" ht="34.799999999999997">
      <c r="D30" s="6"/>
      <c r="E30" s="6"/>
      <c r="F30" s="7" t="s">
        <v>28</v>
      </c>
      <c r="H30" s="7"/>
      <c r="I30" s="7"/>
      <c r="J30" s="7" t="s">
        <v>29</v>
      </c>
      <c r="L30" s="320" t="s">
        <v>227</v>
      </c>
      <c r="M30" s="207"/>
      <c r="N30" s="335" t="s">
        <v>30</v>
      </c>
      <c r="P30" s="8"/>
      <c r="R30" s="8"/>
      <c r="S30" s="8"/>
      <c r="T30" s="8"/>
      <c r="V30" s="8"/>
      <c r="Z30" s="8"/>
      <c r="AB30" s="8"/>
      <c r="AC30" s="8"/>
      <c r="AD30" s="8"/>
      <c r="AF30" s="8"/>
      <c r="AJ30" s="8"/>
      <c r="AL30" s="8"/>
      <c r="AM30" s="8"/>
      <c r="AN30" s="8"/>
      <c r="AP30" s="8"/>
      <c r="AT30" s="8"/>
      <c r="AV30" s="8"/>
      <c r="AW30" s="8"/>
      <c r="AX30" s="8"/>
      <c r="AZ30" s="8"/>
      <c r="BE30" s="8"/>
      <c r="BG30" s="8"/>
      <c r="BH30" s="8"/>
      <c r="BI30" s="8"/>
      <c r="BK30" s="8"/>
    </row>
    <row r="31" spans="1:64" s="9" customFormat="1" ht="10.8">
      <c r="D31" s="9" t="s">
        <v>31</v>
      </c>
      <c r="E31" s="9" t="s">
        <v>32</v>
      </c>
      <c r="F31" s="10" t="s">
        <v>33</v>
      </c>
      <c r="H31" s="9" t="s">
        <v>7</v>
      </c>
      <c r="I31" s="9" t="s">
        <v>8</v>
      </c>
      <c r="J31" s="10"/>
      <c r="L31" s="246"/>
      <c r="M31" s="325"/>
      <c r="N31" s="246"/>
      <c r="P31" s="11"/>
      <c r="T31" s="11"/>
      <c r="V31" s="11"/>
      <c r="Z31" s="11"/>
      <c r="AD31" s="11"/>
      <c r="AF31" s="11"/>
      <c r="AJ31" s="11"/>
      <c r="AN31" s="11"/>
      <c r="AP31" s="11"/>
      <c r="AT31" s="11"/>
      <c r="AX31" s="11"/>
      <c r="AZ31" s="11"/>
      <c r="BE31" s="11"/>
      <c r="BI31" s="11"/>
      <c r="BK31" s="11"/>
    </row>
    <row r="32" spans="1:64" s="9" customFormat="1" ht="10.8">
      <c r="D32" s="9" t="s">
        <v>34</v>
      </c>
      <c r="E32" s="9" t="s">
        <v>35</v>
      </c>
      <c r="F32" s="10" t="s">
        <v>36</v>
      </c>
      <c r="H32" s="9" t="s">
        <v>12</v>
      </c>
      <c r="I32" s="9" t="s">
        <v>13</v>
      </c>
      <c r="J32" s="10" t="s">
        <v>37</v>
      </c>
      <c r="L32" s="246" t="s">
        <v>38</v>
      </c>
      <c r="M32" s="325"/>
      <c r="N32" s="246" t="s">
        <v>38</v>
      </c>
      <c r="P32" s="11"/>
      <c r="T32" s="11"/>
      <c r="V32" s="11"/>
      <c r="Z32" s="11"/>
      <c r="AD32" s="11"/>
      <c r="AF32" s="11"/>
      <c r="AJ32" s="11"/>
      <c r="AN32" s="11"/>
      <c r="AP32" s="11"/>
      <c r="AT32" s="11"/>
      <c r="AX32" s="11"/>
      <c r="AZ32" s="11"/>
      <c r="BE32" s="11"/>
      <c r="BI32" s="11"/>
      <c r="BK32" s="11"/>
    </row>
    <row r="33" spans="1:63" s="3" customFormat="1" ht="6.75" customHeight="1">
      <c r="A33" s="2"/>
    </row>
    <row r="34" spans="1:63" ht="13.5" customHeight="1" thickBot="1">
      <c r="B34" s="12" t="s">
        <v>39</v>
      </c>
      <c r="C34" s="12"/>
      <c r="D34" s="13">
        <v>31663</v>
      </c>
      <c r="E34" s="185">
        <f>F34-D34</f>
        <v>31821</v>
      </c>
      <c r="F34" s="290">
        <v>63484</v>
      </c>
      <c r="G34" s="113"/>
      <c r="H34" s="13">
        <f>96059-F34</f>
        <v>32575</v>
      </c>
      <c r="I34" s="155">
        <f t="shared" ref="I34:I47" si="0">J34-H34</f>
        <v>34298</v>
      </c>
      <c r="J34" s="155">
        <f t="shared" ref="J34:J47" si="1">L34-F34</f>
        <v>66873</v>
      </c>
      <c r="K34" s="155"/>
      <c r="L34" s="209">
        <v>130357</v>
      </c>
      <c r="M34" s="321"/>
      <c r="N34" s="13">
        <v>123225</v>
      </c>
      <c r="O34" s="112"/>
      <c r="P34" s="112"/>
      <c r="R34" s="58"/>
      <c r="S34" s="25"/>
      <c r="T34" s="25"/>
      <c r="U34" s="25"/>
      <c r="V34" s="25"/>
      <c r="X34" s="112"/>
      <c r="Y34" s="112"/>
      <c r="Z34" s="112"/>
      <c r="AB34" s="58"/>
      <c r="AC34" s="74"/>
      <c r="AD34" s="74"/>
      <c r="AE34" s="74"/>
      <c r="AF34" s="74"/>
      <c r="AH34" s="112"/>
      <c r="AI34" s="112"/>
      <c r="AJ34" s="112"/>
      <c r="AL34" s="58"/>
      <c r="AM34" s="74"/>
      <c r="AN34" s="74"/>
      <c r="AO34" s="74"/>
      <c r="AP34" s="74"/>
      <c r="AR34" s="112"/>
      <c r="AS34" s="112"/>
      <c r="AT34" s="112"/>
      <c r="AV34" s="58"/>
      <c r="AW34" s="97"/>
      <c r="AX34" s="97"/>
      <c r="AY34" s="97"/>
      <c r="AZ34" s="97"/>
      <c r="BC34" s="112"/>
      <c r="BD34" s="112"/>
      <c r="BE34" s="112"/>
      <c r="BG34" s="58"/>
      <c r="BH34" s="97"/>
      <c r="BI34" s="97"/>
      <c r="BJ34" s="97"/>
      <c r="BK34" s="97"/>
    </row>
    <row r="35" spans="1:63" ht="13.5" customHeight="1">
      <c r="B35" t="s">
        <v>40</v>
      </c>
      <c r="D35" s="16">
        <v>28010</v>
      </c>
      <c r="E35" s="186">
        <f t="shared" ref="E35:E47" si="2">F35-D35</f>
        <v>30008</v>
      </c>
      <c r="F35" s="291">
        <f>F34-F36</f>
        <v>58018</v>
      </c>
      <c r="G35" s="20"/>
      <c r="H35" s="16">
        <f>86870-F35</f>
        <v>28852</v>
      </c>
      <c r="I35" s="94">
        <f t="shared" si="0"/>
        <v>30866</v>
      </c>
      <c r="J35" s="94">
        <f t="shared" si="1"/>
        <v>59718</v>
      </c>
      <c r="K35" s="94"/>
      <c r="L35" s="16">
        <v>117736</v>
      </c>
      <c r="M35" s="20"/>
      <c r="N35" s="16">
        <v>112187</v>
      </c>
      <c r="O35" s="112"/>
      <c r="P35" s="112"/>
      <c r="R35" s="25"/>
      <c r="S35" s="25"/>
      <c r="T35" s="25"/>
      <c r="U35" s="25"/>
      <c r="V35" s="25"/>
      <c r="X35" s="112"/>
      <c r="Y35" s="112"/>
      <c r="Z35" s="112"/>
      <c r="AB35" s="74"/>
      <c r="AC35" s="74"/>
      <c r="AD35" s="74"/>
      <c r="AE35" s="74"/>
      <c r="AF35" s="74"/>
      <c r="AH35" s="112"/>
      <c r="AI35" s="112"/>
      <c r="AJ35" s="112"/>
      <c r="AL35" s="74"/>
      <c r="AM35" s="74"/>
      <c r="AN35" s="74"/>
      <c r="AO35" s="74"/>
      <c r="AP35" s="74"/>
      <c r="AR35" s="112"/>
      <c r="AS35" s="112"/>
      <c r="AT35" s="112"/>
      <c r="AV35" s="97"/>
      <c r="AW35" s="97"/>
      <c r="AX35" s="97"/>
      <c r="AY35" s="97"/>
      <c r="AZ35" s="97"/>
      <c r="BC35" s="112"/>
      <c r="BD35" s="112"/>
      <c r="BE35" s="112"/>
      <c r="BG35" s="97"/>
      <c r="BH35" s="97"/>
      <c r="BI35" s="97"/>
      <c r="BJ35" s="97"/>
      <c r="BK35" s="97"/>
    </row>
    <row r="36" spans="1:63" ht="13.5" customHeight="1">
      <c r="B36" t="s">
        <v>41</v>
      </c>
      <c r="D36" s="16">
        <f>D34-D35</f>
        <v>3653</v>
      </c>
      <c r="E36" s="186">
        <f t="shared" si="2"/>
        <v>1813</v>
      </c>
      <c r="F36" s="16">
        <v>5466</v>
      </c>
      <c r="G36" s="20"/>
      <c r="H36" s="16">
        <f>9190-F36</f>
        <v>3724</v>
      </c>
      <c r="I36" s="94">
        <f t="shared" si="0"/>
        <v>3430</v>
      </c>
      <c r="J36" s="94">
        <f t="shared" si="1"/>
        <v>7154</v>
      </c>
      <c r="K36" s="94"/>
      <c r="L36" s="16">
        <v>12620</v>
      </c>
      <c r="M36" s="20"/>
      <c r="N36" s="16">
        <v>11038</v>
      </c>
      <c r="O36" s="112"/>
      <c r="P36" s="112"/>
      <c r="R36" s="112"/>
      <c r="S36" s="25"/>
      <c r="T36" s="25"/>
      <c r="U36" s="25"/>
      <c r="V36" s="25"/>
      <c r="X36" s="112"/>
      <c r="Y36" s="112"/>
      <c r="Z36" s="112"/>
      <c r="AB36" s="74"/>
      <c r="AC36" s="74"/>
      <c r="AD36" s="74"/>
      <c r="AE36" s="74"/>
      <c r="AF36" s="74"/>
      <c r="AH36" s="112"/>
      <c r="AI36" s="112"/>
      <c r="AJ36" s="112"/>
      <c r="AL36" s="74"/>
      <c r="AM36" s="74"/>
      <c r="AN36" s="74"/>
      <c r="AO36" s="74"/>
      <c r="AP36" s="74"/>
      <c r="AR36" s="112"/>
      <c r="AS36" s="112"/>
      <c r="AT36" s="112"/>
      <c r="AV36" s="97"/>
      <c r="AW36" s="97"/>
      <c r="AX36" s="97"/>
      <c r="AY36" s="97"/>
      <c r="AZ36" s="97"/>
      <c r="BC36" s="112"/>
      <c r="BD36" s="112"/>
      <c r="BE36" s="112"/>
      <c r="BG36" s="97"/>
      <c r="BH36" s="97"/>
      <c r="BI36" s="97"/>
      <c r="BJ36" s="97"/>
      <c r="BK36" s="97"/>
    </row>
    <row r="37" spans="1:63" ht="13.5" customHeight="1">
      <c r="B37" t="s">
        <v>42</v>
      </c>
      <c r="D37" s="16">
        <v>2384</v>
      </c>
      <c r="E37" s="186">
        <f t="shared" si="2"/>
        <v>2287</v>
      </c>
      <c r="F37" s="291">
        <v>4671</v>
      </c>
      <c r="G37" s="20"/>
      <c r="H37" s="16">
        <f>7041-F37</f>
        <v>2370</v>
      </c>
      <c r="I37" s="94">
        <f t="shared" si="0"/>
        <v>2576</v>
      </c>
      <c r="J37" s="94">
        <f>L37-F37</f>
        <v>4946</v>
      </c>
      <c r="K37" s="94"/>
      <c r="L37" s="16">
        <v>9617</v>
      </c>
      <c r="M37" s="20"/>
      <c r="N37" s="16">
        <v>8605</v>
      </c>
      <c r="O37" s="112"/>
      <c r="P37" s="112"/>
      <c r="R37" s="25"/>
      <c r="S37" s="25"/>
      <c r="T37" s="25"/>
      <c r="U37" s="25"/>
      <c r="V37" s="25"/>
      <c r="X37" s="112"/>
      <c r="Y37" s="112"/>
      <c r="Z37" s="112"/>
      <c r="AB37" s="74"/>
      <c r="AC37" s="74"/>
      <c r="AD37" s="74"/>
      <c r="AE37" s="74"/>
      <c r="AF37" s="74"/>
      <c r="AH37" s="112"/>
      <c r="AI37" s="112"/>
      <c r="AJ37" s="112"/>
      <c r="AL37" s="74"/>
      <c r="AM37" s="74"/>
      <c r="AN37" s="74"/>
      <c r="AO37" s="74"/>
      <c r="AP37" s="74"/>
      <c r="AR37" s="112"/>
      <c r="AS37" s="112"/>
      <c r="AT37" s="112"/>
      <c r="AV37" s="97"/>
      <c r="AW37" s="97"/>
      <c r="AX37" s="97"/>
      <c r="AY37" s="97"/>
      <c r="AZ37" s="97"/>
      <c r="BC37" s="112"/>
      <c r="BD37" s="112"/>
      <c r="BE37" s="112"/>
      <c r="BG37" s="97"/>
      <c r="BH37" s="97"/>
      <c r="BI37" s="97"/>
      <c r="BJ37" s="97"/>
      <c r="BK37" s="97"/>
    </row>
    <row r="38" spans="1:63" ht="13.5" customHeight="1">
      <c r="B38" t="s">
        <v>157</v>
      </c>
      <c r="D38" s="16">
        <v>211</v>
      </c>
      <c r="E38" s="186">
        <f t="shared" si="2"/>
        <v>108</v>
      </c>
      <c r="F38" s="291">
        <v>319</v>
      </c>
      <c r="G38" s="20"/>
      <c r="H38" s="16">
        <f>501-F38</f>
        <v>182</v>
      </c>
      <c r="I38" s="318">
        <f>J38-H38</f>
        <v>183</v>
      </c>
      <c r="J38" s="318">
        <f>L38-F38</f>
        <v>365</v>
      </c>
      <c r="K38" s="94"/>
      <c r="L38" s="16">
        <v>684</v>
      </c>
      <c r="M38" s="20"/>
      <c r="N38" s="16">
        <v>96</v>
      </c>
      <c r="O38" s="112"/>
      <c r="P38" s="112"/>
      <c r="R38" s="25"/>
      <c r="S38" s="25"/>
      <c r="T38" s="25"/>
      <c r="U38" s="25"/>
      <c r="V38" s="25"/>
      <c r="X38" s="112"/>
      <c r="Y38" s="112"/>
      <c r="Z38" s="112"/>
      <c r="AB38" s="74"/>
      <c r="AC38" s="74"/>
      <c r="AD38" s="74"/>
      <c r="AE38" s="74"/>
      <c r="AF38" s="74"/>
      <c r="AH38" s="112"/>
      <c r="AI38" s="112"/>
      <c r="AJ38" s="112"/>
      <c r="AL38" s="74"/>
      <c r="AM38" s="74"/>
      <c r="AN38" s="74"/>
      <c r="AO38" s="74"/>
      <c r="AP38" s="74"/>
      <c r="AR38" s="112"/>
      <c r="AS38" s="112"/>
      <c r="AT38" s="112"/>
      <c r="AV38" s="97"/>
      <c r="AW38" s="97"/>
      <c r="AX38" s="97"/>
      <c r="AY38" s="97"/>
      <c r="AZ38" s="97"/>
      <c r="BC38" s="112"/>
      <c r="BD38" s="112"/>
      <c r="BE38" s="112"/>
      <c r="BG38" s="97"/>
      <c r="BH38" s="97"/>
      <c r="BI38" s="97"/>
      <c r="BJ38" s="97"/>
      <c r="BK38" s="97"/>
    </row>
    <row r="39" spans="1:63" ht="13.5" customHeight="1">
      <c r="B39" t="s">
        <v>169</v>
      </c>
      <c r="D39" s="16">
        <v>130</v>
      </c>
      <c r="E39" s="186">
        <f t="shared" si="2"/>
        <v>358</v>
      </c>
      <c r="F39" s="291">
        <v>488</v>
      </c>
      <c r="G39" s="20"/>
      <c r="H39" s="16">
        <f>647-F39</f>
        <v>159</v>
      </c>
      <c r="I39" s="399">
        <v>-345</v>
      </c>
      <c r="J39" s="399">
        <v>-316</v>
      </c>
      <c r="K39" s="94"/>
      <c r="L39" s="401">
        <v>30</v>
      </c>
      <c r="M39" s="20"/>
      <c r="N39" s="326">
        <v>860</v>
      </c>
      <c r="O39" s="112"/>
      <c r="P39" s="112"/>
      <c r="R39" s="25"/>
      <c r="S39" s="25"/>
      <c r="T39" s="25"/>
      <c r="U39" s="25"/>
      <c r="V39" s="25"/>
      <c r="X39" s="112"/>
      <c r="Y39" s="112"/>
      <c r="Z39" s="112"/>
      <c r="AB39" s="74"/>
      <c r="AC39" s="74"/>
      <c r="AD39" s="74"/>
      <c r="AE39" s="74"/>
      <c r="AF39" s="74"/>
      <c r="AH39" s="112"/>
      <c r="AI39" s="112"/>
      <c r="AJ39" s="112"/>
      <c r="AL39" s="74"/>
      <c r="AM39" s="74"/>
      <c r="AN39" s="74"/>
      <c r="AO39" s="74"/>
      <c r="AP39" s="74"/>
      <c r="AR39" s="112"/>
      <c r="AS39" s="112"/>
      <c r="AT39" s="112"/>
      <c r="AV39" s="97"/>
      <c r="AW39" s="97"/>
      <c r="AX39" s="97"/>
      <c r="AY39" s="97"/>
      <c r="AZ39" s="97"/>
      <c r="BC39" s="112"/>
      <c r="BD39" s="112"/>
      <c r="BE39" s="112"/>
      <c r="BG39" s="97"/>
      <c r="BH39" s="97"/>
      <c r="BI39" s="97"/>
      <c r="BJ39" s="97"/>
      <c r="BK39" s="97"/>
    </row>
    <row r="40" spans="1:63" ht="13.5" customHeight="1">
      <c r="B40" t="s">
        <v>170</v>
      </c>
      <c r="D40" s="16">
        <v>101</v>
      </c>
      <c r="E40" s="186">
        <f t="shared" si="2"/>
        <v>41</v>
      </c>
      <c r="F40" s="291">
        <v>142</v>
      </c>
      <c r="G40" s="20"/>
      <c r="H40" s="32">
        <f>272-F40</f>
        <v>130</v>
      </c>
      <c r="I40" s="400"/>
      <c r="J40" s="400"/>
      <c r="K40" s="94"/>
      <c r="L40" s="401"/>
      <c r="M40" s="20"/>
      <c r="N40" s="326">
        <v>2328</v>
      </c>
      <c r="O40" s="112"/>
      <c r="P40" s="112"/>
      <c r="R40" s="25"/>
      <c r="S40" s="25"/>
      <c r="T40" s="25"/>
      <c r="U40" s="25"/>
      <c r="V40" s="25"/>
      <c r="X40" s="112"/>
      <c r="Y40" s="112"/>
      <c r="Z40" s="112"/>
      <c r="AB40" s="74"/>
      <c r="AC40" s="74"/>
      <c r="AD40" s="74"/>
      <c r="AE40" s="74"/>
      <c r="AF40" s="74"/>
      <c r="AH40" s="112"/>
      <c r="AI40" s="112"/>
      <c r="AJ40" s="112"/>
      <c r="AL40" s="74"/>
      <c r="AM40" s="74"/>
      <c r="AN40" s="74"/>
      <c r="AO40" s="74"/>
      <c r="AP40" s="74"/>
      <c r="AR40" s="112"/>
      <c r="AS40" s="112"/>
      <c r="AT40" s="112"/>
      <c r="AV40" s="97"/>
      <c r="AW40" s="97"/>
      <c r="AX40" s="97"/>
      <c r="AY40" s="97"/>
      <c r="AZ40" s="97"/>
      <c r="BC40" s="112"/>
      <c r="BD40" s="112"/>
      <c r="BE40" s="112"/>
      <c r="BG40" s="97"/>
      <c r="BH40" s="97"/>
      <c r="BI40" s="97"/>
      <c r="BJ40" s="97"/>
      <c r="BK40" s="97"/>
    </row>
    <row r="41" spans="1:63" ht="13.5" customHeight="1" thickBot="1">
      <c r="B41" s="12" t="s">
        <v>43</v>
      </c>
      <c r="C41" s="12"/>
      <c r="D41" s="13">
        <v>1508</v>
      </c>
      <c r="E41" s="185">
        <f t="shared" si="2"/>
        <v>-48</v>
      </c>
      <c r="F41" s="298">
        <v>1460</v>
      </c>
      <c r="G41" s="113"/>
      <c r="H41" s="13">
        <f>H36-H37+H38+H39-H40</f>
        <v>1565</v>
      </c>
      <c r="I41" s="319">
        <f t="shared" si="0"/>
        <v>692</v>
      </c>
      <c r="J41" s="329">
        <f t="shared" si="1"/>
        <v>2257</v>
      </c>
      <c r="K41" s="155"/>
      <c r="L41" s="209">
        <v>3717</v>
      </c>
      <c r="M41" s="113"/>
      <c r="N41" s="13">
        <v>1061</v>
      </c>
      <c r="O41" s="112"/>
      <c r="P41" s="112"/>
      <c r="R41" s="112"/>
      <c r="S41" s="25"/>
      <c r="T41" s="25"/>
      <c r="U41" s="25"/>
      <c r="V41" s="25"/>
      <c r="X41" s="112"/>
      <c r="Y41" s="112"/>
      <c r="Z41" s="112"/>
      <c r="AB41" s="74"/>
      <c r="AC41" s="74"/>
      <c r="AD41" s="74"/>
      <c r="AE41" s="74"/>
      <c r="AF41" s="74"/>
      <c r="AH41" s="112"/>
      <c r="AI41" s="112"/>
      <c r="AJ41" s="112"/>
      <c r="AL41" s="74"/>
      <c r="AM41" s="74"/>
      <c r="AN41" s="74"/>
      <c r="AO41" s="74"/>
      <c r="AP41" s="74"/>
      <c r="AR41" s="112"/>
      <c r="AS41" s="112"/>
      <c r="AT41" s="112"/>
      <c r="AV41" s="97"/>
      <c r="AW41" s="97"/>
      <c r="AX41" s="97"/>
      <c r="AY41" s="97"/>
      <c r="AZ41" s="97"/>
      <c r="BC41" s="112"/>
      <c r="BD41" s="112"/>
      <c r="BE41" s="112"/>
      <c r="BG41" s="97"/>
      <c r="BH41" s="97"/>
      <c r="BI41" s="97"/>
      <c r="BJ41" s="97"/>
      <c r="BK41" s="97"/>
    </row>
    <row r="42" spans="1:63" ht="13.5" customHeight="1">
      <c r="B42" t="s">
        <v>158</v>
      </c>
      <c r="D42" s="16">
        <v>89</v>
      </c>
      <c r="E42" s="186">
        <f t="shared" si="2"/>
        <v>30</v>
      </c>
      <c r="F42" s="291">
        <v>119</v>
      </c>
      <c r="G42" s="20"/>
      <c r="H42" s="16">
        <f>235-F42</f>
        <v>116</v>
      </c>
      <c r="I42" s="402">
        <v>-77</v>
      </c>
      <c r="J42" s="402">
        <v>-82</v>
      </c>
      <c r="K42" s="94"/>
      <c r="L42" s="404">
        <v>-224</v>
      </c>
      <c r="M42" s="20"/>
      <c r="N42" s="327">
        <v>237</v>
      </c>
      <c r="O42" s="112"/>
      <c r="P42" s="112"/>
      <c r="R42" s="25"/>
      <c r="S42" s="25"/>
      <c r="T42" s="25"/>
      <c r="U42" s="25"/>
      <c r="V42" s="25"/>
      <c r="X42" s="112"/>
      <c r="Y42" s="112"/>
      <c r="Z42" s="112"/>
      <c r="AB42" s="74"/>
      <c r="AC42" s="74"/>
      <c r="AD42" s="74"/>
      <c r="AE42" s="74"/>
      <c r="AF42" s="74"/>
      <c r="AH42" s="112"/>
      <c r="AI42" s="112"/>
      <c r="AJ42" s="112"/>
      <c r="AL42" s="74"/>
      <c r="AM42" s="74"/>
      <c r="AN42" s="74"/>
      <c r="AO42" s="74"/>
      <c r="AP42" s="74"/>
      <c r="AR42" s="112"/>
      <c r="AS42" s="112"/>
      <c r="AT42" s="112"/>
      <c r="AV42" s="97"/>
      <c r="AW42" s="97"/>
      <c r="AX42" s="97"/>
      <c r="AY42" s="97"/>
      <c r="AZ42" s="97"/>
      <c r="BC42" s="112"/>
      <c r="BD42" s="112"/>
      <c r="BE42" s="112"/>
      <c r="BG42" s="97"/>
      <c r="BH42" s="97"/>
      <c r="BI42" s="97"/>
      <c r="BJ42" s="97"/>
      <c r="BK42" s="97"/>
    </row>
    <row r="43" spans="1:63" ht="13.5" customHeight="1">
      <c r="B43" t="s">
        <v>159</v>
      </c>
      <c r="D43" s="16">
        <v>136</v>
      </c>
      <c r="E43" s="186">
        <f t="shared" si="2"/>
        <v>125</v>
      </c>
      <c r="F43" s="291">
        <f>-(F44-F41-F42)</f>
        <v>261</v>
      </c>
      <c r="G43" s="20"/>
      <c r="H43" s="16">
        <f>382-F43</f>
        <v>121</v>
      </c>
      <c r="I43" s="403"/>
      <c r="J43" s="403"/>
      <c r="K43" s="94"/>
      <c r="L43" s="401"/>
      <c r="M43" s="20"/>
      <c r="N43" s="326">
        <v>416</v>
      </c>
      <c r="O43" s="112"/>
      <c r="P43" s="112"/>
      <c r="R43" s="25"/>
      <c r="S43" s="25"/>
      <c r="T43" s="25"/>
      <c r="U43" s="25"/>
      <c r="V43" s="25"/>
      <c r="X43" s="112"/>
      <c r="Y43" s="112"/>
      <c r="Z43" s="112"/>
      <c r="AB43" s="74"/>
      <c r="AC43" s="74"/>
      <c r="AD43" s="74"/>
      <c r="AE43" s="74"/>
      <c r="AF43" s="74"/>
      <c r="AH43" s="112"/>
      <c r="AI43" s="112"/>
      <c r="AJ43" s="112"/>
      <c r="AL43" s="74"/>
      <c r="AM43" s="74"/>
      <c r="AN43" s="74"/>
      <c r="AO43" s="74"/>
      <c r="AP43" s="74"/>
      <c r="AR43" s="112"/>
      <c r="AS43" s="112"/>
      <c r="AT43" s="112"/>
      <c r="AV43" s="97"/>
      <c r="AW43" s="97"/>
      <c r="AX43" s="97"/>
      <c r="AY43" s="97"/>
      <c r="AZ43" s="97"/>
      <c r="BC43" s="112"/>
      <c r="BD43" s="112"/>
      <c r="BE43" s="112"/>
      <c r="BG43" s="97"/>
      <c r="BH43" s="97"/>
      <c r="BI43" s="97"/>
      <c r="BJ43" s="97"/>
      <c r="BK43" s="97"/>
    </row>
    <row r="44" spans="1:63" ht="13.5" customHeight="1" thickBot="1">
      <c r="B44" s="12" t="s">
        <v>160</v>
      </c>
      <c r="C44" s="12"/>
      <c r="D44" s="13">
        <v>1462</v>
      </c>
      <c r="E44" s="185">
        <f t="shared" si="2"/>
        <v>-144</v>
      </c>
      <c r="F44" s="290">
        <v>1318</v>
      </c>
      <c r="G44" s="113"/>
      <c r="H44" s="13">
        <f>H41+H42-H43</f>
        <v>1560</v>
      </c>
      <c r="I44" s="319">
        <f t="shared" si="0"/>
        <v>615</v>
      </c>
      <c r="J44" s="329">
        <f t="shared" si="1"/>
        <v>2175</v>
      </c>
      <c r="K44" s="155"/>
      <c r="L44" s="209">
        <v>3493</v>
      </c>
      <c r="M44" s="113"/>
      <c r="N44" s="13">
        <v>882</v>
      </c>
      <c r="O44" s="112"/>
      <c r="P44" s="112"/>
      <c r="R44" s="112"/>
      <c r="S44" s="25"/>
      <c r="T44" s="25"/>
      <c r="U44" s="25"/>
      <c r="V44" s="25"/>
      <c r="X44" s="112"/>
      <c r="Y44" s="112"/>
      <c r="Z44" s="112"/>
      <c r="AB44" s="74"/>
      <c r="AC44" s="74"/>
      <c r="AD44" s="74"/>
      <c r="AE44" s="74"/>
      <c r="AF44" s="74"/>
      <c r="AH44" s="112"/>
      <c r="AI44" s="112"/>
      <c r="AJ44" s="112"/>
      <c r="AL44" s="74"/>
      <c r="AM44" s="74"/>
      <c r="AN44" s="74"/>
      <c r="AO44" s="74"/>
      <c r="AP44" s="74"/>
      <c r="AR44" s="112"/>
      <c r="AS44" s="112"/>
      <c r="AT44" s="112"/>
      <c r="AV44" s="97"/>
      <c r="AW44" s="97"/>
      <c r="AX44" s="97"/>
      <c r="AY44" s="97"/>
      <c r="AZ44" s="97"/>
      <c r="BC44" s="112"/>
      <c r="BD44" s="112"/>
      <c r="BE44" s="112"/>
      <c r="BG44" s="97"/>
      <c r="BH44" s="97"/>
      <c r="BI44" s="97"/>
      <c r="BJ44" s="97"/>
      <c r="BK44" s="97"/>
    </row>
    <row r="45" spans="1:63" ht="13.5" customHeight="1">
      <c r="B45" s="21" t="s">
        <v>161</v>
      </c>
      <c r="D45" s="16">
        <v>498</v>
      </c>
      <c r="E45" s="186">
        <f t="shared" si="2"/>
        <v>-140</v>
      </c>
      <c r="F45" s="291">
        <v>358</v>
      </c>
      <c r="G45" s="20"/>
      <c r="H45" s="16">
        <f>761-F45</f>
        <v>403</v>
      </c>
      <c r="I45" s="25">
        <f t="shared" si="0"/>
        <v>-137</v>
      </c>
      <c r="J45" s="25">
        <f t="shared" si="1"/>
        <v>266</v>
      </c>
      <c r="K45" s="94"/>
      <c r="L45" s="16">
        <f>L44-(L46+L47)</f>
        <v>624</v>
      </c>
      <c r="M45" s="20"/>
      <c r="N45" s="16">
        <v>309</v>
      </c>
      <c r="O45" s="112"/>
      <c r="P45" s="112"/>
      <c r="R45" s="112"/>
      <c r="S45" s="25"/>
      <c r="T45" s="25"/>
      <c r="U45" s="25"/>
      <c r="V45" s="25"/>
      <c r="X45" s="112"/>
      <c r="Y45" s="112"/>
      <c r="Z45" s="112"/>
      <c r="AB45" s="74"/>
      <c r="AC45" s="74"/>
      <c r="AD45" s="74"/>
      <c r="AE45" s="74"/>
      <c r="AF45" s="74"/>
      <c r="AH45" s="112"/>
      <c r="AI45" s="112"/>
      <c r="AJ45" s="112"/>
      <c r="AL45" s="74"/>
      <c r="AM45" s="74"/>
      <c r="AN45" s="74"/>
      <c r="AO45" s="74"/>
      <c r="AP45" s="74"/>
      <c r="AR45" s="112"/>
      <c r="AS45" s="112"/>
      <c r="AT45" s="112"/>
      <c r="AV45" s="97"/>
      <c r="AW45" s="97"/>
      <c r="AX45" s="97"/>
      <c r="AY45" s="97"/>
      <c r="AZ45" s="97"/>
      <c r="BC45" s="112"/>
      <c r="BD45" s="112"/>
      <c r="BE45" s="112"/>
      <c r="BG45" s="97"/>
      <c r="BH45" s="97"/>
      <c r="BI45" s="97"/>
      <c r="BJ45" s="97"/>
      <c r="BK45" s="97"/>
    </row>
    <row r="46" spans="1:63" ht="13.5" customHeight="1">
      <c r="B46" t="s">
        <v>162</v>
      </c>
      <c r="D46" s="16">
        <v>816</v>
      </c>
      <c r="E46" s="186">
        <f t="shared" si="2"/>
        <v>-134</v>
      </c>
      <c r="F46" s="291">
        <v>682</v>
      </c>
      <c r="G46" s="20"/>
      <c r="H46" s="16">
        <f>1707-F46</f>
        <v>1025</v>
      </c>
      <c r="I46" s="94">
        <f t="shared" si="0"/>
        <v>554</v>
      </c>
      <c r="J46" s="25">
        <f t="shared" si="1"/>
        <v>1579</v>
      </c>
      <c r="K46" s="184"/>
      <c r="L46" s="16">
        <v>2261</v>
      </c>
      <c r="M46" s="20"/>
      <c r="N46" s="16">
        <v>2261</v>
      </c>
      <c r="O46" s="112"/>
      <c r="P46" s="112"/>
      <c r="R46" s="112"/>
      <c r="S46" s="112"/>
      <c r="T46" s="25"/>
      <c r="U46" s="25"/>
      <c r="V46" s="25"/>
      <c r="X46" s="112"/>
      <c r="Y46" s="112"/>
      <c r="Z46" s="112"/>
      <c r="AB46" s="74"/>
      <c r="AC46" s="112"/>
      <c r="AD46" s="74"/>
      <c r="AE46" s="74"/>
      <c r="AF46" s="74"/>
      <c r="AH46" s="112"/>
      <c r="AI46" s="112"/>
      <c r="AJ46" s="112"/>
      <c r="AL46" s="74"/>
      <c r="AM46" s="74"/>
      <c r="AN46" s="74"/>
      <c r="AO46" s="74"/>
      <c r="AP46" s="74"/>
      <c r="AR46" s="112"/>
      <c r="AS46" s="112"/>
      <c r="AT46" s="112"/>
      <c r="AV46" s="97"/>
      <c r="AW46" s="97"/>
      <c r="AX46" s="97"/>
      <c r="AY46" s="97"/>
      <c r="AZ46" s="97"/>
      <c r="BC46" s="112"/>
      <c r="BD46" s="112"/>
      <c r="BE46" s="112"/>
      <c r="BG46" s="97"/>
      <c r="BH46" s="97"/>
      <c r="BI46" s="97"/>
      <c r="BJ46" s="97"/>
      <c r="BK46" s="97"/>
    </row>
    <row r="47" spans="1:63" ht="13.5" customHeight="1" thickBot="1">
      <c r="B47" s="22" t="s">
        <v>163</v>
      </c>
      <c r="C47" s="22"/>
      <c r="D47" s="23">
        <v>148</v>
      </c>
      <c r="E47" s="188">
        <f t="shared" si="2"/>
        <v>129</v>
      </c>
      <c r="F47" s="292">
        <v>277</v>
      </c>
      <c r="G47" s="22"/>
      <c r="H47" s="23">
        <f>410-F47</f>
        <v>133</v>
      </c>
      <c r="I47" s="317">
        <f t="shared" si="0"/>
        <v>198</v>
      </c>
      <c r="J47" s="195">
        <f t="shared" si="1"/>
        <v>331</v>
      </c>
      <c r="K47" s="195"/>
      <c r="L47" s="195">
        <v>608</v>
      </c>
      <c r="M47" s="322"/>
      <c r="N47" s="195">
        <v>608</v>
      </c>
      <c r="O47" s="112"/>
      <c r="P47" s="112"/>
      <c r="R47" s="112"/>
      <c r="S47" s="112"/>
      <c r="T47" s="25"/>
      <c r="U47" s="25"/>
      <c r="V47" s="25"/>
      <c r="X47" s="112"/>
      <c r="Y47" s="112"/>
      <c r="Z47" s="112"/>
      <c r="AB47" s="74"/>
      <c r="AC47" s="112"/>
      <c r="AD47" s="74"/>
      <c r="AE47" s="74"/>
      <c r="AF47" s="74"/>
      <c r="AH47" s="112"/>
      <c r="AI47" s="112"/>
      <c r="AJ47" s="112"/>
      <c r="AL47" s="74"/>
      <c r="AM47" s="112"/>
      <c r="AN47" s="74"/>
      <c r="AO47" s="74"/>
      <c r="AP47" s="74"/>
      <c r="AR47" s="112"/>
      <c r="AS47" s="112"/>
      <c r="AT47" s="112"/>
      <c r="AV47" s="97"/>
      <c r="AW47" s="97"/>
      <c r="AX47" s="97"/>
      <c r="AY47" s="97"/>
      <c r="AZ47" s="97"/>
      <c r="BC47" s="112"/>
      <c r="BD47" s="112"/>
      <c r="BE47" s="112"/>
      <c r="BG47" s="97"/>
      <c r="BH47" s="112"/>
      <c r="BI47" s="97"/>
      <c r="BJ47" s="97"/>
      <c r="BK47" s="97"/>
    </row>
    <row r="48" spans="1:63" s="3" customFormat="1" ht="17.25" customHeight="1" thickTop="1">
      <c r="A48" s="2"/>
      <c r="D48" s="24"/>
      <c r="E48" s="24"/>
      <c r="F48" s="24"/>
      <c r="O48" s="24"/>
      <c r="P48" s="24"/>
      <c r="X48" s="24"/>
      <c r="Y48" s="24"/>
      <c r="Z48" s="24"/>
      <c r="AH48" s="24"/>
      <c r="AI48" s="24"/>
      <c r="AJ48" s="24"/>
      <c r="AR48" s="24"/>
      <c r="AS48" s="24"/>
      <c r="AT48" s="24"/>
      <c r="BC48" s="24"/>
      <c r="BD48" s="24"/>
      <c r="BE48" s="24"/>
    </row>
    <row r="49" spans="1:63" s="3" customFormat="1" ht="16.2">
      <c r="A49" s="250" t="s">
        <v>50</v>
      </c>
    </row>
    <row r="50" spans="1:63">
      <c r="B50" t="s">
        <v>1</v>
      </c>
      <c r="D50" s="244" t="str">
        <f>D6</f>
        <v>2024年度　（2024年4月-2025年3月）</v>
      </c>
      <c r="E50" s="244"/>
      <c r="F50" s="244"/>
      <c r="G50" s="244"/>
      <c r="H50" s="244"/>
      <c r="I50" s="244"/>
      <c r="J50" s="244"/>
      <c r="K50" s="244"/>
      <c r="L50" s="244"/>
      <c r="M50" s="244"/>
      <c r="N50" s="244"/>
      <c r="O50" s="5"/>
      <c r="P50" s="5"/>
      <c r="Q50" s="5"/>
      <c r="R50" s="5"/>
      <c r="S50" s="5"/>
      <c r="T50" s="5"/>
      <c r="U50" s="5"/>
      <c r="V50" s="5"/>
      <c r="X50" s="5"/>
      <c r="Y50" s="5"/>
      <c r="Z50" s="5"/>
      <c r="AA50" s="5"/>
      <c r="AB50" s="5"/>
      <c r="AC50" s="5"/>
      <c r="AD50" s="5"/>
      <c r="AE50" s="5"/>
      <c r="AF50" s="5"/>
      <c r="AH50" s="5"/>
      <c r="AI50" s="5"/>
      <c r="AJ50" s="5"/>
      <c r="AK50" s="5"/>
      <c r="AL50" s="5"/>
      <c r="AM50" s="5"/>
      <c r="AN50" s="5"/>
      <c r="AO50" s="5"/>
      <c r="AP50" s="5"/>
      <c r="AR50" s="5"/>
      <c r="AS50" s="5"/>
      <c r="AT50" s="5"/>
      <c r="AU50" s="5"/>
      <c r="AV50" s="5"/>
      <c r="AW50" s="5"/>
      <c r="AX50" s="5"/>
      <c r="AY50" s="5"/>
      <c r="AZ50" s="5"/>
      <c r="BC50" s="5"/>
      <c r="BD50" s="5"/>
      <c r="BE50" s="5"/>
      <c r="BF50" s="5"/>
      <c r="BG50" s="5"/>
      <c r="BH50" s="5"/>
      <c r="BI50" s="5"/>
      <c r="BJ50" s="5"/>
      <c r="BK50" s="5"/>
    </row>
    <row r="51" spans="1:63" ht="3.75" customHeight="1">
      <c r="D51" s="5"/>
      <c r="E51" s="5"/>
      <c r="F51" s="5"/>
      <c r="G51" s="5"/>
      <c r="H51" s="5"/>
      <c r="I51" s="5"/>
      <c r="J51" s="5"/>
      <c r="K51" s="5"/>
      <c r="L51" s="244"/>
      <c r="M51" s="244"/>
      <c r="N51" s="244"/>
      <c r="O51" s="5"/>
      <c r="P51" s="5"/>
      <c r="Q51" s="5"/>
      <c r="R51" s="5"/>
      <c r="S51" s="5"/>
      <c r="T51" s="5"/>
      <c r="U51" s="5"/>
      <c r="V51" s="5"/>
      <c r="X51" s="5"/>
      <c r="Y51" s="5"/>
      <c r="Z51" s="5"/>
      <c r="AA51" s="5"/>
      <c r="AB51" s="5"/>
      <c r="AC51" s="5"/>
      <c r="AD51" s="5"/>
      <c r="AE51" s="5"/>
      <c r="AF51" s="5"/>
      <c r="AH51" s="5"/>
      <c r="AI51" s="5"/>
      <c r="AJ51" s="5"/>
      <c r="AK51" s="5"/>
      <c r="AL51" s="5"/>
      <c r="AM51" s="5"/>
      <c r="AN51" s="5"/>
      <c r="AO51" s="5"/>
      <c r="AP51" s="5"/>
      <c r="AR51" s="5"/>
      <c r="AS51" s="5"/>
      <c r="AT51" s="5"/>
      <c r="AU51" s="5"/>
      <c r="AV51" s="5"/>
      <c r="AW51" s="5"/>
      <c r="AX51" s="5"/>
      <c r="AY51" s="5"/>
      <c r="AZ51" s="5"/>
      <c r="BC51" s="5"/>
      <c r="BD51" s="5"/>
      <c r="BE51" s="5"/>
      <c r="BF51" s="5"/>
      <c r="BG51" s="5"/>
      <c r="BH51" s="5"/>
      <c r="BI51" s="5"/>
      <c r="BJ51" s="5"/>
      <c r="BK51" s="5"/>
    </row>
    <row r="52" spans="1:63">
      <c r="D52" s="6"/>
      <c r="E52" s="6"/>
      <c r="F52" s="7" t="s">
        <v>28</v>
      </c>
      <c r="H52" s="7"/>
      <c r="I52" s="7"/>
      <c r="J52" s="7" t="s">
        <v>29</v>
      </c>
      <c r="L52" s="382" t="s">
        <v>229</v>
      </c>
      <c r="M52" s="368"/>
      <c r="N52" s="368"/>
      <c r="P52" s="8"/>
      <c r="R52" s="8"/>
      <c r="S52" s="8"/>
      <c r="T52" s="8"/>
      <c r="V52" s="8"/>
      <c r="Z52" s="8"/>
      <c r="AB52" s="8"/>
      <c r="AC52" s="8"/>
      <c r="AD52" s="8"/>
      <c r="AF52" s="8"/>
      <c r="AJ52" s="8"/>
      <c r="AL52" s="8"/>
      <c r="AM52" s="8"/>
      <c r="AN52" s="8"/>
      <c r="AP52" s="8"/>
      <c r="AT52" s="8"/>
      <c r="AV52" s="8"/>
      <c r="AW52" s="8"/>
      <c r="AX52" s="8"/>
      <c r="AZ52" s="8"/>
      <c r="BE52" s="8"/>
      <c r="BG52" s="8"/>
      <c r="BH52" s="8"/>
      <c r="BI52" s="8"/>
      <c r="BK52" s="8"/>
    </row>
    <row r="53" spans="1:63" s="9" customFormat="1" ht="10.8">
      <c r="D53" s="9" t="s">
        <v>31</v>
      </c>
      <c r="E53" s="9" t="s">
        <v>32</v>
      </c>
      <c r="F53" s="10" t="s">
        <v>33</v>
      </c>
      <c r="H53" s="9" t="s">
        <v>7</v>
      </c>
      <c r="I53" s="9" t="s">
        <v>8</v>
      </c>
      <c r="J53" s="10"/>
      <c r="L53" s="368"/>
      <c r="M53" s="368"/>
      <c r="N53" s="368"/>
      <c r="P53" s="11"/>
      <c r="T53" s="11"/>
      <c r="V53" s="11"/>
      <c r="Z53" s="11"/>
      <c r="AD53" s="11"/>
      <c r="AF53" s="11"/>
      <c r="AJ53" s="11"/>
      <c r="AN53" s="11"/>
      <c r="AP53" s="11"/>
      <c r="AT53" s="11"/>
      <c r="AX53" s="11"/>
      <c r="AZ53" s="11"/>
      <c r="BE53" s="11"/>
      <c r="BI53" s="11"/>
      <c r="BK53" s="11"/>
    </row>
    <row r="54" spans="1:63" s="9" customFormat="1" ht="10.8">
      <c r="D54" s="9" t="s">
        <v>34</v>
      </c>
      <c r="E54" s="9" t="s">
        <v>35</v>
      </c>
      <c r="F54" s="10" t="s">
        <v>36</v>
      </c>
      <c r="H54" s="9" t="s">
        <v>12</v>
      </c>
      <c r="I54" s="9" t="s">
        <v>13</v>
      </c>
      <c r="J54" s="10" t="s">
        <v>37</v>
      </c>
      <c r="L54" s="381" t="s">
        <v>38</v>
      </c>
      <c r="M54" s="381"/>
      <c r="N54" s="381"/>
      <c r="P54" s="11"/>
      <c r="T54" s="11"/>
      <c r="V54" s="11"/>
      <c r="Z54" s="11"/>
      <c r="AD54" s="11"/>
      <c r="AF54" s="11"/>
      <c r="AJ54" s="11"/>
      <c r="AN54" s="11"/>
      <c r="AP54" s="11"/>
      <c r="AT54" s="11"/>
      <c r="AX54" s="11"/>
      <c r="AZ54" s="11"/>
      <c r="BE54" s="11"/>
      <c r="BI54" s="11"/>
      <c r="BK54" s="11"/>
    </row>
    <row r="55" spans="1:63" s="3" customFormat="1" ht="6.75" customHeight="1">
      <c r="A55" s="2"/>
    </row>
    <row r="56" spans="1:63" ht="13.5" customHeight="1">
      <c r="B56" t="s">
        <v>51</v>
      </c>
      <c r="D56" s="25">
        <v>638</v>
      </c>
      <c r="E56" s="25">
        <f>F56-D56</f>
        <v>639</v>
      </c>
      <c r="F56" s="293">
        <v>1277</v>
      </c>
      <c r="G56" s="116"/>
      <c r="H56" s="25">
        <f>2467-F56</f>
        <v>1190</v>
      </c>
      <c r="I56" s="25">
        <f t="shared" ref="I56:I62" si="3">J56-H56</f>
        <v>3301</v>
      </c>
      <c r="J56" s="25">
        <f t="shared" ref="J56:J63" si="4">L56-F56</f>
        <v>4491</v>
      </c>
      <c r="K56" s="25"/>
      <c r="L56" s="389">
        <v>5768</v>
      </c>
      <c r="M56" s="389"/>
      <c r="N56" s="389"/>
      <c r="O56" s="25"/>
      <c r="P56" s="25"/>
      <c r="Q56" s="116"/>
      <c r="R56" s="25"/>
      <c r="S56" s="25"/>
      <c r="T56" s="25"/>
      <c r="U56" s="25"/>
      <c r="V56" s="25"/>
      <c r="X56" s="25"/>
      <c r="Y56" s="25"/>
      <c r="Z56" s="25"/>
      <c r="AA56" s="116"/>
      <c r="AB56" s="25"/>
      <c r="AC56" s="25"/>
      <c r="AD56" s="25"/>
      <c r="AE56" s="25"/>
      <c r="AF56" s="25"/>
      <c r="AH56" s="25"/>
      <c r="AI56" s="25"/>
      <c r="AJ56" s="25"/>
      <c r="AK56" s="116"/>
      <c r="AL56" s="25"/>
      <c r="AM56" s="25"/>
      <c r="AN56" s="25"/>
      <c r="AO56" s="25"/>
      <c r="AP56" s="25"/>
      <c r="AR56" s="25"/>
      <c r="AS56" s="25"/>
      <c r="AT56" s="74"/>
      <c r="AU56" s="116"/>
      <c r="AV56" s="25"/>
      <c r="AW56" s="25"/>
      <c r="AX56" s="25"/>
      <c r="AY56" s="25"/>
      <c r="AZ56" s="25"/>
      <c r="BC56" s="25"/>
      <c r="BD56" s="25"/>
      <c r="BE56" s="74"/>
      <c r="BF56" s="116"/>
      <c r="BG56" s="25"/>
      <c r="BH56" s="25"/>
      <c r="BI56" s="25"/>
      <c r="BJ56" s="25"/>
      <c r="BK56" s="25"/>
    </row>
    <row r="57" spans="1:63" ht="13.5" customHeight="1">
      <c r="B57" t="s">
        <v>52</v>
      </c>
      <c r="D57" s="307">
        <v>-1060</v>
      </c>
      <c r="E57" s="25">
        <f t="shared" ref="E57:E62" si="5">F57-D57</f>
        <v>-517</v>
      </c>
      <c r="F57" s="293">
        <v>-1577</v>
      </c>
      <c r="G57" s="116"/>
      <c r="H57" s="25">
        <f>-2223-F57</f>
        <v>-646</v>
      </c>
      <c r="I57" s="25">
        <f t="shared" si="3"/>
        <v>3531</v>
      </c>
      <c r="J57" s="25">
        <f t="shared" si="4"/>
        <v>2885</v>
      </c>
      <c r="K57" s="25"/>
      <c r="L57" s="389">
        <v>1308</v>
      </c>
      <c r="M57" s="389"/>
      <c r="N57" s="389"/>
      <c r="O57" s="25"/>
      <c r="P57" s="25"/>
      <c r="Q57" s="116"/>
      <c r="R57" s="25"/>
      <c r="S57" s="25"/>
      <c r="T57" s="25"/>
      <c r="U57" s="25"/>
      <c r="V57" s="25"/>
      <c r="X57" s="25"/>
      <c r="Y57" s="25"/>
      <c r="Z57" s="25"/>
      <c r="AA57" s="116"/>
      <c r="AB57" s="25"/>
      <c r="AC57" s="25"/>
      <c r="AD57" s="25"/>
      <c r="AE57" s="25"/>
      <c r="AF57" s="25"/>
      <c r="AH57" s="25"/>
      <c r="AI57" s="25"/>
      <c r="AJ57" s="25"/>
      <c r="AK57" s="116"/>
      <c r="AL57" s="25"/>
      <c r="AM57" s="25"/>
      <c r="AN57" s="25"/>
      <c r="AO57" s="25"/>
      <c r="AP57" s="25"/>
      <c r="AR57" s="25"/>
      <c r="AS57" s="25"/>
      <c r="AT57" s="25"/>
      <c r="AU57" s="116"/>
      <c r="AV57" s="25"/>
      <c r="AW57" s="25"/>
      <c r="AX57" s="25"/>
      <c r="AY57" s="25"/>
      <c r="AZ57" s="25"/>
      <c r="BC57" s="25"/>
      <c r="BD57" s="25"/>
      <c r="BE57" s="25"/>
      <c r="BF57" s="116"/>
      <c r="BG57" s="25"/>
      <c r="BH57" s="25"/>
      <c r="BI57" s="25"/>
      <c r="BJ57" s="25"/>
      <c r="BK57" s="25"/>
    </row>
    <row r="58" spans="1:63" ht="13.5" customHeight="1">
      <c r="B58" t="s">
        <v>53</v>
      </c>
      <c r="D58" s="25">
        <v>-900</v>
      </c>
      <c r="E58" s="25">
        <f t="shared" si="5"/>
        <v>-2434</v>
      </c>
      <c r="F58" s="293">
        <v>-3334</v>
      </c>
      <c r="G58" s="116"/>
      <c r="H58" s="25">
        <f>-2835-F58</f>
        <v>499</v>
      </c>
      <c r="I58" s="25">
        <f t="shared" si="3"/>
        <v>-3469</v>
      </c>
      <c r="J58" s="25">
        <f t="shared" si="4"/>
        <v>-2970</v>
      </c>
      <c r="K58" s="25"/>
      <c r="L58" s="390">
        <v>-6304</v>
      </c>
      <c r="M58" s="390"/>
      <c r="N58" s="390"/>
      <c r="O58" s="25"/>
      <c r="P58" s="25"/>
      <c r="Q58" s="116"/>
      <c r="R58" s="25"/>
      <c r="S58" s="25"/>
      <c r="T58" s="25"/>
      <c r="U58" s="25"/>
      <c r="V58" s="25"/>
      <c r="X58" s="25"/>
      <c r="Y58" s="25"/>
      <c r="Z58" s="25"/>
      <c r="AA58" s="116"/>
      <c r="AB58" s="25"/>
      <c r="AC58" s="25"/>
      <c r="AD58" s="25"/>
      <c r="AE58" s="25"/>
      <c r="AF58" s="25"/>
      <c r="AH58" s="25"/>
      <c r="AI58" s="25"/>
      <c r="AJ58" s="25"/>
      <c r="AK58" s="116"/>
      <c r="AL58" s="25"/>
      <c r="AM58" s="25"/>
      <c r="AN58" s="25"/>
      <c r="AO58" s="25"/>
      <c r="AP58" s="25"/>
      <c r="AR58" s="25"/>
      <c r="AS58" s="25"/>
      <c r="AT58" s="25"/>
      <c r="AU58" s="116"/>
      <c r="AV58" s="25"/>
      <c r="AW58" s="25"/>
      <c r="AX58" s="25"/>
      <c r="AY58" s="25"/>
      <c r="AZ58" s="25"/>
      <c r="BC58" s="25"/>
      <c r="BD58" s="25"/>
      <c r="BE58" s="25"/>
      <c r="BF58" s="116"/>
      <c r="BG58" s="25"/>
      <c r="BH58" s="25"/>
      <c r="BI58" s="25"/>
      <c r="BJ58" s="25"/>
      <c r="BK58" s="25"/>
    </row>
    <row r="59" spans="1:63" ht="13.2" customHeight="1">
      <c r="B59" s="27" t="s">
        <v>55</v>
      </c>
      <c r="C59" s="27"/>
      <c r="D59" s="28">
        <v>-1323</v>
      </c>
      <c r="E59" s="28">
        <f t="shared" si="5"/>
        <v>-2312</v>
      </c>
      <c r="F59" s="294">
        <v>-3635</v>
      </c>
      <c r="G59" s="117"/>
      <c r="H59" s="28">
        <f>-2590-F59</f>
        <v>1045</v>
      </c>
      <c r="I59" s="28">
        <f t="shared" si="3"/>
        <v>3362</v>
      </c>
      <c r="J59" s="28">
        <f>L59-F59</f>
        <v>4407</v>
      </c>
      <c r="K59" s="28"/>
      <c r="L59" s="393">
        <v>772</v>
      </c>
      <c r="M59" s="393"/>
      <c r="N59" s="393"/>
      <c r="O59" s="25"/>
      <c r="P59" s="25"/>
      <c r="Q59" s="116"/>
      <c r="R59" s="25"/>
      <c r="S59" s="25"/>
      <c r="T59" s="25"/>
      <c r="U59" s="25"/>
      <c r="V59" s="25"/>
      <c r="X59" s="25"/>
      <c r="Y59" s="25"/>
      <c r="Z59" s="25"/>
      <c r="AA59" s="116"/>
      <c r="AB59" s="25"/>
      <c r="AC59" s="25"/>
      <c r="AD59" s="25"/>
      <c r="AE59" s="25"/>
      <c r="AF59" s="25"/>
      <c r="AH59" s="25"/>
      <c r="AI59" s="25"/>
      <c r="AJ59" s="25"/>
      <c r="AK59" s="116"/>
      <c r="AL59" s="25"/>
      <c r="AM59" s="25"/>
      <c r="AN59" s="25"/>
      <c r="AO59" s="25"/>
      <c r="AP59" s="25"/>
      <c r="AR59" s="25"/>
      <c r="AS59" s="25"/>
      <c r="AT59" s="25"/>
      <c r="AU59" s="116"/>
      <c r="AV59" s="25"/>
      <c r="AW59" s="25"/>
      <c r="AX59" s="25"/>
      <c r="AY59" s="25"/>
      <c r="AZ59" s="25"/>
      <c r="BC59" s="25"/>
      <c r="BD59" s="25"/>
      <c r="BE59" s="25"/>
      <c r="BF59" s="116"/>
      <c r="BG59" s="25"/>
      <c r="BH59" s="25"/>
      <c r="BI59" s="25"/>
      <c r="BJ59" s="25"/>
      <c r="BK59" s="25"/>
    </row>
    <row r="60" spans="1:63" ht="13.5" customHeight="1">
      <c r="B60" s="27" t="s">
        <v>56</v>
      </c>
      <c r="C60" s="27"/>
      <c r="D60" s="235">
        <v>7759</v>
      </c>
      <c r="E60" s="336">
        <v>7759</v>
      </c>
      <c r="F60" s="294">
        <v>7759</v>
      </c>
      <c r="G60" s="117"/>
      <c r="H60" s="28">
        <v>7759</v>
      </c>
      <c r="I60" s="28">
        <v>7759</v>
      </c>
      <c r="J60" s="28">
        <v>7759</v>
      </c>
      <c r="K60" s="28"/>
      <c r="L60" s="393">
        <v>7759</v>
      </c>
      <c r="M60" s="393"/>
      <c r="N60" s="393"/>
      <c r="O60" s="25"/>
      <c r="P60" s="25"/>
      <c r="Q60" s="116"/>
      <c r="R60" s="25"/>
      <c r="S60" s="25"/>
      <c r="T60" s="25"/>
      <c r="U60" s="25"/>
      <c r="V60" s="25"/>
      <c r="X60" s="25"/>
      <c r="Y60" s="25"/>
      <c r="Z60" s="25"/>
      <c r="AA60" s="116"/>
      <c r="AB60" s="25"/>
      <c r="AC60" s="25"/>
      <c r="AD60" s="25"/>
      <c r="AE60" s="25"/>
      <c r="AF60" s="25"/>
      <c r="AH60" s="25"/>
      <c r="AI60" s="25"/>
      <c r="AJ60" s="25"/>
      <c r="AK60" s="116"/>
      <c r="AL60" s="25"/>
      <c r="AM60" s="25"/>
      <c r="AN60" s="25"/>
      <c r="AO60" s="25"/>
      <c r="AP60" s="25"/>
      <c r="AR60" s="25"/>
      <c r="AS60" s="25"/>
      <c r="AT60" s="25"/>
      <c r="AU60" s="116"/>
      <c r="AV60" s="25"/>
      <c r="AW60" s="25"/>
      <c r="AX60" s="25"/>
      <c r="AY60" s="25"/>
      <c r="AZ60" s="25"/>
      <c r="BC60" s="25"/>
      <c r="BD60" s="25"/>
      <c r="BE60" s="25"/>
      <c r="BF60" s="116"/>
      <c r="BG60" s="25"/>
      <c r="BH60" s="25"/>
      <c r="BI60" s="25"/>
      <c r="BJ60" s="25"/>
      <c r="BK60" s="25"/>
    </row>
    <row r="61" spans="1:63" s="3" customFormat="1" ht="13.5" customHeight="1">
      <c r="A61" s="2"/>
      <c r="B61" s="27" t="s">
        <v>167</v>
      </c>
      <c r="C61" s="30"/>
      <c r="D61" s="28">
        <v>121</v>
      </c>
      <c r="E61" s="28">
        <f>F61-D61</f>
        <v>-78</v>
      </c>
      <c r="F61" s="294">
        <v>43</v>
      </c>
      <c r="G61" s="117"/>
      <c r="H61" s="28">
        <f>98-F61</f>
        <v>55</v>
      </c>
      <c r="I61" s="28">
        <f t="shared" si="3"/>
        <v>-82</v>
      </c>
      <c r="J61" s="28">
        <f t="shared" si="4"/>
        <v>-27</v>
      </c>
      <c r="K61" s="28"/>
      <c r="L61" s="393">
        <v>16</v>
      </c>
      <c r="M61" s="393"/>
      <c r="N61" s="393"/>
      <c r="O61" s="25"/>
      <c r="P61" s="25"/>
      <c r="Q61" s="116"/>
      <c r="R61" s="25"/>
      <c r="S61" s="25"/>
      <c r="T61" s="25"/>
      <c r="U61" s="25"/>
      <c r="V61" s="25"/>
      <c r="X61" s="25"/>
      <c r="Y61" s="25"/>
      <c r="Z61" s="25"/>
      <c r="AA61" s="116"/>
      <c r="AB61" s="25"/>
      <c r="AC61" s="25"/>
      <c r="AD61" s="25"/>
      <c r="AE61" s="25"/>
      <c r="AF61" s="25"/>
      <c r="AH61" s="25"/>
      <c r="AI61" s="25"/>
      <c r="AJ61" s="25"/>
      <c r="AK61" s="116"/>
      <c r="AL61" s="25"/>
      <c r="AM61" s="25"/>
      <c r="AN61" s="25"/>
      <c r="AO61" s="25"/>
      <c r="AP61" s="25"/>
      <c r="AR61" s="25"/>
      <c r="AS61" s="25"/>
      <c r="AT61" s="25"/>
      <c r="AU61" s="116"/>
      <c r="AV61" s="25"/>
      <c r="AW61" s="25"/>
      <c r="AX61" s="25"/>
      <c r="AY61" s="25"/>
      <c r="AZ61" s="25"/>
      <c r="BC61" s="25"/>
      <c r="BD61" s="25"/>
      <c r="BE61" s="25"/>
      <c r="BF61" s="116"/>
      <c r="BG61" s="25"/>
      <c r="BH61" s="25"/>
      <c r="BI61" s="25"/>
      <c r="BJ61" s="25"/>
      <c r="BK61" s="25"/>
    </row>
    <row r="62" spans="1:63" s="3" customFormat="1" ht="13.5" customHeight="1">
      <c r="A62" s="2"/>
      <c r="B62" s="34" t="s">
        <v>172</v>
      </c>
      <c r="C62" s="35"/>
      <c r="D62" s="313">
        <v>0</v>
      </c>
      <c r="E62" s="108">
        <f t="shared" si="5"/>
        <v>-79</v>
      </c>
      <c r="F62" s="295">
        <v>-79</v>
      </c>
      <c r="G62" s="119"/>
      <c r="H62" s="28">
        <f>-74-F62</f>
        <v>5</v>
      </c>
      <c r="I62" s="28">
        <f t="shared" si="3"/>
        <v>-7</v>
      </c>
      <c r="J62" s="28">
        <f t="shared" si="4"/>
        <v>-2</v>
      </c>
      <c r="K62" s="28"/>
      <c r="L62" s="394">
        <v>-81</v>
      </c>
      <c r="M62" s="394"/>
      <c r="N62" s="394"/>
      <c r="O62" s="25"/>
      <c r="P62" s="25"/>
      <c r="Q62" s="116"/>
      <c r="R62" s="25"/>
      <c r="S62" s="25"/>
      <c r="T62" s="25"/>
      <c r="U62" s="25"/>
      <c r="V62" s="25"/>
      <c r="X62" s="25"/>
      <c r="Y62" s="25"/>
      <c r="Z62" s="25"/>
      <c r="AA62" s="116"/>
      <c r="AB62" s="25"/>
      <c r="AC62" s="25"/>
      <c r="AD62" s="25"/>
      <c r="AE62" s="25"/>
      <c r="AF62" s="25"/>
      <c r="AH62" s="25"/>
      <c r="AI62" s="25"/>
      <c r="AJ62" s="25"/>
      <c r="AK62" s="116"/>
      <c r="AL62" s="25"/>
      <c r="AM62" s="25"/>
      <c r="AN62" s="25"/>
      <c r="AO62" s="25"/>
      <c r="AP62" s="25"/>
      <c r="AR62" s="25"/>
      <c r="AS62" s="25"/>
      <c r="AT62" s="25"/>
      <c r="AU62" s="116"/>
      <c r="AV62" s="25"/>
      <c r="AW62" s="25"/>
      <c r="AX62" s="25"/>
      <c r="AY62" s="25"/>
      <c r="AZ62" s="25"/>
      <c r="BC62" s="25"/>
      <c r="BD62" s="25"/>
      <c r="BE62" s="25"/>
      <c r="BF62" s="116"/>
      <c r="BG62" s="25"/>
      <c r="BH62" s="25"/>
      <c r="BI62" s="25"/>
      <c r="BJ62" s="25"/>
      <c r="BK62" s="25"/>
    </row>
    <row r="63" spans="1:63" s="3" customFormat="1" ht="13.5" customHeight="1">
      <c r="A63" s="2"/>
      <c r="B63" s="34" t="s">
        <v>58</v>
      </c>
      <c r="C63" s="35"/>
      <c r="D63" s="108">
        <v>6557</v>
      </c>
      <c r="E63" s="108">
        <v>4088</v>
      </c>
      <c r="F63" s="295">
        <v>4088</v>
      </c>
      <c r="G63" s="119"/>
      <c r="H63" s="108">
        <v>5193</v>
      </c>
      <c r="I63" s="108">
        <v>4378</v>
      </c>
      <c r="J63" s="108">
        <f t="shared" si="4"/>
        <v>4378</v>
      </c>
      <c r="K63" s="162"/>
      <c r="L63" s="395">
        <v>8466</v>
      </c>
      <c r="M63" s="395"/>
      <c r="N63" s="395"/>
      <c r="O63" s="25"/>
      <c r="P63" s="25"/>
      <c r="Q63" s="116"/>
      <c r="R63" s="25"/>
      <c r="S63" s="25"/>
      <c r="T63" s="25"/>
      <c r="U63" s="25"/>
      <c r="V63" s="25"/>
      <c r="X63" s="25"/>
      <c r="Y63" s="25"/>
      <c r="Z63" s="25"/>
      <c r="AA63" s="116"/>
      <c r="AB63" s="25"/>
      <c r="AC63" s="25"/>
      <c r="AD63" s="25"/>
      <c r="AE63" s="25"/>
      <c r="AF63" s="25"/>
      <c r="AH63" s="25"/>
      <c r="AI63" s="25"/>
      <c r="AJ63" s="25"/>
      <c r="AK63" s="116"/>
      <c r="AL63" s="25"/>
      <c r="AM63" s="25"/>
      <c r="AN63" s="25"/>
      <c r="AO63" s="25"/>
      <c r="AP63" s="25"/>
      <c r="AR63" s="25"/>
      <c r="AS63" s="25"/>
      <c r="AT63" s="25"/>
      <c r="AU63" s="116"/>
      <c r="AV63" s="25"/>
      <c r="AW63" s="25"/>
      <c r="AX63" s="25"/>
      <c r="AY63" s="25"/>
      <c r="AZ63" s="25"/>
      <c r="BC63" s="25"/>
      <c r="BD63" s="25"/>
      <c r="BE63" s="25"/>
      <c r="BF63" s="116"/>
      <c r="BG63" s="25"/>
      <c r="BH63" s="25"/>
      <c r="BI63" s="25"/>
      <c r="BJ63" s="25"/>
      <c r="BK63" s="25"/>
    </row>
    <row r="64" spans="1:63" s="3" customFormat="1" ht="17.25" customHeight="1">
      <c r="A64" s="2"/>
      <c r="D64" s="24"/>
      <c r="E64" s="24"/>
      <c r="F64" s="24"/>
      <c r="O64" s="24"/>
      <c r="P64" s="24"/>
      <c r="X64" s="24"/>
      <c r="Y64" s="24"/>
      <c r="Z64" s="24"/>
      <c r="AH64" s="24"/>
      <c r="AI64" s="24"/>
      <c r="AJ64" s="24"/>
      <c r="AR64" s="24"/>
      <c r="AS64" s="24"/>
      <c r="AT64" s="24"/>
      <c r="BC64" s="24"/>
      <c r="BD64" s="24"/>
      <c r="BE64" s="24"/>
    </row>
    <row r="65" spans="1:63" s="3" customFormat="1" ht="16.2">
      <c r="A65" s="250" t="s">
        <v>59</v>
      </c>
    </row>
    <row r="66" spans="1:63">
      <c r="D66" s="244" t="str">
        <f>D6</f>
        <v>2024年度　（2024年4月-2025年3月）</v>
      </c>
      <c r="E66" s="244"/>
      <c r="F66" s="244"/>
      <c r="G66" s="244"/>
      <c r="H66" s="244"/>
      <c r="I66" s="244"/>
      <c r="J66" s="244"/>
      <c r="K66" s="244"/>
      <c r="L66" s="244"/>
      <c r="M66" s="244"/>
      <c r="N66" s="244"/>
      <c r="O66" s="5"/>
      <c r="P66" s="5"/>
      <c r="Q66" s="5"/>
      <c r="R66" s="5"/>
      <c r="S66" s="5"/>
      <c r="T66" s="5"/>
      <c r="U66" s="5"/>
      <c r="V66" s="5"/>
      <c r="X66" s="5"/>
      <c r="Y66" s="5"/>
      <c r="Z66" s="5"/>
      <c r="AA66" s="5"/>
      <c r="AB66" s="5"/>
      <c r="AC66" s="5"/>
      <c r="AD66" s="5"/>
      <c r="AE66" s="5"/>
      <c r="AF66" s="5"/>
      <c r="AH66" s="5"/>
      <c r="AI66" s="5"/>
      <c r="AJ66" s="5"/>
      <c r="AK66" s="5"/>
      <c r="AL66" s="5"/>
      <c r="AM66" s="5"/>
      <c r="AN66" s="5"/>
      <c r="AO66" s="5"/>
      <c r="AP66" s="5"/>
      <c r="AR66" s="5"/>
      <c r="AS66" s="5"/>
      <c r="AT66" s="5"/>
      <c r="AU66" s="5"/>
      <c r="AV66" s="5"/>
      <c r="AW66" s="5"/>
      <c r="AX66" s="5"/>
      <c r="AY66" s="5"/>
      <c r="AZ66" s="5"/>
      <c r="BC66" s="5"/>
      <c r="BD66" s="5"/>
      <c r="BE66" s="5"/>
      <c r="BF66" s="5"/>
      <c r="BG66" s="5"/>
      <c r="BH66" s="5"/>
      <c r="BI66" s="5"/>
      <c r="BJ66" s="5"/>
      <c r="BK66" s="5"/>
    </row>
    <row r="67" spans="1:63" ht="3.75" customHeight="1">
      <c r="D67" s="5"/>
      <c r="E67" s="5"/>
      <c r="F67" s="5"/>
      <c r="G67" s="5"/>
      <c r="H67" s="5"/>
      <c r="I67" s="5"/>
      <c r="J67" s="5"/>
      <c r="K67" s="5"/>
      <c r="L67" s="244"/>
      <c r="M67" s="244"/>
      <c r="N67" s="244"/>
      <c r="O67" s="5"/>
      <c r="P67" s="5"/>
      <c r="Q67" s="5"/>
      <c r="R67" s="5"/>
      <c r="S67" s="5"/>
      <c r="T67" s="5"/>
      <c r="U67" s="5"/>
      <c r="V67" s="5"/>
      <c r="X67" s="5"/>
      <c r="Y67" s="5"/>
      <c r="Z67" s="5"/>
      <c r="AA67" s="5"/>
      <c r="AB67" s="5"/>
      <c r="AC67" s="5"/>
      <c r="AD67" s="5"/>
      <c r="AE67" s="5"/>
      <c r="AF67" s="5"/>
      <c r="AH67" s="5"/>
      <c r="AI67" s="5"/>
      <c r="AJ67" s="5"/>
      <c r="AK67" s="5"/>
      <c r="AL67" s="5"/>
      <c r="AM67" s="5"/>
      <c r="AN67" s="5"/>
      <c r="AO67" s="5"/>
      <c r="AP67" s="5"/>
      <c r="AR67" s="5"/>
      <c r="AS67" s="5"/>
      <c r="AT67" s="5"/>
      <c r="AU67" s="5"/>
      <c r="AV67" s="5"/>
      <c r="AW67" s="5"/>
      <c r="AX67" s="5"/>
      <c r="AY67" s="5"/>
      <c r="AZ67" s="5"/>
      <c r="BC67" s="5"/>
      <c r="BD67" s="5"/>
      <c r="BE67" s="5"/>
      <c r="BF67" s="5"/>
      <c r="BG67" s="5"/>
      <c r="BH67" s="5"/>
      <c r="BI67" s="5"/>
      <c r="BJ67" s="5"/>
      <c r="BK67" s="5"/>
    </row>
    <row r="68" spans="1:63">
      <c r="D68" s="6"/>
      <c r="E68" s="6"/>
      <c r="F68" s="7" t="s">
        <v>28</v>
      </c>
      <c r="H68" s="7"/>
      <c r="I68" s="7"/>
      <c r="J68" s="7" t="s">
        <v>29</v>
      </c>
      <c r="L68" s="368" t="s">
        <v>30</v>
      </c>
      <c r="M68" s="368"/>
      <c r="N68" s="368"/>
      <c r="P68" s="8"/>
      <c r="R68" s="8"/>
      <c r="S68" s="8"/>
      <c r="T68" s="8"/>
      <c r="V68" s="8"/>
      <c r="Z68" s="8"/>
      <c r="AB68" s="8"/>
      <c r="AC68" s="8"/>
      <c r="AD68" s="8"/>
      <c r="AF68" s="8"/>
      <c r="AJ68" s="8"/>
      <c r="AL68" s="8"/>
      <c r="AM68" s="8"/>
      <c r="AN68" s="8"/>
      <c r="AP68" s="8"/>
      <c r="AT68" s="8"/>
      <c r="AV68" s="8"/>
      <c r="AW68" s="8"/>
      <c r="AX68" s="8"/>
      <c r="AZ68" s="8"/>
      <c r="BE68" s="8"/>
      <c r="BG68" s="8"/>
      <c r="BH68" s="8"/>
      <c r="BI68" s="8"/>
      <c r="BK68" s="8"/>
    </row>
    <row r="69" spans="1:63" s="9" customFormat="1" ht="10.8">
      <c r="D69" s="9" t="s">
        <v>31</v>
      </c>
      <c r="E69" s="9" t="s">
        <v>32</v>
      </c>
      <c r="F69" s="10" t="s">
        <v>33</v>
      </c>
      <c r="H69" s="9" t="s">
        <v>7</v>
      </c>
      <c r="I69" s="9" t="s">
        <v>8</v>
      </c>
      <c r="J69" s="10"/>
      <c r="L69" s="246"/>
      <c r="M69" s="323"/>
      <c r="N69" s="246"/>
      <c r="P69" s="11"/>
      <c r="T69" s="11"/>
      <c r="V69" s="11"/>
      <c r="Z69" s="11"/>
      <c r="AD69" s="11"/>
      <c r="AF69" s="11"/>
      <c r="AJ69" s="11"/>
      <c r="AN69" s="11"/>
      <c r="AP69" s="11"/>
      <c r="AT69" s="11"/>
      <c r="AX69" s="11"/>
      <c r="AZ69" s="11"/>
      <c r="BE69" s="11"/>
      <c r="BI69" s="11"/>
      <c r="BK69" s="11"/>
    </row>
    <row r="70" spans="1:63" s="9" customFormat="1" ht="10.8">
      <c r="D70" s="9" t="s">
        <v>34</v>
      </c>
      <c r="E70" s="9" t="s">
        <v>35</v>
      </c>
      <c r="F70" s="10" t="s">
        <v>36</v>
      </c>
      <c r="H70" s="9" t="s">
        <v>12</v>
      </c>
      <c r="I70" s="9" t="s">
        <v>13</v>
      </c>
      <c r="J70" s="10" t="s">
        <v>37</v>
      </c>
      <c r="L70" s="381" t="s">
        <v>38</v>
      </c>
      <c r="M70" s="381"/>
      <c r="N70" s="381"/>
      <c r="P70" s="11"/>
      <c r="T70" s="11"/>
      <c r="V70" s="11"/>
      <c r="Z70" s="11"/>
      <c r="AD70" s="11"/>
      <c r="AF70" s="11"/>
      <c r="AJ70" s="11"/>
      <c r="AN70" s="11"/>
      <c r="AP70" s="11"/>
      <c r="AT70" s="11"/>
      <c r="AX70" s="11"/>
      <c r="AZ70" s="11"/>
      <c r="BE70" s="11"/>
      <c r="BI70" s="11"/>
      <c r="BK70" s="11"/>
    </row>
    <row r="71" spans="1:63" s="9" customFormat="1" ht="5.0999999999999996" customHeight="1">
      <c r="F71" s="11"/>
      <c r="J71" s="11"/>
      <c r="L71" s="11"/>
      <c r="N71" s="11"/>
      <c r="P71" s="11"/>
      <c r="T71" s="11"/>
      <c r="V71" s="11"/>
      <c r="Z71" s="11"/>
      <c r="AD71" s="11"/>
      <c r="AF71" s="11"/>
      <c r="AJ71" s="11"/>
      <c r="AN71" s="11"/>
      <c r="AP71" s="11"/>
      <c r="AT71" s="11"/>
      <c r="AX71" s="11"/>
      <c r="AZ71" s="11"/>
      <c r="BE71" s="11"/>
      <c r="BI71" s="11"/>
      <c r="BK71" s="11"/>
    </row>
    <row r="72" spans="1:63" ht="13.5" customHeight="1">
      <c r="B72" t="s">
        <v>168</v>
      </c>
      <c r="D72" s="314">
        <v>1132.6300000000001</v>
      </c>
      <c r="E72" s="141"/>
      <c r="F72" s="315">
        <v>1104.25</v>
      </c>
      <c r="G72" s="40"/>
      <c r="H72" s="314">
        <v>1160.8800000000001</v>
      </c>
      <c r="I72" s="241"/>
      <c r="J72" s="241"/>
      <c r="K72" s="41"/>
      <c r="L72" s="388">
        <v>1152.5</v>
      </c>
      <c r="M72" s="388"/>
      <c r="N72" s="388"/>
      <c r="O72" s="156"/>
      <c r="P72" s="156"/>
      <c r="Q72" s="40"/>
      <c r="R72" s="212"/>
      <c r="S72" s="40"/>
      <c r="T72" s="40"/>
      <c r="U72" s="41"/>
      <c r="V72" s="198"/>
      <c r="X72" s="212"/>
      <c r="Y72" s="156"/>
      <c r="Z72" s="156"/>
      <c r="AA72" s="40"/>
      <c r="AB72" s="156"/>
      <c r="AC72" s="40"/>
      <c r="AD72" s="40"/>
      <c r="AE72" s="41"/>
      <c r="AF72" s="156"/>
      <c r="AH72" s="156"/>
      <c r="AI72" s="156"/>
      <c r="AJ72" s="156"/>
      <c r="AK72" s="40"/>
      <c r="AL72" s="156"/>
      <c r="AM72" s="40"/>
      <c r="AN72" s="40"/>
      <c r="AO72" s="41"/>
      <c r="AP72" s="156"/>
      <c r="AR72" s="156"/>
      <c r="AS72" s="156"/>
      <c r="AT72" s="156"/>
      <c r="AU72" s="40"/>
      <c r="AV72" s="156"/>
      <c r="AW72" s="40"/>
      <c r="AX72" s="40"/>
      <c r="AY72" s="41"/>
      <c r="AZ72" s="156"/>
      <c r="BC72" s="156"/>
      <c r="BD72" s="156"/>
      <c r="BE72" s="156"/>
      <c r="BF72" s="40"/>
      <c r="BG72" s="156"/>
      <c r="BH72" s="40"/>
      <c r="BI72" s="40"/>
      <c r="BJ72" s="41"/>
      <c r="BK72" s="156"/>
    </row>
    <row r="73" spans="1:63" ht="13.2" customHeight="1">
      <c r="B73" t="s">
        <v>61</v>
      </c>
      <c r="D73" s="297">
        <v>27.59</v>
      </c>
      <c r="E73" s="141"/>
      <c r="F73" s="256">
        <v>23.4</v>
      </c>
      <c r="G73" s="40"/>
      <c r="H73" s="331">
        <f>59.56-F73</f>
        <v>36.160000000000004</v>
      </c>
      <c r="I73" s="116">
        <f>J73-H73</f>
        <v>20.399999999999991</v>
      </c>
      <c r="J73" s="196">
        <f>L73-F73</f>
        <v>56.559999999999995</v>
      </c>
      <c r="K73" s="197"/>
      <c r="L73" s="391">
        <v>79.959999999999994</v>
      </c>
      <c r="M73" s="391"/>
      <c r="N73" s="391"/>
      <c r="O73" s="156"/>
      <c r="P73" s="156"/>
      <c r="Q73" s="40"/>
      <c r="R73" s="177"/>
      <c r="S73" s="116"/>
      <c r="T73" s="196"/>
      <c r="U73" s="197"/>
      <c r="V73" s="196"/>
      <c r="X73" s="177"/>
      <c r="Y73" s="156"/>
      <c r="Z73" s="156"/>
      <c r="AA73" s="40"/>
      <c r="AB73" s="40"/>
      <c r="AC73" s="116"/>
      <c r="AD73" s="40"/>
      <c r="AE73" s="41"/>
      <c r="AF73" s="40"/>
      <c r="AH73" s="136"/>
      <c r="AI73" s="156"/>
      <c r="AJ73" s="156"/>
      <c r="AK73" s="40"/>
      <c r="AL73" s="40"/>
      <c r="AM73" s="116"/>
      <c r="AN73" s="40"/>
      <c r="AO73" s="41"/>
      <c r="AP73" s="40"/>
      <c r="AR73" s="156"/>
      <c r="AS73" s="156"/>
      <c r="AT73" s="156"/>
      <c r="AU73" s="40"/>
      <c r="AV73" s="40"/>
      <c r="AW73" s="116"/>
      <c r="AX73" s="40"/>
      <c r="AY73" s="41"/>
      <c r="AZ73" s="40"/>
      <c r="BC73" s="156"/>
      <c r="BD73" s="156"/>
      <c r="BE73" s="156"/>
      <c r="BF73" s="40"/>
      <c r="BG73" s="40"/>
      <c r="BH73" s="116"/>
      <c r="BI73" s="40"/>
      <c r="BJ73" s="41"/>
      <c r="BK73" s="40"/>
    </row>
    <row r="74" spans="1:63" ht="3.75" customHeight="1">
      <c r="D74" s="38"/>
      <c r="E74" s="141"/>
      <c r="F74" s="255"/>
      <c r="G74" s="40"/>
      <c r="H74" s="40"/>
      <c r="I74" s="241"/>
      <c r="J74" s="40"/>
      <c r="K74" s="41"/>
      <c r="L74" s="40"/>
      <c r="M74" s="40"/>
      <c r="N74" s="40"/>
      <c r="O74" s="156"/>
      <c r="P74" s="156"/>
      <c r="Q74" s="40"/>
      <c r="R74" s="40"/>
      <c r="S74" s="40"/>
      <c r="T74" s="40"/>
      <c r="U74" s="41"/>
      <c r="V74" s="40"/>
      <c r="X74" s="156"/>
      <c r="Y74" s="156"/>
      <c r="Z74" s="156"/>
      <c r="AA74" s="40"/>
      <c r="AB74" s="40"/>
      <c r="AC74" s="40"/>
      <c r="AD74" s="40"/>
      <c r="AE74" s="41"/>
      <c r="AF74" s="40"/>
      <c r="AH74" s="156"/>
      <c r="AI74" s="156"/>
      <c r="AJ74" s="156"/>
      <c r="AK74" s="40"/>
      <c r="AL74" s="40"/>
      <c r="AM74" s="40"/>
      <c r="AN74" s="40"/>
      <c r="AO74" s="41"/>
      <c r="AP74" s="40"/>
      <c r="AR74" s="156"/>
      <c r="AS74" s="156"/>
      <c r="AT74" s="156"/>
      <c r="AU74" s="40"/>
      <c r="AV74" s="40"/>
      <c r="AW74" s="40"/>
      <c r="AX74" s="40"/>
      <c r="AY74" s="41"/>
      <c r="AZ74" s="40"/>
      <c r="BC74" s="156"/>
      <c r="BD74" s="156"/>
      <c r="BE74" s="156"/>
      <c r="BF74" s="40"/>
      <c r="BG74" s="40"/>
      <c r="BH74" s="40"/>
      <c r="BI74" s="40"/>
      <c r="BJ74" s="41"/>
      <c r="BK74" s="40"/>
    </row>
    <row r="75" spans="1:63" s="9" customFormat="1" ht="13.5" customHeight="1">
      <c r="B75" t="s">
        <v>62</v>
      </c>
      <c r="D75" s="306" t="s">
        <v>196</v>
      </c>
      <c r="E75" s="142"/>
      <c r="F75" s="256">
        <v>13</v>
      </c>
      <c r="G75" s="40"/>
      <c r="H75" s="135" t="s">
        <v>226</v>
      </c>
      <c r="I75" s="241"/>
      <c r="J75" s="40">
        <f>L75-F75</f>
        <v>13</v>
      </c>
      <c r="K75" s="43"/>
      <c r="L75" s="392">
        <v>26</v>
      </c>
      <c r="M75" s="392"/>
      <c r="N75" s="392"/>
      <c r="O75" s="40"/>
      <c r="P75" s="40"/>
      <c r="Q75" s="40"/>
      <c r="R75" s="135"/>
      <c r="S75" s="40"/>
      <c r="T75" s="40"/>
      <c r="U75" s="43"/>
      <c r="V75" s="40"/>
      <c r="X75" s="135"/>
      <c r="Y75" s="40"/>
      <c r="Z75" s="40"/>
      <c r="AA75" s="40"/>
      <c r="AB75" s="135"/>
      <c r="AC75" s="40"/>
      <c r="AD75" s="40"/>
      <c r="AE75" s="43"/>
      <c r="AF75" s="40"/>
      <c r="AH75" s="135"/>
      <c r="AI75" s="40"/>
      <c r="AJ75" s="40"/>
      <c r="AK75" s="40"/>
      <c r="AL75" s="135"/>
      <c r="AM75" s="40"/>
      <c r="AN75" s="40"/>
      <c r="AO75" s="43"/>
      <c r="AP75" s="40"/>
      <c r="AR75" s="40"/>
      <c r="AS75" s="40"/>
      <c r="AT75" s="40"/>
      <c r="AU75" s="40"/>
      <c r="AV75" s="40"/>
      <c r="AW75" s="40"/>
      <c r="AX75" s="40"/>
      <c r="AY75" s="43"/>
      <c r="AZ75" s="40"/>
      <c r="BC75" s="40"/>
      <c r="BD75" s="40"/>
      <c r="BE75" s="40"/>
      <c r="BF75" s="40"/>
      <c r="BG75" s="40"/>
      <c r="BH75" s="40"/>
      <c r="BI75" s="40"/>
      <c r="BJ75" s="43"/>
      <c r="BK75" s="40"/>
    </row>
    <row r="76" spans="1:63" s="9" customFormat="1" ht="13.5" customHeight="1">
      <c r="B76" s="44"/>
      <c r="D76" s="40"/>
      <c r="E76" s="40"/>
      <c r="F76" s="256"/>
      <c r="G76" s="40"/>
      <c r="H76" s="40"/>
      <c r="I76" s="40"/>
      <c r="J76" s="40"/>
      <c r="K76" s="40"/>
      <c r="L76" s="40"/>
      <c r="M76" s="40"/>
      <c r="N76" s="40"/>
      <c r="O76" s="40"/>
      <c r="P76" s="40"/>
      <c r="Q76" s="40"/>
      <c r="R76" s="40"/>
      <c r="S76" s="40"/>
      <c r="T76" s="40"/>
      <c r="U76" s="43"/>
      <c r="V76" s="40"/>
      <c r="X76" s="40"/>
      <c r="Y76" s="40"/>
      <c r="Z76" s="40"/>
      <c r="AA76" s="40"/>
      <c r="AB76" s="40"/>
      <c r="AC76" s="40"/>
      <c r="AD76" s="40"/>
      <c r="AE76" s="43"/>
      <c r="AF76" s="40"/>
      <c r="AH76" s="40"/>
      <c r="AI76" s="40"/>
      <c r="AJ76" s="40"/>
      <c r="AK76" s="40"/>
      <c r="AL76" s="40"/>
      <c r="AM76" s="40"/>
      <c r="AN76" s="40"/>
      <c r="AO76" s="43"/>
      <c r="AP76" s="40"/>
      <c r="AR76" s="40"/>
      <c r="AS76" s="40"/>
      <c r="AT76" s="40"/>
      <c r="AU76" s="40"/>
      <c r="AV76" s="40"/>
      <c r="AW76" s="40"/>
      <c r="AX76" s="40"/>
      <c r="AY76" s="43"/>
      <c r="AZ76" s="40"/>
      <c r="BC76" s="40"/>
      <c r="BD76" s="40"/>
      <c r="BE76" s="40"/>
      <c r="BF76" s="40"/>
      <c r="BG76" s="40"/>
      <c r="BH76" s="40"/>
      <c r="BI76" s="40"/>
      <c r="BJ76" s="43"/>
      <c r="BK76" s="40"/>
    </row>
    <row r="77" spans="1:63" s="9" customFormat="1" ht="13.5" customHeight="1">
      <c r="B77" t="s">
        <v>63</v>
      </c>
      <c r="D77" s="40"/>
      <c r="E77" s="40"/>
      <c r="F77" s="256"/>
      <c r="G77" s="40"/>
      <c r="H77" s="40"/>
      <c r="I77" s="40"/>
      <c r="J77" s="40"/>
      <c r="K77" s="40"/>
      <c r="L77" s="40"/>
      <c r="M77" s="40"/>
      <c r="N77" s="40"/>
      <c r="O77" s="40"/>
      <c r="P77" s="40"/>
      <c r="Q77" s="40"/>
      <c r="R77" s="40"/>
      <c r="S77" s="40"/>
      <c r="T77" s="40"/>
      <c r="U77" s="43"/>
      <c r="V77" s="40"/>
      <c r="X77" s="40"/>
      <c r="Y77" s="40"/>
      <c r="Z77" s="40"/>
      <c r="AA77" s="40"/>
      <c r="AB77" s="40"/>
      <c r="AC77" s="40"/>
      <c r="AD77" s="40"/>
      <c r="AE77" s="43"/>
      <c r="AF77" s="40"/>
      <c r="AH77" s="40"/>
      <c r="AI77" s="40"/>
      <c r="AJ77" s="40"/>
      <c r="AK77" s="40"/>
      <c r="AL77" s="40"/>
      <c r="AM77" s="40"/>
      <c r="AN77" s="40"/>
      <c r="AO77" s="43"/>
      <c r="AP77" s="40"/>
      <c r="AR77" s="40"/>
      <c r="AS77" s="40"/>
      <c r="AT77" s="40"/>
      <c r="AU77" s="40"/>
      <c r="AV77" s="40"/>
      <c r="AW77" s="40"/>
      <c r="AX77" s="40"/>
      <c r="AY77" s="43"/>
      <c r="AZ77" s="40"/>
      <c r="BC77" s="40"/>
      <c r="BD77" s="40"/>
      <c r="BE77" s="40"/>
      <c r="BF77" s="40"/>
      <c r="BG77" s="40"/>
      <c r="BH77" s="40"/>
      <c r="BI77" s="40"/>
      <c r="BJ77" s="43"/>
      <c r="BK77" s="40"/>
    </row>
    <row r="78" spans="1:63" s="9" customFormat="1" ht="13.5" customHeight="1">
      <c r="B78" t="s">
        <v>64</v>
      </c>
      <c r="D78" s="46">
        <v>3032851</v>
      </c>
      <c r="E78" s="124"/>
      <c r="F78" s="257">
        <v>3032851</v>
      </c>
      <c r="G78" s="46"/>
      <c r="H78" s="46">
        <v>3032851</v>
      </c>
      <c r="I78" s="124"/>
      <c r="J78" s="124"/>
      <c r="K78" s="48"/>
      <c r="L78" s="386">
        <v>3032851</v>
      </c>
      <c r="M78" s="386"/>
      <c r="N78" s="386"/>
      <c r="O78" s="157"/>
      <c r="P78" s="157"/>
      <c r="Q78" s="157"/>
      <c r="R78" s="157"/>
      <c r="S78" s="157"/>
      <c r="T78" s="157"/>
      <c r="U78" s="213"/>
      <c r="V78" s="157"/>
      <c r="X78" s="157"/>
      <c r="Y78" s="157"/>
      <c r="Z78" s="157"/>
      <c r="AA78" s="157"/>
      <c r="AB78" s="157"/>
      <c r="AC78" s="157"/>
      <c r="AD78" s="157"/>
      <c r="AE78" s="213"/>
      <c r="AF78" s="157"/>
      <c r="AH78" s="157"/>
      <c r="AI78" s="157"/>
      <c r="AJ78" s="157"/>
      <c r="AK78" s="157"/>
      <c r="AL78" s="157"/>
      <c r="AM78" s="157"/>
      <c r="AN78" s="157"/>
      <c r="AO78" s="213"/>
      <c r="AP78" s="157"/>
      <c r="AR78" s="157"/>
      <c r="AS78" s="157"/>
      <c r="AT78" s="157"/>
      <c r="AU78" s="157"/>
      <c r="AV78" s="157"/>
      <c r="AW78" s="157"/>
      <c r="AX78" s="157"/>
      <c r="AY78" s="213"/>
      <c r="AZ78" s="157"/>
      <c r="BC78" s="157"/>
      <c r="BD78" s="157"/>
      <c r="BE78" s="157"/>
      <c r="BF78" s="157"/>
      <c r="BG78" s="157"/>
      <c r="BH78" s="157"/>
      <c r="BI78" s="157"/>
      <c r="BJ78" s="213"/>
      <c r="BK78" s="157"/>
    </row>
    <row r="79" spans="1:63" s="9" customFormat="1" ht="13.5" customHeight="1">
      <c r="B79" t="s">
        <v>65</v>
      </c>
      <c r="D79" s="46">
        <v>107249</v>
      </c>
      <c r="E79" s="124"/>
      <c r="F79" s="257">
        <v>220338</v>
      </c>
      <c r="G79" s="46"/>
      <c r="H79" s="46">
        <v>294962</v>
      </c>
      <c r="I79" s="124"/>
      <c r="J79" s="124"/>
      <c r="K79" s="48"/>
      <c r="L79" s="384">
        <v>342481</v>
      </c>
      <c r="M79" s="384"/>
      <c r="N79" s="384"/>
      <c r="O79" s="157"/>
      <c r="P79" s="157"/>
      <c r="Q79" s="157"/>
      <c r="R79" s="157"/>
      <c r="S79" s="157"/>
      <c r="T79" s="157"/>
      <c r="U79" s="213"/>
      <c r="V79" s="157"/>
      <c r="X79" s="157"/>
      <c r="Y79" s="157"/>
      <c r="Z79" s="157"/>
      <c r="AA79" s="157"/>
      <c r="AB79" s="157"/>
      <c r="AC79" s="157"/>
      <c r="AD79" s="157"/>
      <c r="AE79" s="213"/>
      <c r="AF79" s="157"/>
      <c r="AH79" s="157"/>
      <c r="AI79" s="157"/>
      <c r="AJ79" s="157"/>
      <c r="AK79" s="157"/>
      <c r="AL79" s="157"/>
      <c r="AM79" s="157"/>
      <c r="AN79" s="157"/>
      <c r="AO79" s="213"/>
      <c r="AP79" s="157"/>
      <c r="AR79" s="157"/>
      <c r="AS79" s="157"/>
      <c r="AT79" s="157"/>
      <c r="AU79" s="157"/>
      <c r="AV79" s="157"/>
      <c r="AW79" s="157"/>
      <c r="AX79" s="157"/>
      <c r="AY79" s="213"/>
      <c r="AZ79" s="157"/>
      <c r="BC79" s="157"/>
      <c r="BD79" s="157"/>
      <c r="BE79" s="157"/>
      <c r="BF79" s="157"/>
      <c r="BG79" s="157"/>
      <c r="BH79" s="157"/>
      <c r="BI79" s="157"/>
      <c r="BJ79" s="213"/>
      <c r="BK79" s="157"/>
    </row>
    <row r="80" spans="1:63" s="9" customFormat="1" ht="13.5" customHeight="1">
      <c r="B80" t="s">
        <v>66</v>
      </c>
      <c r="D80" s="46">
        <v>2959021</v>
      </c>
      <c r="E80" s="124"/>
      <c r="F80" s="257">
        <v>2913550</v>
      </c>
      <c r="G80" s="46"/>
      <c r="H80" s="332">
        <v>2865638</v>
      </c>
      <c r="I80" s="124"/>
      <c r="J80" s="124"/>
      <c r="K80" s="48"/>
      <c r="L80" s="384">
        <v>2827244</v>
      </c>
      <c r="M80" s="384"/>
      <c r="N80" s="384"/>
      <c r="O80" s="157"/>
      <c r="P80" s="157"/>
      <c r="Q80" s="157"/>
      <c r="R80" s="157"/>
      <c r="S80" s="157"/>
      <c r="T80" s="157"/>
      <c r="U80" s="213"/>
      <c r="V80" s="157"/>
      <c r="X80" s="157"/>
      <c r="Y80" s="157"/>
      <c r="Z80" s="157"/>
      <c r="AA80" s="157"/>
      <c r="AB80" s="157"/>
      <c r="AC80" s="157"/>
      <c r="AD80" s="157"/>
      <c r="AE80" s="213"/>
      <c r="AF80" s="157"/>
      <c r="AH80" s="157"/>
      <c r="AI80" s="157"/>
      <c r="AJ80" s="157"/>
      <c r="AK80" s="157"/>
      <c r="AL80" s="157"/>
      <c r="AM80" s="157"/>
      <c r="AN80" s="157"/>
      <c r="AO80" s="213"/>
      <c r="AP80" s="157"/>
      <c r="AR80" s="157"/>
      <c r="AS80" s="157"/>
      <c r="AT80" s="157"/>
      <c r="AU80" s="157"/>
      <c r="AV80" s="157"/>
      <c r="AW80" s="157"/>
      <c r="AX80" s="157"/>
      <c r="AY80" s="213"/>
      <c r="AZ80" s="157"/>
      <c r="BC80" s="157"/>
      <c r="BD80" s="157"/>
      <c r="BE80" s="157"/>
      <c r="BF80" s="157"/>
      <c r="BG80" s="157"/>
      <c r="BH80" s="157"/>
      <c r="BI80" s="157"/>
      <c r="BJ80" s="213"/>
      <c r="BK80" s="157"/>
    </row>
    <row r="81" spans="1:63" s="9" customFormat="1">
      <c r="B81"/>
      <c r="D81" s="199"/>
      <c r="E81" s="43"/>
      <c r="F81" s="296"/>
      <c r="G81" s="43"/>
      <c r="H81" s="43"/>
      <c r="I81" s="43"/>
      <c r="J81" s="43"/>
      <c r="K81" s="43"/>
      <c r="L81" s="43"/>
      <c r="M81" s="43"/>
      <c r="N81" s="43"/>
      <c r="O81" s="43"/>
      <c r="P81" s="45"/>
      <c r="Q81" s="43"/>
      <c r="R81" s="43"/>
      <c r="S81" s="43"/>
      <c r="T81" s="45"/>
      <c r="U81" s="43"/>
      <c r="V81" s="43"/>
      <c r="X81" s="43"/>
      <c r="Y81" s="43"/>
      <c r="Z81" s="45"/>
      <c r="AA81" s="43"/>
      <c r="AB81" s="43"/>
      <c r="AC81" s="43"/>
      <c r="AD81" s="45"/>
      <c r="AE81" s="43"/>
      <c r="AF81" s="43"/>
      <c r="AH81" s="43"/>
      <c r="AI81" s="43"/>
      <c r="AJ81" s="45"/>
      <c r="AK81" s="43"/>
      <c r="AL81" s="43"/>
      <c r="AM81" s="43"/>
      <c r="AN81" s="45"/>
      <c r="AO81" s="43"/>
      <c r="AP81" s="43"/>
      <c r="AR81" s="43"/>
      <c r="AS81" s="43"/>
      <c r="AT81" s="45"/>
      <c r="AU81" s="43"/>
      <c r="AV81" s="43"/>
      <c r="AW81" s="43"/>
      <c r="AX81" s="45"/>
      <c r="AY81" s="43"/>
      <c r="AZ81" s="43"/>
      <c r="BC81" s="43"/>
      <c r="BD81" s="43"/>
      <c r="BE81" s="45"/>
      <c r="BF81" s="43"/>
      <c r="BG81" s="43"/>
      <c r="BH81" s="43"/>
      <c r="BI81" s="45"/>
      <c r="BJ81" s="43"/>
      <c r="BK81" s="43"/>
    </row>
    <row r="82" spans="1:63" s="9" customFormat="1">
      <c r="A82" s="250" t="s">
        <v>67</v>
      </c>
      <c r="B82"/>
      <c r="D82" s="43"/>
      <c r="E82" s="43"/>
      <c r="F82" s="296"/>
      <c r="G82" s="43"/>
      <c r="H82" s="43"/>
      <c r="I82" s="43"/>
      <c r="J82" s="43"/>
      <c r="K82" s="43"/>
      <c r="L82" s="43"/>
      <c r="M82" s="43"/>
      <c r="N82" s="43"/>
      <c r="O82" s="43"/>
      <c r="P82" s="45"/>
      <c r="Q82" s="43"/>
      <c r="R82" s="43"/>
      <c r="S82" s="43"/>
      <c r="T82" s="45"/>
      <c r="U82" s="43"/>
      <c r="V82" s="43"/>
      <c r="X82" s="43"/>
      <c r="Y82" s="43"/>
      <c r="Z82" s="45"/>
      <c r="AA82" s="43"/>
      <c r="AB82" s="43"/>
      <c r="AC82" s="43"/>
      <c r="AD82" s="45"/>
      <c r="AE82" s="43"/>
      <c r="AF82" s="43"/>
      <c r="AH82" s="43"/>
      <c r="AI82" s="43"/>
      <c r="AJ82" s="45"/>
      <c r="AK82" s="43"/>
      <c r="AL82" s="43"/>
      <c r="AM82" s="43"/>
      <c r="AN82" s="45"/>
      <c r="AO82" s="43"/>
      <c r="AP82" s="43"/>
      <c r="AR82" s="43"/>
      <c r="AS82" s="43"/>
      <c r="AT82" s="45"/>
      <c r="AU82" s="43"/>
      <c r="AV82" s="43"/>
      <c r="AW82" s="43"/>
      <c r="AX82" s="45"/>
      <c r="AY82" s="43"/>
      <c r="AZ82" s="43"/>
      <c r="BC82" s="43"/>
      <c r="BD82" s="43"/>
      <c r="BE82" s="45"/>
      <c r="BF82" s="43"/>
      <c r="BG82" s="43"/>
      <c r="BH82" s="43"/>
      <c r="BI82" s="45"/>
      <c r="BJ82" s="43"/>
      <c r="BK82" s="43"/>
    </row>
    <row r="83" spans="1:63" s="9" customFormat="1" ht="13.5" customHeight="1">
      <c r="B83" t="s">
        <v>149</v>
      </c>
      <c r="D83" s="46">
        <v>33137</v>
      </c>
      <c r="E83" s="124"/>
      <c r="F83" s="257">
        <v>31058</v>
      </c>
      <c r="G83" s="40"/>
      <c r="H83" s="46">
        <f>H23</f>
        <v>31783</v>
      </c>
      <c r="I83" s="124"/>
      <c r="J83" s="124"/>
      <c r="K83" s="40"/>
      <c r="L83" s="384">
        <v>31007</v>
      </c>
      <c r="M83" s="384"/>
      <c r="N83" s="384"/>
      <c r="O83" s="157"/>
      <c r="P83" s="157"/>
      <c r="Q83" s="40"/>
      <c r="R83" s="157"/>
      <c r="S83" s="157"/>
      <c r="T83" s="157"/>
      <c r="U83" s="40"/>
      <c r="V83" s="157"/>
      <c r="X83" s="157"/>
      <c r="Y83" s="157"/>
      <c r="Z83" s="157"/>
      <c r="AA83" s="40"/>
      <c r="AB83" s="157"/>
      <c r="AC83" s="157"/>
      <c r="AD83" s="157"/>
      <c r="AE83" s="40"/>
      <c r="AF83" s="157"/>
      <c r="AH83" s="157"/>
      <c r="AI83" s="157"/>
      <c r="AJ83" s="157"/>
      <c r="AK83" s="40"/>
      <c r="AL83" s="157"/>
      <c r="AM83" s="157"/>
      <c r="AN83" s="157"/>
      <c r="AO83" s="40"/>
      <c r="AP83" s="157"/>
      <c r="AR83" s="157"/>
      <c r="AS83" s="157"/>
      <c r="AT83" s="157"/>
      <c r="AU83" s="40"/>
      <c r="AV83" s="157"/>
      <c r="AW83" s="157"/>
      <c r="AX83" s="157"/>
      <c r="AY83" s="40"/>
      <c r="AZ83" s="157"/>
      <c r="BC83" s="157"/>
      <c r="BD83" s="157"/>
      <c r="BE83" s="157"/>
      <c r="BF83" s="40"/>
      <c r="BG83" s="157"/>
      <c r="BH83" s="157"/>
      <c r="BI83" s="157"/>
      <c r="BJ83" s="40"/>
      <c r="BK83" s="157"/>
    </row>
    <row r="84" spans="1:63" s="9" customFormat="1" ht="13.5" customHeight="1">
      <c r="B84" t="s">
        <v>150</v>
      </c>
      <c r="D84" s="49">
        <v>0.32500000000000001</v>
      </c>
      <c r="E84" s="141"/>
      <c r="F84" s="259">
        <v>0.32700000000000001</v>
      </c>
      <c r="G84" s="50"/>
      <c r="H84" s="49">
        <v>0.316</v>
      </c>
      <c r="I84" s="141"/>
      <c r="J84" s="141"/>
      <c r="K84" s="50"/>
      <c r="L84" s="387">
        <v>0.35299999999999998</v>
      </c>
      <c r="M84" s="387"/>
      <c r="N84" s="387"/>
      <c r="O84" s="156"/>
      <c r="P84" s="158"/>
      <c r="Q84" s="50"/>
      <c r="R84" s="158"/>
      <c r="S84" s="156"/>
      <c r="T84" s="156"/>
      <c r="U84" s="50"/>
      <c r="V84" s="158"/>
      <c r="X84" s="158"/>
      <c r="Y84" s="156"/>
      <c r="Z84" s="158"/>
      <c r="AA84" s="50"/>
      <c r="AB84" s="158"/>
      <c r="AC84" s="156"/>
      <c r="AD84" s="156"/>
      <c r="AE84" s="50"/>
      <c r="AF84" s="158"/>
      <c r="AH84" s="158"/>
      <c r="AI84" s="156"/>
      <c r="AJ84" s="158"/>
      <c r="AK84" s="50"/>
      <c r="AL84" s="158"/>
      <c r="AM84" s="156"/>
      <c r="AN84" s="156"/>
      <c r="AO84" s="50"/>
      <c r="AP84" s="158"/>
      <c r="AR84" s="158"/>
      <c r="AS84" s="156"/>
      <c r="AT84" s="158"/>
      <c r="AU84" s="50"/>
      <c r="AV84" s="158"/>
      <c r="AW84" s="156"/>
      <c r="AX84" s="156"/>
      <c r="AY84" s="50"/>
      <c r="AZ84" s="158"/>
      <c r="BC84" s="158"/>
      <c r="BD84" s="156"/>
      <c r="BE84" s="158"/>
      <c r="BF84" s="50"/>
      <c r="BG84" s="158"/>
      <c r="BH84" s="156"/>
      <c r="BI84" s="156"/>
      <c r="BJ84" s="50"/>
      <c r="BK84" s="158"/>
    </row>
    <row r="85" spans="1:63" s="9" customFormat="1" ht="13.5" customHeight="1">
      <c r="B85" t="s">
        <v>151</v>
      </c>
      <c r="D85" s="46">
        <v>21421</v>
      </c>
      <c r="E85" s="124"/>
      <c r="F85" s="257">
        <v>22482</v>
      </c>
      <c r="G85" s="50"/>
      <c r="H85" s="16">
        <v>23461</v>
      </c>
      <c r="I85" s="124"/>
      <c r="J85" s="124"/>
      <c r="K85" s="50"/>
      <c r="L85" s="384">
        <v>14481</v>
      </c>
      <c r="M85" s="384"/>
      <c r="N85" s="384"/>
      <c r="O85" s="157"/>
      <c r="P85" s="157"/>
      <c r="Q85" s="50"/>
      <c r="R85" s="157"/>
      <c r="S85" s="157"/>
      <c r="T85" s="157"/>
      <c r="U85" s="50"/>
      <c r="V85" s="157"/>
      <c r="X85" s="157"/>
      <c r="Y85" s="157"/>
      <c r="Z85" s="157"/>
      <c r="AA85" s="50"/>
      <c r="AB85" s="157"/>
      <c r="AC85" s="157"/>
      <c r="AD85" s="157"/>
      <c r="AE85" s="50"/>
      <c r="AF85" s="157"/>
      <c r="AH85" s="157"/>
      <c r="AI85" s="157"/>
      <c r="AJ85" s="157"/>
      <c r="AK85" s="50"/>
      <c r="AL85" s="157"/>
      <c r="AM85" s="157"/>
      <c r="AN85" s="157"/>
      <c r="AO85" s="50"/>
      <c r="AP85" s="157"/>
      <c r="AR85" s="157"/>
      <c r="AS85" s="157"/>
      <c r="AT85" s="157"/>
      <c r="AU85" s="50"/>
      <c r="AV85" s="157"/>
      <c r="AW85" s="157"/>
      <c r="AX85" s="157"/>
      <c r="AY85" s="50"/>
      <c r="AZ85" s="157"/>
      <c r="BC85" s="157"/>
      <c r="BD85" s="157"/>
      <c r="BE85" s="157"/>
      <c r="BF85" s="50"/>
      <c r="BG85" s="157"/>
      <c r="BH85" s="157"/>
      <c r="BI85" s="157"/>
      <c r="BJ85" s="50"/>
      <c r="BK85" s="157"/>
    </row>
    <row r="86" spans="1:63" s="9" customFormat="1" ht="13.5" customHeight="1">
      <c r="B86" s="302" t="s">
        <v>190</v>
      </c>
      <c r="D86" s="50">
        <v>0.56000000000000005</v>
      </c>
      <c r="E86" s="142"/>
      <c r="F86" s="260">
        <v>0.63</v>
      </c>
      <c r="G86" s="50"/>
      <c r="H86" s="50">
        <v>0.64</v>
      </c>
      <c r="I86" s="142"/>
      <c r="J86" s="142"/>
      <c r="K86" s="50"/>
      <c r="L86" s="385">
        <v>0.42</v>
      </c>
      <c r="M86" s="385"/>
      <c r="N86" s="385"/>
      <c r="O86" s="40"/>
      <c r="P86" s="50"/>
      <c r="Q86" s="50"/>
      <c r="R86" s="50"/>
      <c r="S86" s="40"/>
      <c r="T86" s="40"/>
      <c r="U86" s="50"/>
      <c r="V86" s="50"/>
      <c r="X86" s="50"/>
      <c r="Y86" s="40"/>
      <c r="Z86" s="50"/>
      <c r="AA86" s="50"/>
      <c r="AB86" s="50"/>
      <c r="AC86" s="40"/>
      <c r="AD86" s="40"/>
      <c r="AE86" s="50"/>
      <c r="AF86" s="50"/>
      <c r="AH86" s="50"/>
      <c r="AI86" s="40"/>
      <c r="AJ86" s="50"/>
      <c r="AK86" s="50"/>
      <c r="AL86" s="50"/>
      <c r="AM86" s="40"/>
      <c r="AN86" s="40"/>
      <c r="AO86" s="50"/>
      <c r="AP86" s="50"/>
      <c r="AR86" s="50"/>
      <c r="AS86" s="40"/>
      <c r="AT86" s="50"/>
      <c r="AU86" s="50"/>
      <c r="AV86" s="50"/>
      <c r="AW86" s="40"/>
      <c r="AX86" s="40"/>
      <c r="AY86" s="50"/>
      <c r="AZ86" s="50"/>
      <c r="BC86" s="50"/>
      <c r="BD86" s="40"/>
      <c r="BE86" s="50"/>
      <c r="BF86" s="50"/>
      <c r="BG86" s="50"/>
      <c r="BH86" s="40"/>
      <c r="BI86" s="40"/>
      <c r="BJ86" s="50"/>
      <c r="BK86" s="50"/>
    </row>
    <row r="87" spans="1:63" s="9" customFormat="1" ht="13.5" customHeight="1">
      <c r="B87" s="302" t="s">
        <v>191</v>
      </c>
      <c r="D87" s="50">
        <v>0.49</v>
      </c>
      <c r="E87" s="142"/>
      <c r="F87" s="260">
        <v>0.54</v>
      </c>
      <c r="G87" s="50"/>
      <c r="H87" s="50">
        <v>0.56000000000000005</v>
      </c>
      <c r="I87" s="142"/>
      <c r="J87" s="142"/>
      <c r="K87" s="50"/>
      <c r="L87" s="385">
        <v>0.34</v>
      </c>
      <c r="M87" s="385"/>
      <c r="N87" s="385"/>
      <c r="O87" s="40"/>
      <c r="P87" s="50"/>
      <c r="Q87" s="50"/>
      <c r="R87" s="50"/>
      <c r="S87" s="40"/>
      <c r="T87" s="40"/>
      <c r="U87" s="50"/>
      <c r="V87" s="50"/>
      <c r="X87" s="50"/>
      <c r="Y87" s="40"/>
      <c r="Z87" s="50"/>
      <c r="AA87" s="50"/>
      <c r="AB87" s="50"/>
      <c r="AC87" s="40"/>
      <c r="AD87" s="40"/>
      <c r="AE87" s="50"/>
      <c r="AF87" s="50"/>
      <c r="AH87" s="50"/>
      <c r="AI87" s="40"/>
      <c r="AJ87" s="50"/>
      <c r="AK87" s="50"/>
      <c r="AL87" s="50"/>
      <c r="AM87" s="40"/>
      <c r="AN87" s="40"/>
      <c r="AO87" s="50"/>
      <c r="AP87" s="50"/>
      <c r="AR87" s="50"/>
      <c r="AS87" s="40"/>
      <c r="AT87" s="50"/>
      <c r="AU87" s="50"/>
      <c r="AV87" s="50"/>
      <c r="AW87" s="40"/>
      <c r="AX87" s="40"/>
      <c r="AY87" s="50"/>
      <c r="AZ87" s="50"/>
      <c r="BC87" s="50"/>
      <c r="BD87" s="40"/>
      <c r="BE87" s="50"/>
      <c r="BF87" s="50"/>
      <c r="BG87" s="50"/>
      <c r="BH87" s="40"/>
      <c r="BI87" s="40"/>
      <c r="BJ87" s="50"/>
      <c r="BK87" s="50"/>
    </row>
    <row r="88" spans="1:63" s="9" customFormat="1" ht="13.5" customHeight="1">
      <c r="B88"/>
      <c r="D88" s="50"/>
      <c r="E88" s="40"/>
      <c r="F88" s="50"/>
      <c r="G88" s="50"/>
      <c r="H88" s="50"/>
      <c r="I88" s="50"/>
      <c r="J88" s="51"/>
      <c r="K88" s="50"/>
      <c r="L88" s="51"/>
      <c r="M88" s="50"/>
      <c r="N88" s="51"/>
      <c r="O88" s="40"/>
      <c r="P88" s="50"/>
      <c r="Q88" s="50"/>
      <c r="R88" s="50"/>
      <c r="S88" s="50"/>
      <c r="T88" s="51"/>
      <c r="U88" s="50"/>
      <c r="V88" s="51"/>
      <c r="X88" s="50"/>
      <c r="Y88" s="40"/>
      <c r="Z88" s="50"/>
      <c r="AA88" s="50"/>
      <c r="AB88" s="50"/>
      <c r="AC88" s="50"/>
      <c r="AD88" s="51"/>
      <c r="AE88" s="50"/>
      <c r="AF88" s="51"/>
      <c r="AH88" s="50"/>
      <c r="AI88" s="40"/>
      <c r="AJ88" s="50"/>
      <c r="AK88" s="50"/>
      <c r="AL88" s="50"/>
      <c r="AM88" s="50"/>
      <c r="AN88" s="51"/>
      <c r="AO88" s="50"/>
      <c r="AP88" s="51"/>
      <c r="AR88" s="50"/>
      <c r="AS88" s="40"/>
      <c r="AT88" s="50"/>
      <c r="AU88" s="50"/>
      <c r="AV88" s="50"/>
      <c r="AW88" s="50"/>
      <c r="AX88" s="51"/>
      <c r="AY88" s="50"/>
      <c r="AZ88" s="51"/>
      <c r="BC88" s="50"/>
      <c r="BD88" s="40"/>
      <c r="BE88" s="50"/>
      <c r="BF88" s="50"/>
      <c r="BG88" s="50"/>
      <c r="BH88" s="50"/>
      <c r="BI88" s="51"/>
      <c r="BJ88" s="50"/>
      <c r="BK88" s="51"/>
    </row>
    <row r="89" spans="1:63" s="3" customFormat="1" ht="16.2">
      <c r="A89" s="250" t="s">
        <v>73</v>
      </c>
    </row>
    <row r="90" spans="1:63">
      <c r="B90" t="s">
        <v>1</v>
      </c>
      <c r="D90" s="244" t="str">
        <f>D6</f>
        <v>2024年度　（2024年4月-2025年3月）</v>
      </c>
      <c r="E90" s="244"/>
      <c r="F90" s="244"/>
      <c r="G90" s="244"/>
      <c r="H90" s="244"/>
      <c r="I90" s="244"/>
      <c r="J90" s="244"/>
      <c r="K90" s="244"/>
      <c r="L90" s="244"/>
      <c r="M90" s="244"/>
      <c r="N90" s="244"/>
      <c r="O90" s="5"/>
      <c r="P90" s="5"/>
      <c r="Q90" s="5"/>
      <c r="R90" s="5"/>
      <c r="S90" s="5"/>
      <c r="T90" s="5"/>
      <c r="U90" s="5"/>
      <c r="V90" s="5"/>
      <c r="X90" s="5"/>
      <c r="Y90" s="5"/>
      <c r="Z90" s="5"/>
      <c r="AA90" s="5"/>
      <c r="AB90" s="5"/>
      <c r="AC90" s="5"/>
      <c r="AD90" s="5"/>
      <c r="AE90" s="5"/>
      <c r="AF90" s="5"/>
      <c r="AH90" s="5"/>
      <c r="AI90" s="5"/>
      <c r="AJ90" s="5"/>
      <c r="AK90" s="5"/>
      <c r="AL90" s="5"/>
      <c r="AM90" s="5"/>
      <c r="AN90" s="5"/>
      <c r="AO90" s="5"/>
      <c r="AP90" s="5"/>
      <c r="AR90" s="5"/>
      <c r="AS90" s="5"/>
      <c r="AT90" s="5"/>
      <c r="AU90" s="5"/>
      <c r="AV90" s="5"/>
      <c r="AW90" s="5"/>
      <c r="AX90" s="5"/>
      <c r="AY90" s="5"/>
      <c r="AZ90" s="5"/>
      <c r="BC90" s="5"/>
      <c r="BD90" s="5"/>
      <c r="BE90" s="5"/>
      <c r="BF90" s="5"/>
      <c r="BG90" s="5"/>
      <c r="BH90" s="5"/>
      <c r="BI90" s="5"/>
      <c r="BJ90" s="5"/>
      <c r="BK90" s="5"/>
    </row>
    <row r="91" spans="1:63" ht="3.75" customHeight="1">
      <c r="D91" s="5"/>
      <c r="E91" s="5"/>
      <c r="F91" s="5"/>
      <c r="G91" s="5"/>
      <c r="H91" s="5"/>
      <c r="I91" s="5"/>
      <c r="J91" s="5"/>
      <c r="K91" s="5"/>
      <c r="L91" s="244"/>
      <c r="M91" s="244"/>
      <c r="N91" s="244"/>
      <c r="O91" s="5"/>
      <c r="P91" s="5"/>
      <c r="Q91" s="5"/>
      <c r="R91" s="5"/>
      <c r="S91" s="5"/>
      <c r="T91" s="5"/>
      <c r="U91" s="5"/>
      <c r="V91" s="5"/>
      <c r="X91" s="5"/>
      <c r="Y91" s="5"/>
      <c r="Z91" s="5"/>
      <c r="AA91" s="5"/>
      <c r="AB91" s="5"/>
      <c r="AC91" s="5"/>
      <c r="AD91" s="5"/>
      <c r="AE91" s="5"/>
      <c r="AF91" s="5"/>
      <c r="AH91" s="5"/>
      <c r="AI91" s="5"/>
      <c r="AJ91" s="5"/>
      <c r="AK91" s="5"/>
      <c r="AL91" s="5"/>
      <c r="AM91" s="5"/>
      <c r="AN91" s="5"/>
      <c r="AO91" s="5"/>
      <c r="AP91" s="5"/>
      <c r="AR91" s="5"/>
      <c r="AS91" s="5"/>
      <c r="AT91" s="5"/>
      <c r="AU91" s="5"/>
      <c r="AV91" s="5"/>
      <c r="AW91" s="5"/>
      <c r="AX91" s="5"/>
      <c r="AY91" s="5"/>
      <c r="AZ91" s="5"/>
      <c r="BC91" s="5"/>
      <c r="BD91" s="5"/>
      <c r="BE91" s="5"/>
      <c r="BF91" s="5"/>
      <c r="BG91" s="5"/>
      <c r="BH91" s="5"/>
      <c r="BI91" s="5"/>
      <c r="BJ91" s="5"/>
      <c r="BK91" s="5"/>
    </row>
    <row r="92" spans="1:63">
      <c r="D92" s="6"/>
      <c r="E92" s="6"/>
      <c r="F92" s="7" t="s">
        <v>28</v>
      </c>
      <c r="H92" s="7"/>
      <c r="I92" s="7"/>
      <c r="J92" s="7" t="s">
        <v>29</v>
      </c>
      <c r="L92" s="382" t="s">
        <v>228</v>
      </c>
      <c r="M92" s="368"/>
      <c r="N92" s="368"/>
      <c r="P92" s="8"/>
      <c r="R92" s="8"/>
      <c r="S92" s="8"/>
      <c r="T92" s="8"/>
      <c r="V92" s="8"/>
      <c r="Z92" s="8"/>
      <c r="AB92" s="8"/>
      <c r="AC92" s="8"/>
      <c r="AD92" s="8"/>
      <c r="AF92" s="8"/>
      <c r="AJ92" s="8"/>
      <c r="AL92" s="8"/>
      <c r="AM92" s="8"/>
      <c r="AN92" s="8"/>
      <c r="AP92" s="8"/>
      <c r="AT92" s="8"/>
      <c r="AV92" s="8"/>
      <c r="AW92" s="8"/>
      <c r="AX92" s="8"/>
      <c r="AZ92" s="8"/>
      <c r="BE92" s="8"/>
      <c r="BG92" s="8"/>
      <c r="BH92" s="8"/>
      <c r="BI92" s="8"/>
      <c r="BK92" s="8"/>
    </row>
    <row r="93" spans="1:63" s="9" customFormat="1" ht="10.8">
      <c r="D93" s="9" t="s">
        <v>31</v>
      </c>
      <c r="E93" s="9" t="s">
        <v>32</v>
      </c>
      <c r="F93" s="10" t="s">
        <v>33</v>
      </c>
      <c r="H93" s="9" t="s">
        <v>7</v>
      </c>
      <c r="I93" s="9" t="s">
        <v>8</v>
      </c>
      <c r="J93" s="10"/>
      <c r="L93" s="368"/>
      <c r="M93" s="368"/>
      <c r="N93" s="368"/>
      <c r="P93" s="11"/>
      <c r="T93" s="11"/>
      <c r="V93" s="11"/>
      <c r="Z93" s="11"/>
      <c r="AD93" s="11"/>
      <c r="AF93" s="11"/>
      <c r="AJ93" s="11"/>
      <c r="AN93" s="11"/>
      <c r="AP93" s="11"/>
      <c r="AT93" s="11"/>
      <c r="AX93" s="11"/>
      <c r="AZ93" s="11"/>
      <c r="BE93" s="11"/>
      <c r="BI93" s="11"/>
      <c r="BK93" s="11"/>
    </row>
    <row r="94" spans="1:63" s="9" customFormat="1" ht="10.8">
      <c r="D94" s="9" t="s">
        <v>34</v>
      </c>
      <c r="E94" s="9" t="s">
        <v>35</v>
      </c>
      <c r="F94" s="10" t="s">
        <v>36</v>
      </c>
      <c r="H94" s="9" t="s">
        <v>12</v>
      </c>
      <c r="I94" s="9" t="s">
        <v>13</v>
      </c>
      <c r="J94" s="10" t="s">
        <v>37</v>
      </c>
      <c r="L94" s="381" t="s">
        <v>38</v>
      </c>
      <c r="M94" s="381"/>
      <c r="N94" s="381"/>
      <c r="P94" s="11"/>
      <c r="T94" s="11"/>
      <c r="V94" s="11"/>
      <c r="Z94" s="11"/>
      <c r="AD94" s="11"/>
      <c r="AF94" s="11"/>
      <c r="AJ94" s="11"/>
      <c r="AN94" s="11"/>
      <c r="AP94" s="11"/>
      <c r="AT94" s="11"/>
      <c r="AX94" s="11"/>
      <c r="AZ94" s="11"/>
      <c r="BE94" s="11"/>
      <c r="BI94" s="11"/>
      <c r="BK94" s="11"/>
    </row>
    <row r="95" spans="1:63" ht="5.0999999999999996" customHeight="1">
      <c r="H95" s="52"/>
      <c r="I95" s="52"/>
      <c r="J95" s="8"/>
      <c r="R95" s="52"/>
      <c r="S95" s="52"/>
      <c r="T95" s="8"/>
      <c r="AB95" s="52"/>
      <c r="AC95" s="52"/>
      <c r="AD95" s="8"/>
      <c r="AL95" s="52"/>
      <c r="AM95" s="52"/>
      <c r="AN95" s="8"/>
      <c r="AV95" s="52"/>
      <c r="AW95" s="52"/>
      <c r="AX95" s="8"/>
      <c r="BG95" s="52"/>
      <c r="BH95" s="52"/>
      <c r="BI95" s="8"/>
    </row>
    <row r="96" spans="1:63" ht="13.5" customHeight="1" thickBot="1">
      <c r="B96" s="12" t="s">
        <v>39</v>
      </c>
      <c r="C96" s="12"/>
      <c r="D96" s="13">
        <v>31663</v>
      </c>
      <c r="E96" s="185">
        <f>F96-D96</f>
        <v>31821</v>
      </c>
      <c r="F96" s="185">
        <v>63484</v>
      </c>
      <c r="G96" s="12"/>
      <c r="H96" s="57">
        <f>96059-F96</f>
        <v>32575</v>
      </c>
      <c r="I96" s="57">
        <f t="shared" ref="I96:I103" si="6">J96-H96</f>
        <v>34298</v>
      </c>
      <c r="J96" s="57">
        <f t="shared" ref="J96:J103" si="7">L96-F96</f>
        <v>66873</v>
      </c>
      <c r="K96" s="57"/>
      <c r="L96" s="377">
        <v>130357</v>
      </c>
      <c r="M96" s="377"/>
      <c r="N96" s="377"/>
      <c r="O96" s="112"/>
      <c r="P96" s="112"/>
      <c r="R96" s="58"/>
      <c r="S96" s="58"/>
      <c r="T96" s="58"/>
      <c r="U96" s="58"/>
      <c r="V96" s="58"/>
      <c r="X96" s="112"/>
      <c r="Y96" s="112"/>
      <c r="Z96" s="112"/>
      <c r="AB96" s="58"/>
      <c r="AC96" s="58"/>
      <c r="AD96" s="88"/>
      <c r="AE96" s="88"/>
      <c r="AF96" s="88"/>
      <c r="AH96" s="112"/>
      <c r="AI96" s="112"/>
      <c r="AJ96" s="112"/>
      <c r="AL96" s="58"/>
      <c r="AM96" s="58"/>
      <c r="AN96" s="88"/>
      <c r="AO96" s="88"/>
      <c r="AP96" s="88"/>
      <c r="AR96" s="112"/>
      <c r="AS96" s="112"/>
      <c r="AT96" s="112"/>
      <c r="AV96" s="58"/>
      <c r="AW96" s="58"/>
      <c r="AX96" s="88"/>
      <c r="AY96" s="88"/>
      <c r="AZ96" s="88"/>
      <c r="BC96" s="112"/>
      <c r="BD96" s="112"/>
      <c r="BE96" s="112"/>
      <c r="BG96" s="58"/>
      <c r="BH96" s="58"/>
      <c r="BI96" s="88"/>
      <c r="BJ96" s="88"/>
      <c r="BK96" s="88"/>
    </row>
    <row r="97" spans="2:63" ht="13.5" customHeight="1">
      <c r="B97" t="s">
        <v>197</v>
      </c>
      <c r="D97" s="16">
        <v>26845</v>
      </c>
      <c r="E97" s="186">
        <f t="shared" ref="E97:E103" si="8">F97-D97</f>
        <v>26866</v>
      </c>
      <c r="F97" s="186">
        <v>53711</v>
      </c>
      <c r="H97" s="148">
        <f>81058-F97</f>
        <v>27347</v>
      </c>
      <c r="I97" s="85">
        <f t="shared" si="6"/>
        <v>28739</v>
      </c>
      <c r="J97" s="85">
        <f t="shared" si="7"/>
        <v>56086</v>
      </c>
      <c r="K97" s="58"/>
      <c r="L97" s="383">
        <v>109797</v>
      </c>
      <c r="M97" s="383"/>
      <c r="N97" s="383"/>
      <c r="O97" s="112"/>
      <c r="P97" s="112"/>
      <c r="R97" s="74"/>
      <c r="S97" s="58"/>
      <c r="T97" s="58"/>
      <c r="U97" s="58"/>
      <c r="V97" s="58"/>
      <c r="X97" s="112"/>
      <c r="Y97" s="112"/>
      <c r="Z97" s="112"/>
      <c r="AB97" s="74"/>
      <c r="AC97" s="58"/>
      <c r="AD97" s="88"/>
      <c r="AE97" s="88"/>
      <c r="AF97" s="88"/>
      <c r="AH97" s="112"/>
      <c r="AI97" s="112"/>
      <c r="AJ97" s="112"/>
      <c r="AL97" s="74"/>
      <c r="AM97" s="58"/>
      <c r="AN97" s="88"/>
      <c r="AO97" s="88"/>
      <c r="AP97" s="88"/>
      <c r="AR97" s="112"/>
      <c r="AS97" s="112"/>
      <c r="AT97" s="112"/>
      <c r="AV97" s="97"/>
      <c r="AW97" s="58"/>
      <c r="AX97" s="88"/>
      <c r="AY97" s="88"/>
      <c r="AZ97" s="88"/>
      <c r="BC97" s="112"/>
      <c r="BD97" s="112"/>
      <c r="BE97" s="112"/>
      <c r="BG97" s="97"/>
      <c r="BH97" s="58"/>
      <c r="BI97" s="88"/>
      <c r="BJ97" s="88"/>
      <c r="BK97" s="88"/>
    </row>
    <row r="98" spans="2:63" ht="13.5" customHeight="1">
      <c r="B98" t="s">
        <v>202</v>
      </c>
      <c r="D98" s="16">
        <v>594</v>
      </c>
      <c r="E98" s="186">
        <f t="shared" ref="E98" si="9">F98-D98</f>
        <v>629</v>
      </c>
      <c r="F98" s="186">
        <v>1223</v>
      </c>
      <c r="H98" s="148">
        <f>1841-F98</f>
        <v>618</v>
      </c>
      <c r="I98" s="58">
        <f t="shared" ref="I98" si="10">J98-H98</f>
        <v>587</v>
      </c>
      <c r="J98" s="58">
        <f t="shared" ref="J98" si="11">L98-F98</f>
        <v>1205</v>
      </c>
      <c r="K98" s="58"/>
      <c r="L98" s="372">
        <v>2428</v>
      </c>
      <c r="M98" s="372"/>
      <c r="N98" s="372"/>
      <c r="O98" s="112"/>
      <c r="P98" s="112"/>
      <c r="R98" s="74"/>
      <c r="S98" s="58"/>
      <c r="T98" s="58"/>
      <c r="U98" s="58"/>
      <c r="V98" s="58"/>
      <c r="X98" s="112"/>
      <c r="Y98" s="112"/>
      <c r="Z98" s="112"/>
      <c r="AB98" s="74"/>
      <c r="AC98" s="58"/>
      <c r="AD98" s="88"/>
      <c r="AE98" s="88"/>
      <c r="AF98" s="88"/>
      <c r="AH98" s="112"/>
      <c r="AI98" s="112"/>
      <c r="AJ98" s="112"/>
      <c r="AL98" s="74"/>
      <c r="AM98" s="58"/>
      <c r="AN98" s="88"/>
      <c r="AO98" s="88"/>
      <c r="AP98" s="88"/>
      <c r="AR98" s="112"/>
      <c r="AS98" s="112"/>
      <c r="AT98" s="112"/>
      <c r="AV98" s="97"/>
      <c r="AW98" s="58"/>
      <c r="AX98" s="88"/>
      <c r="AY98" s="88"/>
      <c r="AZ98" s="88"/>
      <c r="BC98" s="112"/>
      <c r="BD98" s="112"/>
      <c r="BE98" s="112"/>
      <c r="BG98" s="97"/>
      <c r="BH98" s="58"/>
      <c r="BI98" s="88"/>
      <c r="BJ98" s="88"/>
      <c r="BK98" s="88"/>
    </row>
    <row r="99" spans="2:63" ht="13.5" customHeight="1">
      <c r="B99" t="s">
        <v>198</v>
      </c>
      <c r="D99" s="16">
        <v>861</v>
      </c>
      <c r="E99" s="186">
        <f t="shared" si="8"/>
        <v>854</v>
      </c>
      <c r="F99" s="186">
        <v>1715</v>
      </c>
      <c r="H99" s="148">
        <f>2597-F99</f>
        <v>882</v>
      </c>
      <c r="I99" s="58">
        <f t="shared" si="6"/>
        <v>873</v>
      </c>
      <c r="J99" s="58">
        <f>L99-F99</f>
        <v>1755</v>
      </c>
      <c r="K99" s="58"/>
      <c r="L99" s="372">
        <v>3470</v>
      </c>
      <c r="M99" s="372"/>
      <c r="N99" s="372"/>
      <c r="O99" s="112"/>
      <c r="P99" s="112"/>
      <c r="R99" s="74"/>
      <c r="S99" s="58"/>
      <c r="T99" s="58"/>
      <c r="U99" s="58"/>
      <c r="V99" s="58"/>
      <c r="X99" s="112"/>
      <c r="Y99" s="112"/>
      <c r="Z99" s="112"/>
      <c r="AB99" s="74"/>
      <c r="AC99" s="58"/>
      <c r="AD99" s="88"/>
      <c r="AE99" s="88"/>
      <c r="AF99" s="88"/>
      <c r="AH99" s="112"/>
      <c r="AI99" s="112"/>
      <c r="AJ99" s="112"/>
      <c r="AL99" s="74"/>
      <c r="AM99" s="58"/>
      <c r="AN99" s="88"/>
      <c r="AO99" s="88"/>
      <c r="AP99" s="88"/>
      <c r="AR99" s="112"/>
      <c r="AS99" s="112"/>
      <c r="AT99" s="112"/>
      <c r="AV99" s="97"/>
      <c r="AW99" s="58"/>
      <c r="AX99" s="88"/>
      <c r="AY99" s="88"/>
      <c r="AZ99" s="88"/>
      <c r="BC99" s="112"/>
      <c r="BD99" s="112"/>
      <c r="BE99" s="112"/>
      <c r="BG99" s="97"/>
      <c r="BH99" s="58"/>
      <c r="BI99" s="88"/>
      <c r="BJ99" s="88"/>
      <c r="BK99" s="88"/>
    </row>
    <row r="100" spans="2:63" ht="13.5" customHeight="1">
      <c r="B100" t="s">
        <v>200</v>
      </c>
      <c r="D100" s="16">
        <v>625</v>
      </c>
      <c r="E100" s="186">
        <f t="shared" si="8"/>
        <v>824</v>
      </c>
      <c r="F100" s="186">
        <v>1449</v>
      </c>
      <c r="H100" s="148">
        <f>2224-F100</f>
        <v>775</v>
      </c>
      <c r="I100" s="58">
        <f t="shared" si="6"/>
        <v>975</v>
      </c>
      <c r="J100" s="58">
        <f t="shared" si="7"/>
        <v>1750</v>
      </c>
      <c r="K100" s="58"/>
      <c r="L100" s="372">
        <v>3199</v>
      </c>
      <c r="M100" s="372"/>
      <c r="N100" s="372"/>
      <c r="O100" s="112"/>
      <c r="P100" s="112"/>
      <c r="R100" s="74"/>
      <c r="S100" s="58"/>
      <c r="T100" s="58"/>
      <c r="U100" s="58"/>
      <c r="V100" s="58"/>
      <c r="X100" s="112"/>
      <c r="Y100" s="112"/>
      <c r="Z100" s="112"/>
      <c r="AB100" s="74"/>
      <c r="AC100" s="58"/>
      <c r="AD100" s="88"/>
      <c r="AE100" s="88"/>
      <c r="AF100" s="88"/>
      <c r="AH100" s="112"/>
      <c r="AI100" s="112"/>
      <c r="AJ100" s="112"/>
      <c r="AL100" s="74"/>
      <c r="AM100" s="58"/>
      <c r="AN100" s="88"/>
      <c r="AO100" s="88"/>
      <c r="AP100" s="88"/>
      <c r="AR100" s="112"/>
      <c r="AS100" s="112"/>
      <c r="AT100" s="112"/>
      <c r="AV100" s="97"/>
      <c r="AW100" s="58"/>
      <c r="AX100" s="88"/>
      <c r="AY100" s="88"/>
      <c r="AZ100" s="88"/>
      <c r="BC100" s="112"/>
      <c r="BD100" s="112"/>
      <c r="BE100" s="112"/>
      <c r="BG100" s="97"/>
      <c r="BH100" s="58"/>
      <c r="BI100" s="88"/>
      <c r="BJ100" s="88"/>
      <c r="BK100" s="88"/>
    </row>
    <row r="101" spans="2:63" ht="13.5" customHeight="1">
      <c r="B101" t="s">
        <v>201</v>
      </c>
      <c r="D101" s="16">
        <v>123</v>
      </c>
      <c r="E101" s="186">
        <f t="shared" si="8"/>
        <v>101</v>
      </c>
      <c r="F101" s="186">
        <v>224</v>
      </c>
      <c r="H101" s="148">
        <f>326-F101</f>
        <v>102</v>
      </c>
      <c r="I101" s="58">
        <f t="shared" si="6"/>
        <v>114</v>
      </c>
      <c r="J101" s="58">
        <f t="shared" si="7"/>
        <v>216</v>
      </c>
      <c r="K101" s="58"/>
      <c r="L101" s="372">
        <v>440</v>
      </c>
      <c r="M101" s="372"/>
      <c r="N101" s="372"/>
      <c r="O101" s="112"/>
      <c r="P101" s="112"/>
      <c r="R101" s="74"/>
      <c r="S101" s="58"/>
      <c r="T101" s="58"/>
      <c r="U101" s="58"/>
      <c r="V101" s="58"/>
      <c r="X101" s="112"/>
      <c r="Y101" s="112"/>
      <c r="Z101" s="112"/>
      <c r="AB101" s="74"/>
      <c r="AC101" s="58"/>
      <c r="AD101" s="88"/>
      <c r="AE101" s="88"/>
      <c r="AF101" s="88"/>
      <c r="AH101" s="112"/>
      <c r="AI101" s="112"/>
      <c r="AJ101" s="112"/>
      <c r="AL101" s="74"/>
      <c r="AM101" s="58"/>
      <c r="AN101" s="88"/>
      <c r="AO101" s="88"/>
      <c r="AP101" s="88"/>
      <c r="AR101" s="112"/>
      <c r="AS101" s="112"/>
      <c r="AT101" s="112"/>
      <c r="AV101" s="97"/>
      <c r="AW101" s="58"/>
      <c r="AX101" s="88"/>
      <c r="AY101" s="88"/>
      <c r="AZ101" s="88"/>
      <c r="BC101" s="112"/>
      <c r="BD101" s="112"/>
      <c r="BE101" s="112"/>
      <c r="BG101" s="97"/>
      <c r="BH101" s="58"/>
      <c r="BI101" s="88"/>
      <c r="BJ101" s="88"/>
      <c r="BK101" s="88"/>
    </row>
    <row r="102" spans="2:63" ht="13.5" customHeight="1">
      <c r="B102" t="s">
        <v>203</v>
      </c>
      <c r="D102" s="32">
        <v>1706</v>
      </c>
      <c r="E102" s="186">
        <f t="shared" si="8"/>
        <v>1664</v>
      </c>
      <c r="F102" s="182">
        <v>3370</v>
      </c>
      <c r="H102" s="148">
        <f>5181-F102</f>
        <v>1811</v>
      </c>
      <c r="I102" s="58">
        <f t="shared" si="6"/>
        <v>1973</v>
      </c>
      <c r="J102" s="58">
        <f t="shared" si="7"/>
        <v>3784</v>
      </c>
      <c r="K102" s="58"/>
      <c r="L102" s="372">
        <v>7154</v>
      </c>
      <c r="M102" s="372"/>
      <c r="N102" s="372"/>
      <c r="O102" s="112"/>
      <c r="P102" s="25"/>
      <c r="R102" s="74"/>
      <c r="S102" s="58"/>
      <c r="T102" s="58"/>
      <c r="U102" s="58"/>
      <c r="V102" s="58"/>
      <c r="X102" s="112"/>
      <c r="Y102" s="112"/>
      <c r="Z102" s="25"/>
      <c r="AB102" s="74"/>
      <c r="AC102" s="58"/>
      <c r="AD102" s="88"/>
      <c r="AE102" s="88"/>
      <c r="AF102" s="88"/>
      <c r="AH102" s="112"/>
      <c r="AI102" s="112"/>
      <c r="AJ102" s="25"/>
      <c r="AL102" s="74"/>
      <c r="AM102" s="58"/>
      <c r="AN102" s="88"/>
      <c r="AO102" s="88"/>
      <c r="AP102" s="88"/>
      <c r="AR102" s="112"/>
      <c r="AS102" s="112"/>
      <c r="AT102" s="25"/>
      <c r="AV102" s="97"/>
      <c r="AW102" s="58"/>
      <c r="AX102" s="88"/>
      <c r="AY102" s="88"/>
      <c r="AZ102" s="88"/>
      <c r="BC102" s="112"/>
      <c r="BD102" s="112"/>
      <c r="BE102" s="25"/>
      <c r="BG102" s="97"/>
      <c r="BH102" s="58"/>
      <c r="BI102" s="88"/>
      <c r="BJ102" s="88"/>
      <c r="BK102" s="88"/>
    </row>
    <row r="103" spans="2:63" ht="13.5" customHeight="1">
      <c r="B103" t="s">
        <v>119</v>
      </c>
      <c r="D103" s="16">
        <v>909</v>
      </c>
      <c r="E103" s="186">
        <f t="shared" si="8"/>
        <v>883</v>
      </c>
      <c r="F103" s="186">
        <v>1792</v>
      </c>
      <c r="H103" s="148">
        <f>2832-F103</f>
        <v>1040</v>
      </c>
      <c r="I103" s="58">
        <f t="shared" si="6"/>
        <v>1037</v>
      </c>
      <c r="J103" s="58">
        <f t="shared" si="7"/>
        <v>2077</v>
      </c>
      <c r="K103" s="58"/>
      <c r="L103" s="372">
        <v>3869</v>
      </c>
      <c r="M103" s="372"/>
      <c r="N103" s="372"/>
      <c r="O103" s="112"/>
      <c r="P103" s="112"/>
      <c r="R103" s="74"/>
      <c r="S103" s="58"/>
      <c r="T103" s="58"/>
      <c r="U103" s="58"/>
      <c r="V103" s="58"/>
      <c r="X103" s="112"/>
      <c r="Y103" s="112"/>
      <c r="Z103" s="112"/>
      <c r="AB103" s="74"/>
      <c r="AC103" s="58"/>
      <c r="AD103" s="88"/>
      <c r="AE103" s="88"/>
      <c r="AF103" s="88"/>
      <c r="AH103" s="112"/>
      <c r="AI103" s="112"/>
      <c r="AJ103" s="112"/>
      <c r="AL103" s="74"/>
      <c r="AM103" s="58"/>
      <c r="AN103" s="88"/>
      <c r="AO103" s="88"/>
      <c r="AP103" s="88"/>
      <c r="AR103" s="112"/>
      <c r="AS103" s="112"/>
      <c r="AT103" s="112"/>
      <c r="AV103" s="97"/>
      <c r="AW103" s="58"/>
      <c r="AX103" s="88"/>
      <c r="AY103" s="88"/>
      <c r="AZ103" s="88"/>
      <c r="BC103" s="112"/>
      <c r="BD103" s="112"/>
      <c r="BE103" s="112"/>
      <c r="BG103" s="97"/>
      <c r="BH103" s="58"/>
      <c r="BI103" s="88"/>
      <c r="BJ103" s="88"/>
      <c r="BK103" s="88"/>
    </row>
    <row r="104" spans="2:63" ht="15.75" customHeight="1">
      <c r="D104" s="16"/>
      <c r="E104" s="186"/>
      <c r="F104" s="186"/>
      <c r="I104" s="58"/>
      <c r="J104" s="58"/>
      <c r="K104" s="58"/>
      <c r="L104" s="112"/>
      <c r="N104" s="112"/>
      <c r="O104" s="112"/>
      <c r="P104" s="112"/>
      <c r="S104" s="58"/>
      <c r="T104" s="58"/>
      <c r="U104" s="58"/>
      <c r="V104" s="112"/>
      <c r="X104" s="112"/>
      <c r="Y104" s="112"/>
      <c r="Z104" s="112"/>
      <c r="AC104" s="58"/>
      <c r="AD104" s="88"/>
      <c r="AE104" s="88"/>
      <c r="AF104" s="98"/>
      <c r="AH104" s="112"/>
      <c r="AI104" s="112"/>
      <c r="AJ104" s="112"/>
      <c r="AM104" s="58"/>
      <c r="AN104" s="88"/>
      <c r="AO104" s="88"/>
      <c r="AP104" s="98"/>
      <c r="AR104" s="112"/>
      <c r="AS104" s="112"/>
      <c r="AT104" s="112"/>
      <c r="AW104" s="58"/>
      <c r="AX104" s="88"/>
      <c r="AY104" s="88"/>
      <c r="AZ104" s="98"/>
      <c r="BC104" s="112"/>
      <c r="BD104" s="112"/>
      <c r="BE104" s="112"/>
      <c r="BH104" s="58"/>
      <c r="BI104" s="88"/>
      <c r="BJ104" s="88"/>
      <c r="BK104" s="98"/>
    </row>
    <row r="105" spans="2:63" ht="13.5" customHeight="1" thickBot="1">
      <c r="B105" s="12" t="s">
        <v>75</v>
      </c>
      <c r="C105" s="12"/>
      <c r="D105" s="13">
        <v>1508</v>
      </c>
      <c r="E105" s="185">
        <f t="shared" ref="E105:E112" si="12">F105-D105</f>
        <v>-48</v>
      </c>
      <c r="F105" s="13">
        <v>1460</v>
      </c>
      <c r="G105" s="12"/>
      <c r="H105" s="57">
        <f>3025-F105</f>
        <v>1565</v>
      </c>
      <c r="I105" s="57">
        <f t="shared" ref="I105:I112" si="13">J105-H105</f>
        <v>692</v>
      </c>
      <c r="J105" s="57">
        <f t="shared" ref="J105:J112" si="14">L105-F105</f>
        <v>2257</v>
      </c>
      <c r="K105" s="57"/>
      <c r="L105" s="377">
        <v>3717</v>
      </c>
      <c r="M105" s="377"/>
      <c r="N105" s="377"/>
      <c r="O105" s="112"/>
      <c r="P105" s="112"/>
      <c r="R105" s="58"/>
      <c r="S105" s="58"/>
      <c r="T105" s="58"/>
      <c r="U105" s="58"/>
      <c r="V105" s="58"/>
      <c r="X105" s="112"/>
      <c r="Y105" s="112"/>
      <c r="Z105" s="112"/>
      <c r="AB105" s="58"/>
      <c r="AC105" s="58"/>
      <c r="AD105" s="88"/>
      <c r="AE105" s="88"/>
      <c r="AF105" s="88"/>
      <c r="AH105" s="112"/>
      <c r="AI105" s="112"/>
      <c r="AJ105" s="112"/>
      <c r="AL105" s="58"/>
      <c r="AM105" s="58"/>
      <c r="AN105" s="88"/>
      <c r="AO105" s="88"/>
      <c r="AP105" s="88"/>
      <c r="AR105" s="112"/>
      <c r="AS105" s="112"/>
      <c r="AT105" s="112"/>
      <c r="AV105" s="58"/>
      <c r="AW105" s="58"/>
      <c r="AX105" s="88"/>
      <c r="AY105" s="88"/>
      <c r="AZ105" s="88"/>
      <c r="BC105" s="112"/>
      <c r="BD105" s="112"/>
      <c r="BE105" s="112"/>
      <c r="BG105" s="58"/>
      <c r="BH105" s="58"/>
      <c r="BI105" s="88"/>
      <c r="BJ105" s="88"/>
      <c r="BK105" s="88"/>
    </row>
    <row r="106" spans="2:63" ht="13.5" customHeight="1">
      <c r="B106" t="s">
        <v>197</v>
      </c>
      <c r="D106" s="16">
        <v>776</v>
      </c>
      <c r="E106" s="186">
        <f t="shared" si="12"/>
        <v>-851</v>
      </c>
      <c r="F106" s="186">
        <v>-75</v>
      </c>
      <c r="H106" s="16">
        <f>734-F106</f>
        <v>809</v>
      </c>
      <c r="I106" s="85">
        <f t="shared" si="13"/>
        <v>-1241</v>
      </c>
      <c r="J106" s="16">
        <f t="shared" si="14"/>
        <v>-432</v>
      </c>
      <c r="K106" s="58"/>
      <c r="L106" s="383">
        <v>-507</v>
      </c>
      <c r="M106" s="383"/>
      <c r="N106" s="383"/>
      <c r="O106" s="112"/>
      <c r="P106" s="112"/>
      <c r="R106" s="112"/>
      <c r="S106" s="58"/>
      <c r="T106" s="112"/>
      <c r="U106" s="58"/>
      <c r="V106" s="58"/>
      <c r="X106" s="112"/>
      <c r="Y106" s="112"/>
      <c r="Z106" s="112"/>
      <c r="AB106" s="74"/>
      <c r="AC106" s="58"/>
      <c r="AD106" s="112"/>
      <c r="AE106" s="88"/>
      <c r="AF106" s="88"/>
      <c r="AH106" s="112"/>
      <c r="AI106" s="112"/>
      <c r="AJ106" s="112"/>
      <c r="AL106" s="74"/>
      <c r="AM106" s="58"/>
      <c r="AN106" s="88"/>
      <c r="AO106" s="88"/>
      <c r="AP106" s="88"/>
      <c r="AR106" s="112"/>
      <c r="AS106" s="112"/>
      <c r="AT106" s="112"/>
      <c r="AV106" s="97"/>
      <c r="AW106" s="58"/>
      <c r="AX106" s="88"/>
      <c r="AY106" s="88"/>
      <c r="AZ106" s="88"/>
      <c r="BC106" s="112"/>
      <c r="BD106" s="112"/>
      <c r="BE106" s="112"/>
      <c r="BG106" s="97"/>
      <c r="BH106" s="58"/>
      <c r="BI106" s="88"/>
      <c r="BJ106" s="88"/>
      <c r="BK106" s="88"/>
    </row>
    <row r="107" spans="2:63" ht="13.5" customHeight="1">
      <c r="B107" t="s">
        <v>202</v>
      </c>
      <c r="D107" s="16">
        <v>228</v>
      </c>
      <c r="E107" s="186">
        <f t="shared" ref="E107" si="15">F107-D107</f>
        <v>239</v>
      </c>
      <c r="F107" s="186">
        <v>467</v>
      </c>
      <c r="H107" s="148">
        <f>727-F107</f>
        <v>260</v>
      </c>
      <c r="I107" s="58">
        <f t="shared" ref="I107" si="16">J107-H107</f>
        <v>147</v>
      </c>
      <c r="J107" s="58">
        <f t="shared" ref="J107" si="17">L107-F107</f>
        <v>407</v>
      </c>
      <c r="K107" s="58"/>
      <c r="L107" s="372">
        <v>874</v>
      </c>
      <c r="M107" s="372"/>
      <c r="N107" s="372"/>
      <c r="O107" s="112"/>
      <c r="P107" s="112"/>
      <c r="R107" s="74"/>
      <c r="S107" s="58"/>
      <c r="T107" s="58"/>
      <c r="U107" s="58"/>
      <c r="V107" s="58"/>
      <c r="X107" s="112"/>
      <c r="Y107" s="112"/>
      <c r="Z107" s="112"/>
      <c r="AB107" s="74"/>
      <c r="AC107" s="58"/>
      <c r="AD107" s="88"/>
      <c r="AE107" s="88"/>
      <c r="AF107" s="88"/>
      <c r="AH107" s="112"/>
      <c r="AI107" s="112"/>
      <c r="AJ107" s="112"/>
      <c r="AL107" s="74"/>
      <c r="AM107" s="58"/>
      <c r="AN107" s="88"/>
      <c r="AO107" s="88"/>
      <c r="AP107" s="88"/>
      <c r="AR107" s="112"/>
      <c r="AS107" s="112"/>
      <c r="AT107" s="112"/>
      <c r="AV107" s="97"/>
      <c r="AW107" s="58"/>
      <c r="AX107" s="88"/>
      <c r="AY107" s="88"/>
      <c r="AZ107" s="88"/>
      <c r="BC107" s="112"/>
      <c r="BD107" s="112"/>
      <c r="BE107" s="112"/>
      <c r="BG107" s="97"/>
      <c r="BH107" s="58"/>
      <c r="BI107" s="88"/>
      <c r="BJ107" s="88"/>
      <c r="BK107" s="88"/>
    </row>
    <row r="108" spans="2:63" ht="13.2" customHeight="1">
      <c r="B108" t="s">
        <v>198</v>
      </c>
      <c r="D108" s="16">
        <v>66</v>
      </c>
      <c r="E108" s="186">
        <f t="shared" si="12"/>
        <v>25</v>
      </c>
      <c r="F108" s="186">
        <v>91</v>
      </c>
      <c r="H108" s="16">
        <f>138-F108</f>
        <v>47</v>
      </c>
      <c r="I108" s="58">
        <f t="shared" si="13"/>
        <v>39</v>
      </c>
      <c r="J108" s="16">
        <f t="shared" si="14"/>
        <v>86</v>
      </c>
      <c r="K108" s="58"/>
      <c r="L108" s="372">
        <v>177</v>
      </c>
      <c r="M108" s="372"/>
      <c r="N108" s="372"/>
      <c r="O108" s="112"/>
      <c r="P108" s="112"/>
      <c r="R108" s="112"/>
      <c r="S108" s="58"/>
      <c r="T108" s="112"/>
      <c r="U108" s="58"/>
      <c r="V108" s="58"/>
      <c r="X108" s="112"/>
      <c r="Y108" s="112"/>
      <c r="Z108" s="112"/>
      <c r="AB108" s="74"/>
      <c r="AC108" s="58"/>
      <c r="AD108" s="112"/>
      <c r="AE108" s="88"/>
      <c r="AF108" s="88"/>
      <c r="AH108" s="112"/>
      <c r="AI108" s="112"/>
      <c r="AJ108" s="112"/>
      <c r="AL108" s="74"/>
      <c r="AM108" s="58"/>
      <c r="AN108" s="88"/>
      <c r="AO108" s="88"/>
      <c r="AP108" s="88"/>
      <c r="AR108" s="112"/>
      <c r="AS108" s="112"/>
      <c r="AT108" s="112"/>
      <c r="AV108" s="97"/>
      <c r="AW108" s="58"/>
      <c r="AX108" s="88"/>
      <c r="AY108" s="88"/>
      <c r="AZ108" s="88"/>
      <c r="BC108" s="112"/>
      <c r="BD108" s="112"/>
      <c r="BE108" s="112"/>
      <c r="BG108" s="97"/>
      <c r="BH108" s="58"/>
      <c r="BI108" s="88"/>
      <c r="BJ108" s="88"/>
      <c r="BK108" s="88"/>
    </row>
    <row r="109" spans="2:63" ht="13.5" customHeight="1">
      <c r="B109" t="s">
        <v>199</v>
      </c>
      <c r="D109" s="16">
        <v>93</v>
      </c>
      <c r="E109" s="186">
        <f t="shared" si="12"/>
        <v>49</v>
      </c>
      <c r="F109" s="186">
        <v>142</v>
      </c>
      <c r="H109" s="16">
        <f>206-F109</f>
        <v>64</v>
      </c>
      <c r="I109" s="58">
        <f t="shared" si="13"/>
        <v>4</v>
      </c>
      <c r="J109" s="16">
        <f t="shared" si="14"/>
        <v>68</v>
      </c>
      <c r="K109" s="58"/>
      <c r="L109" s="372">
        <v>210</v>
      </c>
      <c r="M109" s="372"/>
      <c r="N109" s="372"/>
      <c r="O109" s="112"/>
      <c r="P109" s="112"/>
      <c r="R109" s="112"/>
      <c r="S109" s="58"/>
      <c r="T109" s="112"/>
      <c r="U109" s="58"/>
      <c r="V109" s="58"/>
      <c r="X109" s="112"/>
      <c r="Y109" s="112"/>
      <c r="Z109" s="112"/>
      <c r="AB109" s="74"/>
      <c r="AC109" s="58"/>
      <c r="AD109" s="112"/>
      <c r="AE109" s="88"/>
      <c r="AF109" s="88"/>
      <c r="AH109" s="112"/>
      <c r="AI109" s="112"/>
      <c r="AJ109" s="112"/>
      <c r="AL109" s="74"/>
      <c r="AM109" s="58"/>
      <c r="AN109" s="88"/>
      <c r="AO109" s="88"/>
      <c r="AP109" s="88"/>
      <c r="AR109" s="112"/>
      <c r="AS109" s="112"/>
      <c r="AT109" s="112"/>
      <c r="AV109" s="97"/>
      <c r="AW109" s="58"/>
      <c r="AX109" s="88"/>
      <c r="AY109" s="88"/>
      <c r="AZ109" s="88"/>
      <c r="BC109" s="112"/>
      <c r="BD109" s="112"/>
      <c r="BE109" s="112"/>
      <c r="BG109" s="97"/>
      <c r="BH109" s="58"/>
      <c r="BI109" s="88"/>
      <c r="BJ109" s="88"/>
      <c r="BK109" s="88"/>
    </row>
    <row r="110" spans="2:63" ht="13.5" customHeight="1">
      <c r="B110" t="s">
        <v>201</v>
      </c>
      <c r="D110" s="16">
        <v>7</v>
      </c>
      <c r="E110" s="186">
        <f t="shared" si="12"/>
        <v>7</v>
      </c>
      <c r="F110" s="186">
        <v>14</v>
      </c>
      <c r="H110" s="16">
        <f>4-F110</f>
        <v>-10</v>
      </c>
      <c r="I110" s="58">
        <f t="shared" si="13"/>
        <v>-173</v>
      </c>
      <c r="J110" s="16">
        <f t="shared" si="14"/>
        <v>-183</v>
      </c>
      <c r="K110" s="58"/>
      <c r="L110" s="372">
        <v>-169</v>
      </c>
      <c r="M110" s="372"/>
      <c r="N110" s="372"/>
      <c r="O110" s="112"/>
      <c r="P110" s="112"/>
      <c r="R110" s="112"/>
      <c r="S110" s="58"/>
      <c r="T110" s="112"/>
      <c r="U110" s="58"/>
      <c r="V110" s="58"/>
      <c r="X110" s="112"/>
      <c r="Y110" s="112"/>
      <c r="Z110" s="112"/>
      <c r="AB110" s="74"/>
      <c r="AC110" s="58"/>
      <c r="AD110" s="112"/>
      <c r="AE110" s="88"/>
      <c r="AF110" s="88"/>
      <c r="AH110" s="112"/>
      <c r="AI110" s="112"/>
      <c r="AJ110" s="112"/>
      <c r="AL110" s="74"/>
      <c r="AM110" s="58"/>
      <c r="AN110" s="88"/>
      <c r="AO110" s="88"/>
      <c r="AP110" s="88"/>
      <c r="AR110" s="112"/>
      <c r="AS110" s="112"/>
      <c r="AT110" s="112"/>
      <c r="AV110" s="97"/>
      <c r="AW110" s="58"/>
      <c r="AX110" s="88"/>
      <c r="AY110" s="88"/>
      <c r="AZ110" s="88"/>
      <c r="BC110" s="112"/>
      <c r="BD110" s="112"/>
      <c r="BE110" s="112"/>
      <c r="BG110" s="97"/>
      <c r="BH110" s="58"/>
      <c r="BI110" s="88"/>
      <c r="BJ110" s="88"/>
      <c r="BK110" s="88"/>
    </row>
    <row r="111" spans="2:63" ht="13.5" customHeight="1">
      <c r="B111" t="s">
        <v>203</v>
      </c>
      <c r="D111" s="16">
        <v>249</v>
      </c>
      <c r="E111" s="186">
        <f t="shared" si="12"/>
        <v>419</v>
      </c>
      <c r="F111" s="186">
        <v>668</v>
      </c>
      <c r="H111" s="16">
        <f>871-F111</f>
        <v>203</v>
      </c>
      <c r="I111" s="58">
        <f t="shared" si="13"/>
        <v>240</v>
      </c>
      <c r="J111" s="58">
        <f t="shared" si="14"/>
        <v>443</v>
      </c>
      <c r="K111" s="58"/>
      <c r="L111" s="372">
        <v>1111</v>
      </c>
      <c r="M111" s="372"/>
      <c r="N111" s="372"/>
      <c r="O111" s="112"/>
      <c r="P111" s="112"/>
      <c r="R111" s="74"/>
      <c r="S111" s="58"/>
      <c r="T111" s="58"/>
      <c r="U111" s="58"/>
      <c r="V111" s="58"/>
      <c r="X111" s="112"/>
      <c r="Y111" s="112"/>
      <c r="Z111" s="112"/>
      <c r="AB111" s="74"/>
      <c r="AC111" s="58"/>
      <c r="AD111" s="88"/>
      <c r="AE111" s="88"/>
      <c r="AF111" s="88"/>
      <c r="AH111" s="112"/>
      <c r="AI111" s="112"/>
      <c r="AJ111" s="112"/>
      <c r="AL111" s="74"/>
      <c r="AM111" s="58"/>
      <c r="AN111" s="88"/>
      <c r="AO111" s="88"/>
      <c r="AP111" s="88"/>
      <c r="AR111" s="112"/>
      <c r="AS111" s="112"/>
      <c r="AT111" s="112"/>
      <c r="AV111" s="97"/>
      <c r="AW111" s="58"/>
      <c r="AX111" s="88"/>
      <c r="AY111" s="88"/>
      <c r="AZ111" s="88"/>
      <c r="BC111" s="112"/>
      <c r="BD111" s="112"/>
      <c r="BE111" s="112"/>
      <c r="BG111" s="97"/>
      <c r="BH111" s="58"/>
      <c r="BI111" s="88"/>
      <c r="BJ111" s="88"/>
      <c r="BK111" s="88"/>
    </row>
    <row r="112" spans="2:63" ht="13.5" customHeight="1">
      <c r="B112" t="s">
        <v>119</v>
      </c>
      <c r="D112" s="16">
        <v>89</v>
      </c>
      <c r="E112" s="186">
        <f t="shared" si="12"/>
        <v>64</v>
      </c>
      <c r="F112" s="186">
        <v>153</v>
      </c>
      <c r="H112" s="148">
        <f>345-F112</f>
        <v>192</v>
      </c>
      <c r="I112" s="58">
        <f t="shared" si="13"/>
        <v>1676</v>
      </c>
      <c r="J112" s="58">
        <f t="shared" si="14"/>
        <v>1868</v>
      </c>
      <c r="K112" s="58"/>
      <c r="L112" s="372">
        <v>2021</v>
      </c>
      <c r="M112" s="372"/>
      <c r="N112" s="372"/>
      <c r="O112" s="112"/>
      <c r="P112" s="112"/>
      <c r="R112" s="74"/>
      <c r="S112" s="58"/>
      <c r="T112" s="58"/>
      <c r="U112" s="58"/>
      <c r="V112" s="58"/>
      <c r="X112" s="112"/>
      <c r="Y112" s="112"/>
      <c r="Z112" s="112"/>
      <c r="AB112" s="74"/>
      <c r="AC112" s="58"/>
      <c r="AD112" s="88"/>
      <c r="AE112" s="88"/>
      <c r="AF112" s="88"/>
      <c r="AH112" s="112"/>
      <c r="AI112" s="112"/>
      <c r="AJ112" s="112"/>
      <c r="AL112" s="74"/>
      <c r="AM112" s="58"/>
      <c r="AN112" s="88"/>
      <c r="AO112" s="88"/>
      <c r="AP112" s="88"/>
      <c r="AR112" s="112"/>
      <c r="AS112" s="112"/>
      <c r="AT112" s="112"/>
      <c r="AV112" s="97"/>
      <c r="AW112" s="58"/>
      <c r="AX112" s="88"/>
      <c r="AY112" s="88"/>
      <c r="AZ112" s="88"/>
      <c r="BC112" s="112"/>
      <c r="BD112" s="112"/>
      <c r="BE112" s="112"/>
      <c r="BG112" s="97"/>
      <c r="BH112" s="58"/>
      <c r="BI112" s="88"/>
      <c r="BJ112" s="88"/>
      <c r="BK112" s="88"/>
    </row>
    <row r="113" spans="2:63" ht="13.5" customHeight="1">
      <c r="D113" s="16"/>
      <c r="E113" s="186"/>
      <c r="F113" s="186"/>
      <c r="H113" s="148"/>
      <c r="I113" s="58"/>
      <c r="J113" s="58"/>
      <c r="K113" s="58"/>
      <c r="L113" s="112"/>
      <c r="N113" s="112"/>
      <c r="O113" s="112"/>
      <c r="P113" s="112"/>
      <c r="R113" s="74"/>
      <c r="S113" s="58"/>
      <c r="T113" s="58"/>
      <c r="U113" s="58"/>
      <c r="V113" s="112"/>
      <c r="X113" s="112"/>
      <c r="Y113" s="112"/>
      <c r="Z113" s="112"/>
      <c r="AB113" s="74"/>
      <c r="AC113" s="58"/>
      <c r="AD113" s="88"/>
      <c r="AE113" s="88"/>
      <c r="AF113" s="98"/>
      <c r="AH113" s="112"/>
      <c r="AI113" s="112"/>
      <c r="AJ113" s="112"/>
      <c r="AM113" s="58"/>
      <c r="AN113" s="88"/>
      <c r="AO113" s="88"/>
      <c r="AP113" s="98"/>
      <c r="AR113" s="112"/>
      <c r="AS113" s="112"/>
      <c r="AT113" s="112"/>
      <c r="AW113" s="58"/>
      <c r="AX113" s="88"/>
      <c r="AY113" s="88"/>
      <c r="AZ113" s="98"/>
      <c r="BC113" s="112"/>
      <c r="BD113" s="112"/>
      <c r="BE113" s="112"/>
      <c r="BH113" s="58"/>
      <c r="BI113" s="88"/>
      <c r="BJ113" s="88"/>
      <c r="BK113" s="98"/>
    </row>
    <row r="114" spans="2:63" ht="13.5" customHeight="1" thickBot="1">
      <c r="B114" s="12" t="s">
        <v>153</v>
      </c>
      <c r="C114" s="12"/>
      <c r="D114" s="13">
        <v>-46</v>
      </c>
      <c r="E114" s="185">
        <f t="shared" ref="E114:E121" si="18">F114-D114</f>
        <v>-96</v>
      </c>
      <c r="F114" s="185">
        <v>-142</v>
      </c>
      <c r="G114" s="12"/>
      <c r="H114" s="333">
        <f>-147-F114</f>
        <v>-5</v>
      </c>
      <c r="I114" s="57"/>
      <c r="J114" s="57">
        <f t="shared" ref="J114:J121" si="19">L114-F114</f>
        <v>-82</v>
      </c>
      <c r="K114" s="57"/>
      <c r="L114" s="377">
        <v>-224</v>
      </c>
      <c r="M114" s="377"/>
      <c r="N114" s="377"/>
      <c r="O114" s="112"/>
      <c r="P114" s="112"/>
      <c r="R114" s="58"/>
      <c r="S114" s="58"/>
      <c r="T114" s="58"/>
      <c r="U114" s="58"/>
      <c r="V114" s="58"/>
      <c r="X114" s="112"/>
      <c r="Y114" s="112"/>
      <c r="Z114" s="112"/>
      <c r="AB114" s="58"/>
      <c r="AC114" s="58"/>
      <c r="AD114" s="88"/>
      <c r="AE114" s="88"/>
      <c r="AF114" s="88"/>
      <c r="AH114" s="112"/>
      <c r="AI114" s="112"/>
      <c r="AJ114" s="112"/>
      <c r="AL114" s="58"/>
      <c r="AM114" s="58"/>
      <c r="AN114" s="88"/>
      <c r="AO114" s="88"/>
      <c r="AP114" s="88"/>
      <c r="AR114" s="112"/>
      <c r="AS114" s="112"/>
      <c r="AT114" s="112"/>
      <c r="AV114" s="58"/>
      <c r="AW114" s="58"/>
      <c r="AX114" s="88"/>
      <c r="AY114" s="88"/>
      <c r="AZ114" s="88"/>
      <c r="BC114" s="112"/>
      <c r="BD114" s="112"/>
      <c r="BE114" s="112"/>
      <c r="BG114" s="58"/>
      <c r="BH114" s="58"/>
      <c r="BI114" s="88"/>
      <c r="BJ114" s="88"/>
      <c r="BK114" s="88"/>
    </row>
    <row r="115" spans="2:63" ht="13.5" customHeight="1">
      <c r="B115" t="s">
        <v>197</v>
      </c>
      <c r="D115" s="16">
        <v>-10</v>
      </c>
      <c r="E115" s="186">
        <f t="shared" si="18"/>
        <v>-16</v>
      </c>
      <c r="F115" s="186">
        <v>-26</v>
      </c>
      <c r="H115" s="328">
        <f>-36-F115</f>
        <v>-10</v>
      </c>
      <c r="I115" s="85">
        <f t="shared" ref="I115:I121" si="20">J115-H115</f>
        <v>-41</v>
      </c>
      <c r="J115" s="85">
        <f t="shared" si="19"/>
        <v>-51</v>
      </c>
      <c r="K115" s="58"/>
      <c r="L115" s="383">
        <v>-77</v>
      </c>
      <c r="M115" s="383"/>
      <c r="N115" s="383"/>
      <c r="O115" s="112"/>
      <c r="P115" s="112"/>
      <c r="R115" s="58"/>
      <c r="S115" s="58"/>
      <c r="T115" s="58"/>
      <c r="U115" s="58"/>
      <c r="V115" s="58"/>
      <c r="X115" s="112"/>
      <c r="Y115" s="112"/>
      <c r="Z115" s="112"/>
      <c r="AB115" s="58"/>
      <c r="AC115" s="58"/>
      <c r="AD115" s="88"/>
      <c r="AE115" s="88"/>
      <c r="AF115" s="88"/>
      <c r="AH115" s="112"/>
      <c r="AI115" s="112"/>
      <c r="AJ115" s="112"/>
      <c r="AM115" s="58"/>
      <c r="AN115" s="88"/>
      <c r="AO115" s="88"/>
      <c r="AP115" s="88"/>
      <c r="AR115" s="112"/>
      <c r="AS115" s="112"/>
      <c r="AT115" s="112"/>
      <c r="AV115" s="58"/>
      <c r="AW115" s="58"/>
      <c r="AX115" s="88"/>
      <c r="AY115" s="88"/>
      <c r="AZ115" s="88"/>
      <c r="BC115" s="112"/>
      <c r="BD115" s="112"/>
      <c r="BE115" s="112"/>
      <c r="BH115" s="58"/>
      <c r="BI115" s="88"/>
      <c r="BJ115" s="88"/>
      <c r="BK115" s="88"/>
    </row>
    <row r="116" spans="2:63" ht="13.5" customHeight="1">
      <c r="B116" t="s">
        <v>202</v>
      </c>
      <c r="D116" s="16">
        <v>-13</v>
      </c>
      <c r="E116" s="186">
        <f t="shared" ref="E116" si="21">F116-D116</f>
        <v>-44</v>
      </c>
      <c r="F116" s="186">
        <v>-57</v>
      </c>
      <c r="H116" s="328">
        <f>-24-F116</f>
        <v>33</v>
      </c>
      <c r="I116" s="58">
        <f t="shared" ref="I116" si="22">J116-H116</f>
        <v>-2</v>
      </c>
      <c r="J116" s="58">
        <f t="shared" ref="J116" si="23">L116-F116</f>
        <v>31</v>
      </c>
      <c r="K116" s="58"/>
      <c r="L116" s="372">
        <v>-26</v>
      </c>
      <c r="M116" s="372"/>
      <c r="N116" s="372"/>
      <c r="O116" s="112"/>
      <c r="P116" s="112"/>
      <c r="R116" s="112"/>
      <c r="S116" s="58"/>
      <c r="T116" s="58"/>
      <c r="U116" s="58"/>
      <c r="V116" s="58"/>
      <c r="X116" s="112"/>
      <c r="Y116" s="112"/>
      <c r="Z116" s="112"/>
      <c r="AB116" s="112"/>
      <c r="AC116" s="58"/>
      <c r="AD116" s="88"/>
      <c r="AE116" s="88"/>
      <c r="AF116" s="88"/>
      <c r="AH116" s="112"/>
      <c r="AI116" s="112"/>
      <c r="AJ116" s="112"/>
      <c r="AL116" s="112"/>
      <c r="AM116" s="58"/>
      <c r="AN116" s="88"/>
      <c r="AO116" s="88"/>
      <c r="AP116" s="88"/>
      <c r="AR116" s="112"/>
      <c r="AS116" s="112"/>
      <c r="AT116" s="112"/>
      <c r="AV116" s="58"/>
      <c r="AW116" s="58"/>
      <c r="AX116" s="88"/>
      <c r="AY116" s="88"/>
      <c r="AZ116" s="88"/>
      <c r="BC116" s="112"/>
      <c r="BD116" s="112"/>
      <c r="BE116" s="112"/>
      <c r="BH116" s="58"/>
      <c r="BI116" s="88"/>
      <c r="BJ116" s="88"/>
      <c r="BK116" s="88"/>
    </row>
    <row r="117" spans="2:63" ht="13.5" customHeight="1">
      <c r="B117" t="s">
        <v>198</v>
      </c>
      <c r="D117" s="16">
        <v>-7</v>
      </c>
      <c r="E117" s="186">
        <f t="shared" si="18"/>
        <v>-7</v>
      </c>
      <c r="F117" s="186">
        <v>-14</v>
      </c>
      <c r="H117" s="328">
        <f>-21-F117</f>
        <v>-7</v>
      </c>
      <c r="I117" s="58">
        <f t="shared" si="20"/>
        <v>1</v>
      </c>
      <c r="J117" s="58">
        <f t="shared" si="19"/>
        <v>-6</v>
      </c>
      <c r="K117" s="58"/>
      <c r="L117" s="372">
        <v>-20</v>
      </c>
      <c r="M117" s="372"/>
      <c r="N117" s="372"/>
      <c r="O117" s="112"/>
      <c r="P117" s="112"/>
      <c r="R117" s="58"/>
      <c r="S117" s="58"/>
      <c r="T117" s="58"/>
      <c r="U117" s="58"/>
      <c r="V117" s="58"/>
      <c r="X117" s="112"/>
      <c r="Y117" s="112"/>
      <c r="Z117" s="112"/>
      <c r="AB117" s="58"/>
      <c r="AC117" s="58"/>
      <c r="AD117" s="88"/>
      <c r="AE117" s="88"/>
      <c r="AF117" s="88"/>
      <c r="AH117" s="112"/>
      <c r="AI117" s="112"/>
      <c r="AJ117" s="112"/>
      <c r="AM117" s="58"/>
      <c r="AN117" s="88"/>
      <c r="AO117" s="88"/>
      <c r="AP117" s="88"/>
      <c r="AR117" s="112"/>
      <c r="AS117" s="112"/>
      <c r="AT117" s="112"/>
      <c r="AV117" s="58"/>
      <c r="AW117" s="58"/>
      <c r="AX117" s="88"/>
      <c r="AY117" s="88"/>
      <c r="AZ117" s="88"/>
      <c r="BC117" s="112"/>
      <c r="BD117" s="112"/>
      <c r="BE117" s="112"/>
      <c r="BH117" s="58"/>
      <c r="BI117" s="88"/>
      <c r="BJ117" s="88"/>
      <c r="BK117" s="88"/>
    </row>
    <row r="118" spans="2:63" ht="13.5" customHeight="1">
      <c r="B118" t="s">
        <v>199</v>
      </c>
      <c r="D118" s="16">
        <v>-1</v>
      </c>
      <c r="E118" s="186">
        <f t="shared" si="18"/>
        <v>-2</v>
      </c>
      <c r="F118" s="186">
        <v>-3</v>
      </c>
      <c r="H118" s="328">
        <f>-5-F118</f>
        <v>-2</v>
      </c>
      <c r="I118" s="58">
        <f t="shared" si="20"/>
        <v>-2</v>
      </c>
      <c r="J118" s="58">
        <f t="shared" si="19"/>
        <v>-4</v>
      </c>
      <c r="K118" s="58"/>
      <c r="L118" s="372">
        <v>-7</v>
      </c>
      <c r="M118" s="372"/>
      <c r="N118" s="372"/>
      <c r="O118" s="112"/>
      <c r="P118" s="112"/>
      <c r="R118" s="58"/>
      <c r="S118" s="58"/>
      <c r="T118" s="58"/>
      <c r="U118" s="58"/>
      <c r="V118" s="58"/>
      <c r="X118" s="112"/>
      <c r="Y118" s="112"/>
      <c r="Z118" s="112"/>
      <c r="AB118" s="58"/>
      <c r="AC118" s="58"/>
      <c r="AD118" s="88"/>
      <c r="AE118" s="88"/>
      <c r="AF118" s="88"/>
      <c r="AH118" s="112"/>
      <c r="AI118" s="112"/>
      <c r="AJ118" s="112"/>
      <c r="AM118" s="58"/>
      <c r="AN118" s="88"/>
      <c r="AO118" s="88"/>
      <c r="AP118" s="88"/>
      <c r="AR118" s="112"/>
      <c r="AS118" s="112"/>
      <c r="AT118" s="112"/>
      <c r="AV118" s="58"/>
      <c r="AW118" s="58"/>
      <c r="AX118" s="88"/>
      <c r="AY118" s="88"/>
      <c r="AZ118" s="88"/>
      <c r="BC118" s="112"/>
      <c r="BD118" s="112"/>
      <c r="BE118" s="112"/>
      <c r="BH118" s="58"/>
      <c r="BI118" s="88"/>
      <c r="BJ118" s="88"/>
      <c r="BK118" s="88"/>
    </row>
    <row r="119" spans="2:63" ht="13.5" customHeight="1">
      <c r="B119" t="s">
        <v>201</v>
      </c>
      <c r="D119" s="16">
        <v>-9</v>
      </c>
      <c r="E119" s="186">
        <f t="shared" si="18"/>
        <v>-10</v>
      </c>
      <c r="F119" s="186">
        <v>-19</v>
      </c>
      <c r="H119" s="328">
        <f>-28-F119</f>
        <v>-9</v>
      </c>
      <c r="I119" s="58">
        <f t="shared" si="20"/>
        <v>-10</v>
      </c>
      <c r="J119" s="58">
        <f t="shared" si="19"/>
        <v>-19</v>
      </c>
      <c r="K119" s="58"/>
      <c r="L119" s="372">
        <v>-38</v>
      </c>
      <c r="M119" s="372"/>
      <c r="N119" s="372"/>
      <c r="O119" s="112"/>
      <c r="P119" s="112"/>
      <c r="R119" s="58"/>
      <c r="S119" s="58"/>
      <c r="T119" s="58"/>
      <c r="U119" s="58"/>
      <c r="V119" s="58"/>
      <c r="X119" s="112"/>
      <c r="Y119" s="112"/>
      <c r="Z119" s="112"/>
      <c r="AB119" s="58"/>
      <c r="AC119" s="58"/>
      <c r="AD119" s="88"/>
      <c r="AE119" s="88"/>
      <c r="AF119" s="88"/>
      <c r="AH119" s="112"/>
      <c r="AI119" s="112"/>
      <c r="AJ119" s="112"/>
      <c r="AM119" s="58"/>
      <c r="AN119" s="88"/>
      <c r="AO119" s="88"/>
      <c r="AP119" s="88"/>
      <c r="AR119" s="112"/>
      <c r="AS119" s="112"/>
      <c r="AT119" s="112"/>
      <c r="AV119" s="58"/>
      <c r="AW119" s="58"/>
      <c r="AX119" s="88"/>
      <c r="AY119" s="88"/>
      <c r="AZ119" s="88"/>
      <c r="BC119" s="112"/>
      <c r="BD119" s="112"/>
      <c r="BE119" s="112"/>
      <c r="BH119" s="58"/>
      <c r="BI119" s="88"/>
      <c r="BJ119" s="88"/>
      <c r="BK119" s="88"/>
    </row>
    <row r="120" spans="2:63" ht="13.5" customHeight="1">
      <c r="B120" t="s">
        <v>203</v>
      </c>
      <c r="D120" s="16">
        <v>-8</v>
      </c>
      <c r="E120" s="186">
        <f t="shared" si="18"/>
        <v>-13</v>
      </c>
      <c r="F120" s="186">
        <v>-21</v>
      </c>
      <c r="H120" s="328">
        <f>-32-F120</f>
        <v>-11</v>
      </c>
      <c r="I120" s="58">
        <f t="shared" si="20"/>
        <v>-18</v>
      </c>
      <c r="J120" s="58">
        <f t="shared" si="19"/>
        <v>-29</v>
      </c>
      <c r="K120" s="58"/>
      <c r="L120" s="372">
        <v>-50</v>
      </c>
      <c r="M120" s="372"/>
      <c r="N120" s="372"/>
      <c r="O120" s="112"/>
      <c r="P120" s="112"/>
      <c r="R120" s="178"/>
      <c r="S120" s="58"/>
      <c r="T120" s="58"/>
      <c r="U120" s="58"/>
      <c r="V120" s="58"/>
      <c r="X120" s="112"/>
      <c r="Y120" s="112"/>
      <c r="Z120" s="112"/>
      <c r="AB120" s="178"/>
      <c r="AC120" s="58"/>
      <c r="AD120" s="88"/>
      <c r="AE120" s="88"/>
      <c r="AF120" s="88"/>
      <c r="AH120" s="112"/>
      <c r="AI120" s="112"/>
      <c r="AJ120" s="112"/>
      <c r="AM120" s="58"/>
      <c r="AN120" s="88"/>
      <c r="AO120" s="88"/>
      <c r="AP120" s="88"/>
      <c r="AR120" s="112"/>
      <c r="AS120" s="112"/>
      <c r="AT120" s="112"/>
      <c r="AV120" s="58"/>
      <c r="AW120" s="58"/>
      <c r="AX120" s="88"/>
      <c r="AY120" s="88"/>
      <c r="AZ120" s="88"/>
      <c r="BC120" s="112"/>
      <c r="BD120" s="112"/>
      <c r="BE120" s="112"/>
      <c r="BH120" s="58"/>
      <c r="BI120" s="88"/>
      <c r="BJ120" s="88"/>
      <c r="BK120" s="88"/>
    </row>
    <row r="121" spans="2:63" ht="13.5" customHeight="1">
      <c r="B121" t="s">
        <v>119</v>
      </c>
      <c r="D121" s="16">
        <v>2</v>
      </c>
      <c r="E121" s="186">
        <f t="shared" si="18"/>
        <v>-4</v>
      </c>
      <c r="F121" s="186">
        <v>-2</v>
      </c>
      <c r="H121" s="328">
        <f>-1-F121</f>
        <v>1</v>
      </c>
      <c r="I121" s="58">
        <f t="shared" si="20"/>
        <v>-5</v>
      </c>
      <c r="J121" s="58">
        <f t="shared" si="19"/>
        <v>-4</v>
      </c>
      <c r="K121" s="58"/>
      <c r="L121" s="372">
        <v>-6</v>
      </c>
      <c r="M121" s="372"/>
      <c r="N121" s="372"/>
      <c r="O121" s="112"/>
      <c r="P121" s="112"/>
      <c r="R121" s="178"/>
      <c r="S121" s="58"/>
      <c r="T121" s="58"/>
      <c r="U121" s="58"/>
      <c r="V121" s="58"/>
      <c r="X121" s="112"/>
      <c r="Y121" s="112"/>
      <c r="Z121" s="112"/>
      <c r="AB121" s="178"/>
      <c r="AC121" s="58"/>
      <c r="AD121" s="88"/>
      <c r="AE121" s="88"/>
      <c r="AF121" s="88"/>
      <c r="AH121" s="112"/>
      <c r="AI121" s="112"/>
      <c r="AJ121" s="112"/>
      <c r="AM121" s="58"/>
      <c r="AN121" s="88"/>
      <c r="AO121" s="88"/>
      <c r="AP121" s="88"/>
      <c r="AR121" s="112"/>
      <c r="AS121" s="112"/>
      <c r="AT121" s="112"/>
      <c r="AV121" s="58"/>
      <c r="AW121" s="58"/>
      <c r="AX121" s="88"/>
      <c r="AY121" s="88"/>
      <c r="AZ121" s="88"/>
      <c r="BC121" s="112"/>
      <c r="BD121" s="112"/>
      <c r="BE121" s="112"/>
      <c r="BH121" s="58"/>
      <c r="BI121" s="88"/>
      <c r="BJ121" s="88"/>
      <c r="BK121" s="88"/>
    </row>
    <row r="122" spans="2:63" ht="13.5" customHeight="1">
      <c r="D122" s="16"/>
      <c r="E122" s="186"/>
      <c r="F122" s="186"/>
      <c r="I122" s="58"/>
      <c r="J122" s="58"/>
      <c r="K122" s="58"/>
      <c r="L122" s="112"/>
      <c r="N122" s="112"/>
      <c r="O122" s="112"/>
      <c r="P122" s="112"/>
      <c r="S122" s="58"/>
      <c r="T122" s="58"/>
      <c r="U122" s="58"/>
      <c r="V122" s="112"/>
      <c r="X122" s="112"/>
      <c r="Y122" s="112"/>
      <c r="Z122" s="112"/>
      <c r="AC122" s="58"/>
      <c r="AD122" s="88"/>
      <c r="AE122" s="88"/>
      <c r="AF122" s="98"/>
      <c r="AH122" s="112"/>
      <c r="AI122" s="112"/>
      <c r="AJ122" s="112"/>
      <c r="AM122" s="58"/>
      <c r="AN122" s="88"/>
      <c r="AO122" s="88"/>
      <c r="AP122" s="98"/>
      <c r="AR122" s="112"/>
      <c r="AS122" s="112"/>
      <c r="AT122" s="112"/>
      <c r="AW122" s="58"/>
      <c r="AX122" s="88"/>
      <c r="AY122" s="88"/>
      <c r="AZ122" s="98"/>
      <c r="BC122" s="112"/>
      <c r="BD122" s="112"/>
      <c r="BE122" s="112"/>
      <c r="BH122" s="58"/>
      <c r="BI122" s="88"/>
      <c r="BJ122" s="88"/>
      <c r="BK122" s="98"/>
    </row>
    <row r="123" spans="2:63" ht="13.5" customHeight="1" thickBot="1">
      <c r="B123" s="12" t="s">
        <v>166</v>
      </c>
      <c r="C123" s="12"/>
      <c r="D123" s="13">
        <v>816</v>
      </c>
      <c r="E123" s="185">
        <f t="shared" ref="E123:E130" si="24">F123-D123</f>
        <v>-134</v>
      </c>
      <c r="F123" s="185">
        <v>682</v>
      </c>
      <c r="G123" s="12"/>
      <c r="H123" s="334">
        <f>1707-F123</f>
        <v>1025</v>
      </c>
      <c r="I123" s="57">
        <f t="shared" ref="I123:I130" si="25">J123-H123</f>
        <v>554</v>
      </c>
      <c r="J123" s="57">
        <f t="shared" ref="J123:J130" si="26">L123-F123</f>
        <v>1579</v>
      </c>
      <c r="K123" s="57"/>
      <c r="L123" s="377">
        <v>2261</v>
      </c>
      <c r="M123" s="377"/>
      <c r="N123" s="377"/>
      <c r="O123" s="112"/>
      <c r="P123" s="112"/>
      <c r="R123" s="58"/>
      <c r="S123" s="58"/>
      <c r="T123" s="58"/>
      <c r="U123" s="58"/>
      <c r="V123" s="58"/>
      <c r="X123" s="112"/>
      <c r="Y123" s="112"/>
      <c r="Z123" s="112"/>
      <c r="AB123" s="58"/>
      <c r="AC123" s="58"/>
      <c r="AD123" s="88"/>
      <c r="AE123" s="88"/>
      <c r="AF123" s="88"/>
      <c r="AH123" s="112"/>
      <c r="AI123" s="112"/>
      <c r="AJ123" s="112"/>
      <c r="AL123" s="58"/>
      <c r="AM123" s="58"/>
      <c r="AN123" s="88"/>
      <c r="AO123" s="88"/>
      <c r="AP123" s="88"/>
      <c r="AR123" s="112"/>
      <c r="AS123" s="112"/>
      <c r="AT123" s="112"/>
      <c r="AV123" s="58"/>
      <c r="AW123" s="58"/>
      <c r="AX123" s="88"/>
      <c r="AY123" s="88"/>
      <c r="AZ123" s="88"/>
      <c r="BC123" s="112"/>
      <c r="BD123" s="112"/>
      <c r="BE123" s="112"/>
      <c r="BG123" s="58"/>
      <c r="BH123" s="58"/>
      <c r="BI123" s="88"/>
      <c r="BJ123" s="88"/>
      <c r="BK123" s="88"/>
    </row>
    <row r="124" spans="2:63" ht="13.5" customHeight="1">
      <c r="B124" t="s">
        <v>197</v>
      </c>
      <c r="D124" s="16">
        <v>511</v>
      </c>
      <c r="E124" s="186">
        <f t="shared" si="24"/>
        <v>-536</v>
      </c>
      <c r="F124" s="186">
        <v>-25</v>
      </c>
      <c r="H124" s="328">
        <f>552-F124</f>
        <v>577</v>
      </c>
      <c r="I124" s="85">
        <f t="shared" si="25"/>
        <v>-1118</v>
      </c>
      <c r="J124" s="85">
        <f t="shared" si="26"/>
        <v>-541</v>
      </c>
      <c r="K124" s="58"/>
      <c r="L124" s="383">
        <v>-566</v>
      </c>
      <c r="M124" s="383"/>
      <c r="N124" s="383"/>
      <c r="O124" s="112"/>
      <c r="P124" s="112"/>
      <c r="R124" s="112"/>
      <c r="S124" s="58"/>
      <c r="T124" s="58"/>
      <c r="U124" s="58"/>
      <c r="V124" s="58"/>
      <c r="X124" s="112"/>
      <c r="Y124" s="112"/>
      <c r="Z124" s="112"/>
      <c r="AB124" s="112"/>
      <c r="AC124" s="58"/>
      <c r="AD124" s="88"/>
      <c r="AE124" s="88"/>
      <c r="AF124" s="88"/>
      <c r="AH124" s="112"/>
      <c r="AI124" s="112"/>
      <c r="AJ124" s="112"/>
      <c r="AL124" s="112"/>
      <c r="AM124" s="58"/>
      <c r="AN124" s="88"/>
      <c r="AO124" s="88"/>
      <c r="AP124" s="88"/>
      <c r="AR124" s="112"/>
      <c r="AS124" s="112"/>
      <c r="AT124" s="112"/>
      <c r="AV124" s="112"/>
      <c r="AW124" s="58"/>
      <c r="AX124" s="88"/>
      <c r="AY124" s="88"/>
      <c r="AZ124" s="88"/>
      <c r="BC124" s="112"/>
      <c r="BD124" s="112"/>
      <c r="BE124" s="112"/>
      <c r="BG124" s="112"/>
      <c r="BH124" s="58"/>
      <c r="BI124" s="88"/>
      <c r="BJ124" s="88"/>
      <c r="BK124" s="88"/>
    </row>
    <row r="125" spans="2:63" ht="13.5" customHeight="1">
      <c r="B125" t="s">
        <v>202</v>
      </c>
      <c r="D125" s="16">
        <v>75</v>
      </c>
      <c r="E125" s="186">
        <f t="shared" ref="E125" si="27">F125-D125</f>
        <v>113</v>
      </c>
      <c r="F125" s="186">
        <v>188</v>
      </c>
      <c r="H125" s="46">
        <f>313-F125</f>
        <v>125</v>
      </c>
      <c r="I125" s="58">
        <f t="shared" ref="I125" si="28">J125-H125</f>
        <v>129</v>
      </c>
      <c r="J125" s="58">
        <f t="shared" ref="J125" si="29">L125-F125</f>
        <v>254</v>
      </c>
      <c r="K125" s="58"/>
      <c r="L125" s="372">
        <v>442</v>
      </c>
      <c r="M125" s="372"/>
      <c r="N125" s="372"/>
      <c r="O125" s="112"/>
      <c r="P125" s="112"/>
      <c r="R125" s="74"/>
      <c r="S125" s="58"/>
      <c r="T125" s="58"/>
      <c r="U125" s="58"/>
      <c r="V125" s="58"/>
      <c r="X125" s="112"/>
      <c r="Y125" s="112"/>
      <c r="Z125" s="112"/>
      <c r="AB125" s="74"/>
      <c r="AC125" s="58"/>
      <c r="AD125" s="88"/>
      <c r="AE125" s="88"/>
      <c r="AF125" s="88"/>
      <c r="AH125" s="112"/>
      <c r="AI125" s="112"/>
      <c r="AJ125" s="112"/>
      <c r="AL125" s="74"/>
      <c r="AM125" s="58"/>
      <c r="AN125" s="88"/>
      <c r="AO125" s="88"/>
      <c r="AP125" s="88"/>
      <c r="AR125" s="112"/>
      <c r="AS125" s="112"/>
      <c r="AT125" s="112"/>
      <c r="AV125" s="97"/>
      <c r="AW125" s="58"/>
      <c r="AX125" s="88"/>
      <c r="AY125" s="88"/>
      <c r="AZ125" s="88"/>
      <c r="BC125" s="112"/>
      <c r="BD125" s="112"/>
      <c r="BE125" s="112"/>
      <c r="BG125" s="97"/>
      <c r="BH125" s="58"/>
      <c r="BI125" s="88"/>
      <c r="BJ125" s="88"/>
      <c r="BK125" s="88"/>
    </row>
    <row r="126" spans="2:63" ht="13.5" customHeight="1">
      <c r="B126" t="s">
        <v>198</v>
      </c>
      <c r="D126" s="16">
        <v>41</v>
      </c>
      <c r="E126" s="186">
        <f t="shared" si="24"/>
        <v>14</v>
      </c>
      <c r="F126" s="186">
        <v>55</v>
      </c>
      <c r="H126" s="328">
        <f>87-F126</f>
        <v>32</v>
      </c>
      <c r="I126" s="58">
        <f t="shared" si="25"/>
        <v>23</v>
      </c>
      <c r="J126" s="58">
        <f t="shared" si="26"/>
        <v>55</v>
      </c>
      <c r="K126" s="58"/>
      <c r="L126" s="372">
        <v>110</v>
      </c>
      <c r="M126" s="372"/>
      <c r="N126" s="372"/>
      <c r="O126" s="112"/>
      <c r="P126" s="112"/>
      <c r="R126" s="112"/>
      <c r="S126" s="58"/>
      <c r="T126" s="58"/>
      <c r="U126" s="58"/>
      <c r="V126" s="58"/>
      <c r="X126" s="112"/>
      <c r="Y126" s="112"/>
      <c r="Z126" s="112"/>
      <c r="AB126" s="112"/>
      <c r="AC126" s="58"/>
      <c r="AD126" s="88"/>
      <c r="AE126" s="88"/>
      <c r="AF126" s="88"/>
      <c r="AH126" s="112"/>
      <c r="AI126" s="112"/>
      <c r="AJ126" s="112"/>
      <c r="AL126" s="112"/>
      <c r="AM126" s="58"/>
      <c r="AN126" s="88"/>
      <c r="AO126" s="88"/>
      <c r="AP126" s="88"/>
      <c r="AR126" s="112"/>
      <c r="AS126" s="112"/>
      <c r="AT126" s="112"/>
      <c r="AV126" s="112"/>
      <c r="AW126" s="58"/>
      <c r="AX126" s="88"/>
      <c r="AY126" s="88"/>
      <c r="AZ126" s="88"/>
      <c r="BC126" s="112"/>
      <c r="BD126" s="112"/>
      <c r="BE126" s="112"/>
      <c r="BG126" s="112"/>
      <c r="BH126" s="58"/>
      <c r="BI126" s="88"/>
      <c r="BJ126" s="88"/>
      <c r="BK126" s="88"/>
    </row>
    <row r="127" spans="2:63" ht="13.5" customHeight="1">
      <c r="B127" t="s">
        <v>199</v>
      </c>
      <c r="D127" s="16">
        <v>65</v>
      </c>
      <c r="E127" s="186">
        <f t="shared" si="24"/>
        <v>30</v>
      </c>
      <c r="F127" s="186">
        <v>95</v>
      </c>
      <c r="H127" s="328">
        <f>139-F127</f>
        <v>44</v>
      </c>
      <c r="I127" s="58">
        <f t="shared" si="25"/>
        <v>-29</v>
      </c>
      <c r="J127" s="58">
        <f t="shared" si="26"/>
        <v>15</v>
      </c>
      <c r="K127" s="58"/>
      <c r="L127" s="372">
        <v>110</v>
      </c>
      <c r="M127" s="372"/>
      <c r="N127" s="372"/>
      <c r="O127" s="112"/>
      <c r="P127" s="112"/>
      <c r="R127" s="112"/>
      <c r="S127" s="58"/>
      <c r="T127" s="58"/>
      <c r="U127" s="58"/>
      <c r="V127" s="58"/>
      <c r="X127" s="112"/>
      <c r="Y127" s="112"/>
      <c r="Z127" s="112"/>
      <c r="AB127" s="112"/>
      <c r="AC127" s="58"/>
      <c r="AD127" s="88"/>
      <c r="AE127" s="88"/>
      <c r="AF127" s="88"/>
      <c r="AH127" s="112"/>
      <c r="AI127" s="112"/>
      <c r="AJ127" s="112"/>
      <c r="AL127" s="112"/>
      <c r="AM127" s="58"/>
      <c r="AN127" s="88"/>
      <c r="AO127" s="88"/>
      <c r="AP127" s="88"/>
      <c r="AR127" s="112"/>
      <c r="AS127" s="112"/>
      <c r="AT127" s="112"/>
      <c r="AV127" s="112"/>
      <c r="AW127" s="58"/>
      <c r="AX127" s="88"/>
      <c r="AY127" s="88"/>
      <c r="AZ127" s="88"/>
      <c r="BC127" s="112"/>
      <c r="BD127" s="112"/>
      <c r="BE127" s="112"/>
      <c r="BG127" s="112"/>
      <c r="BH127" s="58"/>
      <c r="BI127" s="88"/>
      <c r="BJ127" s="88"/>
      <c r="BK127" s="88"/>
    </row>
    <row r="128" spans="2:63" ht="13.5" customHeight="1">
      <c r="B128" t="s">
        <v>201</v>
      </c>
      <c r="D128" s="16">
        <v>-2</v>
      </c>
      <c r="E128" s="186">
        <f t="shared" si="24"/>
        <v>-3</v>
      </c>
      <c r="F128" s="186">
        <v>-5</v>
      </c>
      <c r="H128" s="328">
        <f>-20-F128</f>
        <v>-15</v>
      </c>
      <c r="I128" s="58">
        <f t="shared" si="25"/>
        <v>-171</v>
      </c>
      <c r="J128" s="58">
        <f t="shared" si="26"/>
        <v>-186</v>
      </c>
      <c r="K128" s="58"/>
      <c r="L128" s="372">
        <v>-191</v>
      </c>
      <c r="M128" s="372"/>
      <c r="N128" s="372"/>
      <c r="O128" s="112"/>
      <c r="P128" s="112"/>
      <c r="R128" s="112"/>
      <c r="S128" s="58"/>
      <c r="T128" s="58"/>
      <c r="U128" s="58"/>
      <c r="V128" s="58"/>
      <c r="X128" s="112"/>
      <c r="Y128" s="112"/>
      <c r="Z128" s="112"/>
      <c r="AB128" s="112"/>
      <c r="AC128" s="58"/>
      <c r="AD128" s="88"/>
      <c r="AE128" s="88"/>
      <c r="AF128" s="88"/>
      <c r="AH128" s="112"/>
      <c r="AI128" s="112"/>
      <c r="AJ128" s="112"/>
      <c r="AL128" s="112"/>
      <c r="AM128" s="58"/>
      <c r="AN128" s="88"/>
      <c r="AO128" s="88"/>
      <c r="AP128" s="88"/>
      <c r="AR128" s="112"/>
      <c r="AS128" s="112"/>
      <c r="AT128" s="112"/>
      <c r="AV128" s="112"/>
      <c r="AW128" s="58"/>
      <c r="AX128" s="88"/>
      <c r="AY128" s="88"/>
      <c r="AZ128" s="88"/>
      <c r="BC128" s="112"/>
      <c r="BD128" s="112"/>
      <c r="BE128" s="112"/>
      <c r="BG128" s="112"/>
      <c r="BH128" s="58"/>
      <c r="BI128" s="88"/>
      <c r="BJ128" s="88"/>
      <c r="BK128" s="88"/>
    </row>
    <row r="129" spans="1:63" ht="13.5" customHeight="1">
      <c r="B129" t="s">
        <v>203</v>
      </c>
      <c r="D129" s="16">
        <v>130</v>
      </c>
      <c r="E129" s="186">
        <f t="shared" si="24"/>
        <v>221</v>
      </c>
      <c r="F129" s="186">
        <v>351</v>
      </c>
      <c r="H129" s="328">
        <f>474-F129</f>
        <v>123</v>
      </c>
      <c r="I129" s="58">
        <f t="shared" si="25"/>
        <v>196</v>
      </c>
      <c r="J129" s="58">
        <f t="shared" si="26"/>
        <v>319</v>
      </c>
      <c r="K129" s="58"/>
      <c r="L129" s="372">
        <v>670</v>
      </c>
      <c r="M129" s="372"/>
      <c r="N129" s="372"/>
      <c r="O129" s="112"/>
      <c r="P129" s="112"/>
      <c r="R129" s="74"/>
      <c r="S129" s="58"/>
      <c r="T129" s="58"/>
      <c r="U129" s="58"/>
      <c r="V129" s="58"/>
      <c r="X129" s="112"/>
      <c r="Y129" s="112"/>
      <c r="Z129" s="112"/>
      <c r="AB129" s="74"/>
      <c r="AC129" s="58"/>
      <c r="AD129" s="88"/>
      <c r="AE129" s="88"/>
      <c r="AF129" s="88"/>
      <c r="AH129" s="112"/>
      <c r="AI129" s="112"/>
      <c r="AJ129" s="112"/>
      <c r="AL129" s="74"/>
      <c r="AM129" s="58"/>
      <c r="AN129" s="88"/>
      <c r="AO129" s="88"/>
      <c r="AP129" s="88"/>
      <c r="AR129" s="112"/>
      <c r="AS129" s="112"/>
      <c r="AT129" s="112"/>
      <c r="AV129" s="97"/>
      <c r="AW129" s="58"/>
      <c r="AX129" s="88"/>
      <c r="AY129" s="88"/>
      <c r="AZ129" s="88"/>
      <c r="BC129" s="112"/>
      <c r="BD129" s="112"/>
      <c r="BE129" s="112"/>
      <c r="BG129" s="97"/>
      <c r="BH129" s="58"/>
      <c r="BI129" s="88"/>
      <c r="BJ129" s="88"/>
      <c r="BK129" s="88"/>
    </row>
    <row r="130" spans="1:63" ht="13.5" customHeight="1">
      <c r="B130" t="s">
        <v>119</v>
      </c>
      <c r="D130" s="16">
        <v>-4</v>
      </c>
      <c r="E130" s="186">
        <f t="shared" si="24"/>
        <v>27</v>
      </c>
      <c r="F130" s="186">
        <v>23</v>
      </c>
      <c r="H130" s="328">
        <f>162-F130</f>
        <v>139</v>
      </c>
      <c r="I130" s="58">
        <f t="shared" si="25"/>
        <v>1524</v>
      </c>
      <c r="J130" s="58">
        <f t="shared" si="26"/>
        <v>1663</v>
      </c>
      <c r="K130" s="58"/>
      <c r="L130" s="372">
        <v>1686</v>
      </c>
      <c r="M130" s="372"/>
      <c r="N130" s="372"/>
      <c r="O130" s="112"/>
      <c r="P130" s="112"/>
      <c r="R130" s="74"/>
      <c r="S130" s="58"/>
      <c r="T130" s="58"/>
      <c r="U130" s="58"/>
      <c r="V130" s="58"/>
      <c r="X130" s="112"/>
      <c r="Y130" s="112"/>
      <c r="Z130" s="112"/>
      <c r="AB130" s="74"/>
      <c r="AC130" s="58"/>
      <c r="AD130" s="88"/>
      <c r="AE130" s="88"/>
      <c r="AF130" s="88"/>
      <c r="AH130" s="112"/>
      <c r="AI130" s="112"/>
      <c r="AJ130" s="112"/>
      <c r="AL130" s="74"/>
      <c r="AM130" s="58"/>
      <c r="AN130" s="88"/>
      <c r="AO130" s="88"/>
      <c r="AP130" s="88"/>
      <c r="AR130" s="112"/>
      <c r="AS130" s="112"/>
      <c r="AT130" s="112"/>
      <c r="AV130" s="97"/>
      <c r="AW130" s="58"/>
      <c r="AX130" s="88"/>
      <c r="AY130" s="88"/>
      <c r="AZ130" s="88"/>
      <c r="BC130" s="112"/>
      <c r="BD130" s="112"/>
      <c r="BE130" s="112"/>
      <c r="BG130" s="97"/>
      <c r="BH130" s="58"/>
      <c r="BI130" s="88"/>
      <c r="BJ130" s="88"/>
      <c r="BK130" s="88"/>
    </row>
    <row r="132" spans="1:63" ht="13.8" thickBot="1">
      <c r="B132" s="305" t="s">
        <v>192</v>
      </c>
      <c r="C132" s="304"/>
      <c r="D132" s="304">
        <v>552</v>
      </c>
      <c r="E132" s="304">
        <f>F132-D132</f>
        <v>565</v>
      </c>
      <c r="F132" s="311">
        <v>1117</v>
      </c>
      <c r="G132" s="304"/>
      <c r="H132" s="316">
        <f>2301-F132</f>
        <v>1184</v>
      </c>
      <c r="I132" s="316">
        <f>J132-H132</f>
        <v>363</v>
      </c>
      <c r="J132" s="316">
        <f>L132-F132</f>
        <v>1547</v>
      </c>
      <c r="K132" s="304"/>
      <c r="L132" s="380">
        <v>2664</v>
      </c>
      <c r="M132" s="380"/>
      <c r="N132" s="380"/>
    </row>
    <row r="134" spans="1:63">
      <c r="A134" s="251"/>
      <c r="B134" s="252" t="s">
        <v>156</v>
      </c>
    </row>
    <row r="135" spans="1:63">
      <c r="B135" t="s">
        <v>1</v>
      </c>
      <c r="D135" s="244" t="str">
        <f>D6</f>
        <v>2024年度　（2024年4月-2025年3月）</v>
      </c>
      <c r="E135" s="244"/>
      <c r="F135" s="244"/>
      <c r="G135" s="244"/>
      <c r="H135" s="244"/>
      <c r="I135" s="244"/>
      <c r="J135" s="244"/>
      <c r="K135" s="244"/>
      <c r="L135" s="244"/>
      <c r="M135" s="244"/>
      <c r="N135" s="244"/>
      <c r="O135" s="5"/>
      <c r="P135" s="5"/>
      <c r="Q135" s="5"/>
      <c r="R135" s="5"/>
      <c r="S135" s="5"/>
      <c r="T135" s="5"/>
      <c r="U135" s="5"/>
      <c r="V135" s="5"/>
      <c r="X135" s="5"/>
      <c r="Y135" s="5"/>
      <c r="Z135" s="5"/>
      <c r="AA135" s="5"/>
      <c r="AB135" s="5"/>
      <c r="AC135" s="5"/>
      <c r="AD135" s="5"/>
      <c r="AE135" s="5"/>
      <c r="AF135" s="5"/>
      <c r="AH135" s="5"/>
      <c r="AI135" s="5"/>
      <c r="AJ135" s="5"/>
      <c r="AK135" s="5"/>
      <c r="AL135" s="5"/>
      <c r="AM135" s="5"/>
      <c r="AN135" s="5"/>
      <c r="AO135" s="5"/>
      <c r="AP135" s="5"/>
      <c r="AR135" s="5"/>
      <c r="AS135" s="5"/>
      <c r="AT135" s="5"/>
      <c r="AU135" s="5"/>
      <c r="AV135" s="5"/>
      <c r="AW135" s="5"/>
      <c r="AX135" s="5"/>
      <c r="AY135" s="5"/>
      <c r="AZ135" s="5"/>
      <c r="BC135" s="5"/>
      <c r="BD135" s="5"/>
      <c r="BE135" s="5"/>
      <c r="BF135" s="5"/>
      <c r="BG135" s="5"/>
      <c r="BH135" s="5"/>
      <c r="BI135" s="5"/>
      <c r="BJ135" s="5"/>
      <c r="BK135" s="5"/>
    </row>
    <row r="136" spans="1:63" ht="3.75" customHeight="1">
      <c r="D136" s="5"/>
      <c r="E136" s="5"/>
      <c r="F136" s="5"/>
      <c r="G136" s="5"/>
      <c r="H136" s="5"/>
      <c r="I136" s="5"/>
      <c r="J136" s="5"/>
      <c r="K136" s="5"/>
      <c r="L136" s="244"/>
      <c r="M136" s="244"/>
      <c r="N136" s="244"/>
      <c r="O136" s="5"/>
      <c r="P136" s="5"/>
      <c r="Q136" s="5"/>
      <c r="R136" s="5"/>
      <c r="S136" s="5"/>
      <c r="T136" s="5"/>
      <c r="U136" s="5"/>
      <c r="V136" s="5"/>
      <c r="X136" s="5"/>
      <c r="Y136" s="5"/>
      <c r="Z136" s="5"/>
      <c r="AA136" s="5"/>
      <c r="AB136" s="5"/>
      <c r="AC136" s="5"/>
      <c r="AD136" s="5"/>
      <c r="AE136" s="5"/>
      <c r="AF136" s="5"/>
      <c r="AH136" s="5"/>
      <c r="AI136" s="5"/>
      <c r="AJ136" s="5"/>
      <c r="AK136" s="5"/>
      <c r="AL136" s="5"/>
      <c r="AM136" s="5"/>
      <c r="AN136" s="5"/>
      <c r="AO136" s="5"/>
      <c r="AP136" s="5"/>
      <c r="AR136" s="5"/>
      <c r="AS136" s="5"/>
      <c r="AT136" s="5"/>
      <c r="AU136" s="5"/>
      <c r="AV136" s="5"/>
      <c r="AW136" s="5"/>
      <c r="AX136" s="5"/>
      <c r="AY136" s="5"/>
      <c r="AZ136" s="5"/>
      <c r="BC136" s="5"/>
      <c r="BD136" s="5"/>
      <c r="BE136" s="5"/>
      <c r="BF136" s="5"/>
      <c r="BG136" s="5"/>
      <c r="BH136" s="5"/>
      <c r="BI136" s="5"/>
      <c r="BJ136" s="5"/>
      <c r="BK136" s="5"/>
    </row>
    <row r="137" spans="1:63">
      <c r="D137" s="6"/>
      <c r="E137" s="6"/>
      <c r="F137" s="7" t="s">
        <v>28</v>
      </c>
      <c r="H137" s="7"/>
      <c r="I137" s="7"/>
      <c r="J137" s="7" t="s">
        <v>29</v>
      </c>
      <c r="L137" s="382" t="s">
        <v>228</v>
      </c>
      <c r="M137" s="368"/>
      <c r="N137" s="368"/>
      <c r="P137" s="8"/>
      <c r="R137" s="8"/>
      <c r="S137" s="8"/>
      <c r="T137" s="8"/>
      <c r="V137" s="8"/>
      <c r="Z137" s="8"/>
      <c r="AB137" s="8"/>
      <c r="AC137" s="8"/>
      <c r="AD137" s="8"/>
      <c r="AF137" s="8"/>
      <c r="AJ137" s="8"/>
      <c r="AL137" s="8"/>
      <c r="AM137" s="8"/>
      <c r="AN137" s="8"/>
      <c r="AP137" s="8"/>
      <c r="AT137" s="8"/>
      <c r="AV137" s="8"/>
      <c r="AW137" s="8"/>
      <c r="AX137" s="8"/>
      <c r="AZ137" s="8"/>
      <c r="BE137" s="8"/>
      <c r="BG137" s="8"/>
      <c r="BH137" s="8"/>
      <c r="BI137" s="8"/>
      <c r="BK137" s="8"/>
    </row>
    <row r="138" spans="1:63" s="9" customFormat="1" ht="10.8">
      <c r="D138" s="9" t="s">
        <v>31</v>
      </c>
      <c r="E138" s="9" t="s">
        <v>32</v>
      </c>
      <c r="F138" s="10" t="s">
        <v>33</v>
      </c>
      <c r="H138" s="9" t="s">
        <v>7</v>
      </c>
      <c r="I138" s="9" t="s">
        <v>8</v>
      </c>
      <c r="J138" s="10"/>
      <c r="L138" s="368"/>
      <c r="M138" s="368"/>
      <c r="N138" s="368"/>
      <c r="P138" s="11"/>
      <c r="T138" s="11"/>
      <c r="V138" s="11"/>
      <c r="Z138" s="11"/>
      <c r="AD138" s="11"/>
      <c r="AF138" s="11"/>
      <c r="AJ138" s="11"/>
      <c r="AN138" s="11"/>
      <c r="AP138" s="11"/>
      <c r="AT138" s="11"/>
      <c r="AX138" s="11"/>
      <c r="AZ138" s="11"/>
      <c r="BE138" s="11"/>
      <c r="BI138" s="11"/>
      <c r="BK138" s="11"/>
    </row>
    <row r="139" spans="1:63" s="9" customFormat="1" ht="10.8">
      <c r="D139" s="9" t="s">
        <v>34</v>
      </c>
      <c r="E139" s="9" t="s">
        <v>35</v>
      </c>
      <c r="F139" s="10" t="s">
        <v>36</v>
      </c>
      <c r="H139" s="9" t="s">
        <v>12</v>
      </c>
      <c r="I139" s="9" t="s">
        <v>13</v>
      </c>
      <c r="J139" s="10" t="s">
        <v>37</v>
      </c>
      <c r="L139" s="381" t="s">
        <v>38</v>
      </c>
      <c r="M139" s="381"/>
      <c r="N139" s="381"/>
      <c r="P139" s="11"/>
      <c r="T139" s="11"/>
      <c r="V139" s="11"/>
      <c r="Z139" s="11"/>
      <c r="AD139" s="11"/>
      <c r="AF139" s="11"/>
      <c r="AJ139" s="11"/>
      <c r="AN139" s="11"/>
      <c r="AP139" s="11"/>
      <c r="AT139" s="11"/>
      <c r="AX139" s="11"/>
      <c r="AZ139" s="11"/>
      <c r="BE139" s="11"/>
      <c r="BI139" s="11"/>
      <c r="BK139" s="11"/>
    </row>
    <row r="140" spans="1:63" ht="5.0999999999999996" customHeight="1"/>
    <row r="141" spans="1:63" ht="13.5" customHeight="1" thickBot="1">
      <c r="B141" s="12" t="s">
        <v>154</v>
      </c>
      <c r="C141" s="12"/>
      <c r="D141" s="57">
        <v>1508</v>
      </c>
      <c r="E141" s="200">
        <f t="shared" ref="E141:E155" si="30">F141-D141</f>
        <v>-48</v>
      </c>
      <c r="F141" s="57">
        <v>1460</v>
      </c>
      <c r="G141" s="57"/>
      <c r="H141" s="57">
        <f>3025-F141</f>
        <v>1565</v>
      </c>
      <c r="I141" s="57">
        <f t="shared" ref="I141:I155" si="31">J141-H141</f>
        <v>692</v>
      </c>
      <c r="J141" s="57">
        <f t="shared" ref="J141:J155" si="32">L141-F141</f>
        <v>2257</v>
      </c>
      <c r="K141" s="57"/>
      <c r="L141" s="377">
        <v>3717</v>
      </c>
      <c r="M141" s="377"/>
      <c r="N141" s="377"/>
      <c r="O141" s="58"/>
      <c r="P141" s="58"/>
      <c r="Q141" s="58"/>
      <c r="R141" s="58"/>
      <c r="S141" s="58"/>
      <c r="T141" s="58"/>
      <c r="U141" s="58"/>
      <c r="V141" s="58"/>
      <c r="X141" s="58"/>
      <c r="Y141" s="58"/>
      <c r="Z141" s="58"/>
      <c r="AA141" s="58"/>
      <c r="AB141" s="58"/>
      <c r="AC141" s="58"/>
      <c r="AD141" s="58"/>
      <c r="AE141" s="58"/>
      <c r="AF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row>
    <row r="142" spans="1:63" ht="13.5" customHeight="1" thickBot="1">
      <c r="B142" t="s">
        <v>155</v>
      </c>
      <c r="D142" s="58">
        <v>1131</v>
      </c>
      <c r="E142" s="181">
        <f t="shared" si="30"/>
        <v>951</v>
      </c>
      <c r="F142" s="181">
        <v>2082</v>
      </c>
      <c r="G142" s="58"/>
      <c r="H142" s="58">
        <f>3873-F142</f>
        <v>1791</v>
      </c>
      <c r="I142" s="58">
        <f t="shared" si="31"/>
        <v>420</v>
      </c>
      <c r="J142" s="58">
        <f t="shared" si="32"/>
        <v>2211</v>
      </c>
      <c r="K142" s="58"/>
      <c r="L142" s="378">
        <v>4293</v>
      </c>
      <c r="M142" s="378"/>
      <c r="N142" s="378"/>
      <c r="O142" s="58"/>
      <c r="P142" s="58"/>
      <c r="Q142" s="58"/>
      <c r="R142" s="58"/>
      <c r="S142" s="58"/>
      <c r="T142" s="58"/>
      <c r="U142" s="58"/>
      <c r="V142" s="58"/>
      <c r="X142" s="58"/>
      <c r="Y142" s="58"/>
      <c r="Z142" s="58"/>
      <c r="AA142" s="58"/>
      <c r="AB142" s="58"/>
      <c r="AC142" s="58"/>
      <c r="AD142" s="58"/>
      <c r="AE142" s="58"/>
      <c r="AF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row>
    <row r="143" spans="1:63" ht="13.5" customHeight="1">
      <c r="B143" s="59" t="s">
        <v>207</v>
      </c>
      <c r="C143" s="60"/>
      <c r="D143" s="61">
        <v>776</v>
      </c>
      <c r="E143" s="261">
        <f t="shared" si="30"/>
        <v>-851</v>
      </c>
      <c r="F143" s="261">
        <v>-75</v>
      </c>
      <c r="G143" s="61"/>
      <c r="H143" s="61">
        <f>734-F143</f>
        <v>809</v>
      </c>
      <c r="I143" s="61">
        <f t="shared" si="31"/>
        <v>-1241</v>
      </c>
      <c r="J143" s="61">
        <f t="shared" si="32"/>
        <v>-432</v>
      </c>
      <c r="K143" s="61"/>
      <c r="L143" s="379">
        <v>-507</v>
      </c>
      <c r="M143" s="379"/>
      <c r="N143" s="379"/>
      <c r="O143" s="58"/>
      <c r="P143" s="58"/>
      <c r="Q143" s="58"/>
      <c r="R143" s="58"/>
      <c r="S143" s="58"/>
      <c r="T143" s="58"/>
      <c r="U143" s="58"/>
      <c r="V143" s="58"/>
      <c r="X143" s="58"/>
      <c r="Y143" s="58"/>
      <c r="Z143" s="58"/>
      <c r="AA143" s="58"/>
      <c r="AB143" s="58"/>
      <c r="AC143" s="58"/>
      <c r="AD143" s="58"/>
      <c r="AE143" s="58"/>
      <c r="AF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row>
    <row r="144" spans="1:63" ht="13.5" customHeight="1">
      <c r="B144" t="s">
        <v>204</v>
      </c>
      <c r="D144" s="58">
        <v>377</v>
      </c>
      <c r="E144" s="181">
        <f t="shared" si="30"/>
        <v>-999</v>
      </c>
      <c r="F144" s="181">
        <v>-622</v>
      </c>
      <c r="G144" s="58"/>
      <c r="H144" s="58">
        <f>-848-F144</f>
        <v>-226</v>
      </c>
      <c r="I144" s="58">
        <f t="shared" si="31"/>
        <v>272</v>
      </c>
      <c r="J144" s="58">
        <f t="shared" si="32"/>
        <v>46</v>
      </c>
      <c r="K144" s="58"/>
      <c r="L144" s="371">
        <v>-576</v>
      </c>
      <c r="M144" s="371"/>
      <c r="N144" s="371"/>
      <c r="O144" s="58"/>
      <c r="P144" s="58"/>
      <c r="Q144" s="58"/>
      <c r="R144" s="58"/>
      <c r="S144" s="58"/>
      <c r="T144" s="58"/>
      <c r="U144" s="58"/>
      <c r="V144" s="58"/>
      <c r="X144" s="58"/>
      <c r="Y144" s="58"/>
      <c r="Z144" s="58"/>
      <c r="AA144" s="58"/>
      <c r="AB144" s="58"/>
      <c r="AC144" s="58"/>
      <c r="AD144" s="58"/>
      <c r="AE144" s="58"/>
      <c r="AF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row>
    <row r="145" spans="2:63" ht="13.5" customHeight="1">
      <c r="B145" t="s">
        <v>205</v>
      </c>
      <c r="D145" s="58">
        <v>399</v>
      </c>
      <c r="E145" s="181">
        <f t="shared" si="30"/>
        <v>148</v>
      </c>
      <c r="F145" s="181">
        <v>547</v>
      </c>
      <c r="G145" s="58"/>
      <c r="H145" s="58">
        <f>1582-F145</f>
        <v>1035</v>
      </c>
      <c r="I145" s="58">
        <f t="shared" si="31"/>
        <v>-1513</v>
      </c>
      <c r="J145" s="58">
        <f t="shared" si="32"/>
        <v>-478</v>
      </c>
      <c r="K145" s="58"/>
      <c r="L145" s="372">
        <v>69</v>
      </c>
      <c r="M145" s="372"/>
      <c r="N145" s="372"/>
      <c r="O145" s="58"/>
      <c r="P145" s="58"/>
      <c r="Q145" s="58"/>
      <c r="R145" s="58"/>
      <c r="S145" s="58"/>
      <c r="T145" s="58"/>
      <c r="U145" s="58"/>
      <c r="V145" s="58"/>
      <c r="X145" s="58"/>
      <c r="Y145" s="58"/>
      <c r="Z145" s="58"/>
      <c r="AA145" s="58"/>
      <c r="AB145" s="58"/>
      <c r="AC145" s="58"/>
      <c r="AD145" s="58"/>
      <c r="AE145" s="58"/>
      <c r="AF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row>
    <row r="146" spans="2:63" ht="13.5" customHeight="1">
      <c r="B146" s="62" t="s">
        <v>211</v>
      </c>
      <c r="C146" s="34"/>
      <c r="D146" s="63">
        <v>228</v>
      </c>
      <c r="E146" s="262">
        <f t="shared" ref="E146" si="33">F146-D146</f>
        <v>239</v>
      </c>
      <c r="F146" s="262">
        <v>467</v>
      </c>
      <c r="G146" s="63"/>
      <c r="H146" s="63">
        <f>727-F146</f>
        <v>260</v>
      </c>
      <c r="I146" s="63">
        <f t="shared" ref="I146" si="34">J146-H146</f>
        <v>147</v>
      </c>
      <c r="J146" s="63">
        <f t="shared" ref="J146" si="35">L146-F146</f>
        <v>407</v>
      </c>
      <c r="K146" s="63"/>
      <c r="L146" s="375">
        <v>874</v>
      </c>
      <c r="M146" s="375"/>
      <c r="N146" s="375"/>
      <c r="O146" s="58"/>
      <c r="P146" s="58"/>
      <c r="Q146" s="58"/>
      <c r="R146" s="58"/>
      <c r="S146" s="58"/>
      <c r="T146" s="58"/>
      <c r="U146" s="58"/>
      <c r="V146" s="58"/>
      <c r="X146" s="58"/>
      <c r="Y146" s="58"/>
      <c r="Z146" s="58"/>
      <c r="AA146" s="58"/>
      <c r="AB146" s="58"/>
      <c r="AC146" s="58"/>
      <c r="AD146" s="58"/>
      <c r="AE146" s="58"/>
      <c r="AF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row>
    <row r="147" spans="2:63" ht="13.5" customHeight="1">
      <c r="B147" s="62" t="s">
        <v>208</v>
      </c>
      <c r="C147" s="34"/>
      <c r="D147" s="63">
        <v>66</v>
      </c>
      <c r="E147" s="262">
        <f t="shared" si="30"/>
        <v>25</v>
      </c>
      <c r="F147" s="262">
        <v>91</v>
      </c>
      <c r="G147" s="63"/>
      <c r="H147" s="63">
        <f>138-F147</f>
        <v>47</v>
      </c>
      <c r="I147" s="63">
        <f t="shared" si="31"/>
        <v>39</v>
      </c>
      <c r="J147" s="63">
        <f t="shared" si="32"/>
        <v>86</v>
      </c>
      <c r="K147" s="63"/>
      <c r="L147" s="375">
        <v>177</v>
      </c>
      <c r="M147" s="375"/>
      <c r="N147" s="375"/>
      <c r="O147" s="58"/>
      <c r="P147" s="58"/>
      <c r="Q147" s="58"/>
      <c r="R147" s="58"/>
      <c r="S147" s="58"/>
      <c r="T147" s="58"/>
      <c r="U147" s="58"/>
      <c r="V147" s="58"/>
      <c r="X147" s="58"/>
      <c r="Y147" s="58"/>
      <c r="Z147" s="58"/>
      <c r="AA147" s="58"/>
      <c r="AB147" s="58"/>
      <c r="AC147" s="58"/>
      <c r="AD147" s="58"/>
      <c r="AE147" s="58"/>
      <c r="AF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row>
    <row r="148" spans="2:63" ht="13.5" customHeight="1">
      <c r="B148" s="62" t="s">
        <v>209</v>
      </c>
      <c r="C148" s="34"/>
      <c r="D148" s="63">
        <v>93</v>
      </c>
      <c r="E148" s="262">
        <f t="shared" si="30"/>
        <v>49</v>
      </c>
      <c r="F148" s="262">
        <v>142</v>
      </c>
      <c r="G148" s="63"/>
      <c r="H148" s="63">
        <f>206-F148</f>
        <v>64</v>
      </c>
      <c r="I148" s="63">
        <f t="shared" si="31"/>
        <v>4</v>
      </c>
      <c r="J148" s="63">
        <f t="shared" si="32"/>
        <v>68</v>
      </c>
      <c r="K148" s="63"/>
      <c r="L148" s="376">
        <v>210</v>
      </c>
      <c r="M148" s="376"/>
      <c r="N148" s="376"/>
      <c r="O148" s="58"/>
      <c r="P148" s="58"/>
      <c r="Q148" s="58"/>
      <c r="R148" s="58"/>
      <c r="S148" s="58"/>
      <c r="T148" s="58"/>
      <c r="U148" s="58"/>
      <c r="V148" s="58"/>
      <c r="X148" s="58"/>
      <c r="Y148" s="58"/>
      <c r="Z148" s="58"/>
      <c r="AA148" s="58"/>
      <c r="AB148" s="58"/>
      <c r="AC148" s="58"/>
      <c r="AD148" s="58"/>
      <c r="AE148" s="58"/>
      <c r="AF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row>
    <row r="149" spans="2:63" ht="13.5" customHeight="1">
      <c r="B149" s="62" t="s">
        <v>210</v>
      </c>
      <c r="C149" s="34"/>
      <c r="D149" s="63">
        <v>7</v>
      </c>
      <c r="E149" s="262">
        <f t="shared" si="30"/>
        <v>7</v>
      </c>
      <c r="F149" s="262">
        <v>14</v>
      </c>
      <c r="G149" s="63"/>
      <c r="H149" s="63">
        <f>4-F149</f>
        <v>-10</v>
      </c>
      <c r="I149" s="63">
        <f t="shared" si="31"/>
        <v>-173</v>
      </c>
      <c r="J149" s="63">
        <f t="shared" si="32"/>
        <v>-183</v>
      </c>
      <c r="K149" s="63"/>
      <c r="L149" s="376">
        <v>-169</v>
      </c>
      <c r="M149" s="376"/>
      <c r="N149" s="376"/>
      <c r="O149" s="58"/>
      <c r="P149" s="58"/>
      <c r="Q149" s="58"/>
      <c r="R149" s="58"/>
      <c r="S149" s="58"/>
      <c r="T149" s="58"/>
      <c r="U149" s="58"/>
      <c r="V149" s="58"/>
      <c r="X149" s="58"/>
      <c r="Y149" s="58"/>
      <c r="Z149" s="58"/>
      <c r="AA149" s="58"/>
      <c r="AB149" s="58"/>
      <c r="AC149" s="58"/>
      <c r="AD149" s="58"/>
      <c r="AE149" s="58"/>
      <c r="AF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row>
    <row r="150" spans="2:63" ht="13.5" customHeight="1">
      <c r="B150" s="64" t="s">
        <v>212</v>
      </c>
      <c r="C150" s="27"/>
      <c r="D150" s="65">
        <v>249</v>
      </c>
      <c r="E150" s="263">
        <f t="shared" si="30"/>
        <v>419</v>
      </c>
      <c r="F150" s="263">
        <v>668</v>
      </c>
      <c r="G150" s="65"/>
      <c r="H150" s="65">
        <f>871-F150</f>
        <v>203</v>
      </c>
      <c r="I150" s="65">
        <f t="shared" si="31"/>
        <v>240</v>
      </c>
      <c r="J150" s="65">
        <f t="shared" si="32"/>
        <v>443</v>
      </c>
      <c r="K150" s="65"/>
      <c r="L150" s="376">
        <v>1111</v>
      </c>
      <c r="M150" s="376"/>
      <c r="N150" s="376"/>
      <c r="O150" s="58"/>
      <c r="P150" s="58"/>
      <c r="Q150" s="58"/>
      <c r="R150" s="58"/>
      <c r="S150" s="58"/>
      <c r="T150" s="58"/>
      <c r="U150" s="58"/>
      <c r="V150" s="58"/>
      <c r="X150" s="58"/>
      <c r="Y150" s="58"/>
      <c r="Z150" s="58"/>
      <c r="AA150" s="58"/>
      <c r="AB150" s="58"/>
      <c r="AC150" s="58"/>
      <c r="AD150" s="58"/>
      <c r="AE150" s="58"/>
      <c r="AF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row>
    <row r="151" spans="2:63" ht="13.5" customHeight="1">
      <c r="B151" t="s">
        <v>194</v>
      </c>
      <c r="D151" s="58">
        <v>80</v>
      </c>
      <c r="E151" s="181">
        <f t="shared" si="30"/>
        <v>78</v>
      </c>
      <c r="F151" s="181">
        <v>158</v>
      </c>
      <c r="G151" s="58"/>
      <c r="H151" s="58">
        <f>202-F151</f>
        <v>44</v>
      </c>
      <c r="I151" s="58">
        <f t="shared" si="31"/>
        <v>65</v>
      </c>
      <c r="J151" s="58">
        <f t="shared" si="32"/>
        <v>109</v>
      </c>
      <c r="K151" s="58"/>
      <c r="L151" s="371">
        <v>267</v>
      </c>
      <c r="M151" s="371"/>
      <c r="N151" s="371"/>
      <c r="O151" s="58"/>
      <c r="P151" s="58"/>
      <c r="Q151" s="58"/>
      <c r="R151" s="58"/>
      <c r="S151" s="58"/>
      <c r="T151" s="58"/>
      <c r="U151" s="58"/>
      <c r="V151" s="58"/>
      <c r="X151" s="58"/>
      <c r="Y151" s="58"/>
      <c r="Z151" s="58"/>
      <c r="AA151" s="58"/>
      <c r="AB151" s="58"/>
      <c r="AC151" s="58"/>
      <c r="AD151" s="58"/>
      <c r="AE151" s="58"/>
      <c r="AF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row>
    <row r="152" spans="2:63" ht="13.5" customHeight="1">
      <c r="B152" t="s">
        <v>193</v>
      </c>
      <c r="D152" s="58">
        <v>50</v>
      </c>
      <c r="E152" s="181">
        <f t="shared" si="30"/>
        <v>97</v>
      </c>
      <c r="F152" s="181">
        <v>147</v>
      </c>
      <c r="G152" s="58"/>
      <c r="H152" s="58">
        <f>213-F152</f>
        <v>66</v>
      </c>
      <c r="I152" s="58">
        <f t="shared" si="31"/>
        <v>38</v>
      </c>
      <c r="J152" s="58">
        <f t="shared" si="32"/>
        <v>104</v>
      </c>
      <c r="K152" s="58"/>
      <c r="L152" s="372">
        <v>251</v>
      </c>
      <c r="M152" s="372"/>
      <c r="N152" s="372"/>
      <c r="O152" s="58"/>
      <c r="P152" s="58"/>
      <c r="Q152" s="58"/>
      <c r="R152" s="58"/>
      <c r="S152" s="58"/>
      <c r="T152" s="58"/>
      <c r="U152" s="58"/>
      <c r="V152" s="58"/>
      <c r="X152" s="58"/>
      <c r="Y152" s="58"/>
      <c r="Z152" s="58"/>
      <c r="AA152" s="58"/>
      <c r="AB152" s="58"/>
      <c r="AC152" s="58"/>
      <c r="AD152" s="58"/>
      <c r="AE152" s="58"/>
      <c r="AF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row>
    <row r="153" spans="2:63" ht="13.5" customHeight="1">
      <c r="B153" t="s">
        <v>195</v>
      </c>
      <c r="D153" s="58">
        <v>164</v>
      </c>
      <c r="E153" s="181">
        <f t="shared" si="30"/>
        <v>245</v>
      </c>
      <c r="F153" s="181">
        <v>409</v>
      </c>
      <c r="G153" s="58"/>
      <c r="H153" s="58">
        <f>507-F153</f>
        <v>98</v>
      </c>
      <c r="I153" s="58">
        <f t="shared" si="31"/>
        <v>238</v>
      </c>
      <c r="J153" s="58">
        <f t="shared" si="32"/>
        <v>336</v>
      </c>
      <c r="K153" s="58"/>
      <c r="L153" s="372">
        <v>745</v>
      </c>
      <c r="M153" s="372"/>
      <c r="N153" s="372"/>
      <c r="O153" s="58"/>
      <c r="P153" s="58"/>
      <c r="Q153" s="58"/>
      <c r="R153" s="58"/>
      <c r="S153" s="58"/>
      <c r="T153" s="58"/>
      <c r="U153" s="58"/>
      <c r="V153" s="58"/>
      <c r="X153" s="58"/>
      <c r="Y153" s="58"/>
      <c r="Z153" s="58"/>
      <c r="AA153" s="58"/>
      <c r="AB153" s="58"/>
      <c r="AC153" s="58"/>
      <c r="AD153" s="58"/>
      <c r="AE153" s="58"/>
      <c r="AF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row>
    <row r="154" spans="2:63" ht="13.5" customHeight="1">
      <c r="B154" t="s">
        <v>183</v>
      </c>
      <c r="D154" s="58">
        <v>-45</v>
      </c>
      <c r="E154" s="181">
        <f t="shared" si="30"/>
        <v>-1</v>
      </c>
      <c r="F154" s="181">
        <v>-46</v>
      </c>
      <c r="G154" s="58"/>
      <c r="H154" s="58">
        <f>-51-F154</f>
        <v>-5</v>
      </c>
      <c r="I154" s="58">
        <f t="shared" si="31"/>
        <v>-101</v>
      </c>
      <c r="J154" s="58">
        <f t="shared" si="32"/>
        <v>-106</v>
      </c>
      <c r="K154" s="58"/>
      <c r="L154" s="372">
        <v>-152</v>
      </c>
      <c r="M154" s="372"/>
      <c r="N154" s="372"/>
      <c r="O154" s="58"/>
      <c r="P154" s="58"/>
      <c r="Q154" s="58"/>
      <c r="R154" s="58"/>
      <c r="S154" s="58"/>
      <c r="T154" s="58"/>
      <c r="U154" s="58"/>
      <c r="V154" s="58"/>
      <c r="X154" s="58"/>
      <c r="Y154" s="58"/>
      <c r="Z154" s="58"/>
      <c r="AA154" s="58"/>
      <c r="AB154" s="58"/>
      <c r="AC154" s="58"/>
      <c r="AD154" s="58"/>
      <c r="AE154" s="58"/>
      <c r="AF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row>
    <row r="155" spans="2:63" ht="13.5" customHeight="1">
      <c r="B155" s="66" t="s">
        <v>206</v>
      </c>
      <c r="C155" s="34"/>
      <c r="D155" s="63">
        <v>89</v>
      </c>
      <c r="E155" s="262">
        <f t="shared" si="30"/>
        <v>64</v>
      </c>
      <c r="F155" s="262">
        <v>153</v>
      </c>
      <c r="G155" s="63"/>
      <c r="H155" s="63">
        <f>345-F155</f>
        <v>192</v>
      </c>
      <c r="I155" s="161">
        <f t="shared" si="31"/>
        <v>1676</v>
      </c>
      <c r="J155" s="161">
        <f t="shared" si="32"/>
        <v>1868</v>
      </c>
      <c r="K155" s="161"/>
      <c r="L155" s="373">
        <v>2021</v>
      </c>
      <c r="M155" s="373"/>
      <c r="N155" s="373"/>
      <c r="O155" s="58"/>
      <c r="P155" s="58"/>
      <c r="Q155" s="58"/>
      <c r="R155" s="58"/>
      <c r="S155" s="58"/>
      <c r="T155" s="58"/>
      <c r="U155" s="58"/>
      <c r="V155" s="58"/>
      <c r="X155" s="58"/>
      <c r="Y155" s="58"/>
      <c r="Z155" s="58"/>
      <c r="AA155" s="58"/>
      <c r="AB155" s="58"/>
      <c r="AC155" s="58"/>
      <c r="AD155" s="58"/>
      <c r="AE155" s="58"/>
      <c r="AF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row>
    <row r="156" spans="2:63" ht="6.75" customHeight="1">
      <c r="O156" s="58"/>
      <c r="P156" s="58"/>
      <c r="Q156" s="58"/>
      <c r="R156" s="58"/>
      <c r="S156" s="58"/>
      <c r="T156" s="58"/>
      <c r="U156" s="58"/>
      <c r="V156" s="58"/>
      <c r="X156" s="58"/>
      <c r="Y156" s="58"/>
      <c r="Z156" s="58"/>
      <c r="AA156" s="58"/>
      <c r="AB156" s="58"/>
      <c r="AC156" s="58"/>
      <c r="AD156" s="58"/>
      <c r="AE156" s="58"/>
      <c r="AF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row>
    <row r="157" spans="2:63">
      <c r="O157" s="58"/>
      <c r="P157" s="58"/>
      <c r="Q157" s="58"/>
      <c r="R157" s="58"/>
      <c r="S157" s="58"/>
      <c r="T157" s="58"/>
      <c r="U157" s="58"/>
      <c r="V157" s="58"/>
      <c r="X157" s="58"/>
      <c r="Y157" s="58"/>
      <c r="Z157" s="58"/>
      <c r="AA157" s="58"/>
      <c r="AB157" s="58"/>
      <c r="AC157" s="58"/>
      <c r="AD157" s="58"/>
      <c r="AE157" s="58"/>
      <c r="AF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row>
    <row r="158" spans="2:63">
      <c r="B158" s="252" t="s">
        <v>89</v>
      </c>
    </row>
    <row r="159" spans="2:63">
      <c r="B159" t="s">
        <v>1</v>
      </c>
      <c r="D159" s="244" t="str">
        <f>D6</f>
        <v>2024年度　（2024年4月-2025年3月）</v>
      </c>
      <c r="E159" s="244"/>
      <c r="F159" s="244"/>
      <c r="G159" s="244"/>
      <c r="H159" s="244"/>
      <c r="I159" s="244"/>
      <c r="J159" s="244"/>
      <c r="K159" s="244"/>
      <c r="L159" s="244"/>
      <c r="M159" s="244"/>
      <c r="N159" s="244"/>
      <c r="O159" s="5"/>
      <c r="P159" s="5"/>
      <c r="Q159" s="5"/>
      <c r="R159" s="5"/>
      <c r="S159" s="5"/>
      <c r="T159" s="5"/>
      <c r="U159" s="5"/>
      <c r="V159" s="5"/>
      <c r="X159" s="5"/>
      <c r="Y159" s="5"/>
      <c r="Z159" s="5"/>
      <c r="AA159" s="5"/>
      <c r="AB159" s="5"/>
      <c r="AC159" s="5"/>
      <c r="AD159" s="5"/>
      <c r="AE159" s="5"/>
      <c r="AF159" s="5"/>
      <c r="AH159" s="5"/>
      <c r="AI159" s="5"/>
      <c r="AJ159" s="5"/>
      <c r="AK159" s="5"/>
      <c r="AL159" s="5"/>
      <c r="AM159" s="5"/>
      <c r="AN159" s="5"/>
      <c r="AO159" s="5"/>
      <c r="AP159" s="5"/>
      <c r="AR159" s="5"/>
      <c r="AS159" s="5"/>
      <c r="AT159" s="5"/>
      <c r="AU159" s="5"/>
      <c r="AV159" s="5"/>
      <c r="AW159" s="5"/>
      <c r="AX159" s="5"/>
      <c r="AY159" s="5"/>
      <c r="AZ159" s="5"/>
      <c r="BC159" s="5"/>
      <c r="BD159" s="5"/>
      <c r="BE159" s="5"/>
      <c r="BF159" s="5"/>
      <c r="BG159" s="5"/>
      <c r="BH159" s="5"/>
      <c r="BI159" s="5"/>
      <c r="BJ159" s="5"/>
      <c r="BK159" s="5"/>
    </row>
    <row r="160" spans="2:63" ht="3.75" customHeight="1">
      <c r="D160" s="5"/>
      <c r="E160" s="5"/>
      <c r="F160" s="5"/>
      <c r="G160" s="5"/>
      <c r="H160" s="5"/>
      <c r="I160" s="5"/>
      <c r="J160" s="5"/>
      <c r="K160" s="5"/>
      <c r="L160" s="244"/>
      <c r="M160" s="244"/>
      <c r="N160" s="244"/>
      <c r="O160" s="5"/>
      <c r="P160" s="5"/>
      <c r="Q160" s="5"/>
      <c r="R160" s="5"/>
      <c r="S160" s="5"/>
      <c r="T160" s="5"/>
      <c r="U160" s="5"/>
      <c r="V160" s="5"/>
      <c r="X160" s="5"/>
      <c r="Y160" s="5"/>
      <c r="Z160" s="5"/>
      <c r="AA160" s="5"/>
      <c r="AB160" s="5"/>
      <c r="AC160" s="5"/>
      <c r="AD160" s="5"/>
      <c r="AE160" s="5"/>
      <c r="AF160" s="5"/>
      <c r="AH160" s="5"/>
      <c r="AI160" s="5"/>
      <c r="AJ160" s="5"/>
      <c r="AK160" s="5"/>
      <c r="AL160" s="5"/>
      <c r="AM160" s="5"/>
      <c r="AN160" s="5"/>
      <c r="AO160" s="5"/>
      <c r="AP160" s="5"/>
      <c r="AR160" s="5"/>
      <c r="AS160" s="5"/>
      <c r="AT160" s="5"/>
      <c r="AU160" s="5"/>
      <c r="AV160" s="5"/>
      <c r="AW160" s="5"/>
      <c r="AX160" s="5"/>
      <c r="AY160" s="5"/>
      <c r="AZ160" s="5"/>
      <c r="BC160" s="5"/>
      <c r="BD160" s="5"/>
      <c r="BE160" s="5"/>
      <c r="BF160" s="5"/>
      <c r="BG160" s="5"/>
      <c r="BH160" s="5"/>
      <c r="BI160" s="5"/>
      <c r="BJ160" s="5"/>
      <c r="BK160" s="5"/>
    </row>
    <row r="161" spans="1:63">
      <c r="D161" s="6"/>
      <c r="E161" s="6"/>
      <c r="F161" s="7" t="s">
        <v>28</v>
      </c>
      <c r="H161" s="7"/>
      <c r="I161" s="7"/>
      <c r="J161" s="7" t="s">
        <v>29</v>
      </c>
      <c r="L161" s="368" t="s">
        <v>30</v>
      </c>
      <c r="M161" s="368"/>
      <c r="N161" s="368"/>
      <c r="P161" s="8"/>
      <c r="R161" s="8"/>
      <c r="S161" s="8"/>
      <c r="T161" s="8"/>
      <c r="V161" s="8"/>
      <c r="Z161" s="8"/>
      <c r="AB161" s="8"/>
      <c r="AC161" s="8"/>
      <c r="AD161" s="8"/>
      <c r="AF161" s="8"/>
      <c r="AJ161" s="8"/>
      <c r="AL161" s="8"/>
      <c r="AM161" s="8"/>
      <c r="AN161" s="8"/>
      <c r="AP161" s="8"/>
      <c r="AT161" s="8"/>
      <c r="AV161" s="8"/>
      <c r="AW161" s="8"/>
      <c r="AX161" s="8"/>
      <c r="AZ161" s="8"/>
      <c r="BE161" s="8"/>
      <c r="BG161" s="8"/>
      <c r="BH161" s="8"/>
      <c r="BI161" s="8"/>
      <c r="BK161" s="8"/>
    </row>
    <row r="162" spans="1:63" s="9" customFormat="1" ht="10.8">
      <c r="D162" s="9" t="s">
        <v>31</v>
      </c>
      <c r="E162" s="220"/>
      <c r="F162" s="10" t="s">
        <v>33</v>
      </c>
      <c r="H162" s="9" t="s">
        <v>171</v>
      </c>
      <c r="I162" s="220"/>
      <c r="J162" s="225"/>
      <c r="L162" s="246"/>
      <c r="M162" s="323"/>
      <c r="N162" s="246"/>
      <c r="P162" s="11"/>
      <c r="T162" s="11"/>
      <c r="V162" s="11"/>
      <c r="Z162" s="11"/>
      <c r="AD162" s="11"/>
      <c r="AF162" s="11"/>
      <c r="AJ162" s="11"/>
      <c r="AN162" s="11"/>
      <c r="AP162" s="11"/>
      <c r="AT162" s="11"/>
      <c r="AX162" s="11"/>
      <c r="AZ162" s="11"/>
      <c r="BE162" s="11"/>
      <c r="BI162" s="11"/>
      <c r="BK162" s="11"/>
    </row>
    <row r="163" spans="1:63" s="9" customFormat="1" ht="10.8">
      <c r="E163" s="220"/>
      <c r="F163" s="10"/>
      <c r="I163" s="220"/>
      <c r="J163" s="225"/>
      <c r="L163" s="246"/>
      <c r="M163" s="323"/>
      <c r="N163" s="246"/>
      <c r="P163" s="11"/>
      <c r="T163" s="11"/>
      <c r="V163" s="11"/>
      <c r="Z163" s="11"/>
      <c r="AD163" s="11"/>
      <c r="AF163" s="11"/>
      <c r="AJ163" s="11"/>
      <c r="AN163" s="11"/>
      <c r="AP163" s="11"/>
      <c r="AT163" s="11"/>
      <c r="AX163" s="11"/>
      <c r="AZ163" s="11"/>
      <c r="BE163" s="11"/>
      <c r="BI163" s="11"/>
      <c r="BK163" s="11"/>
    </row>
    <row r="164" spans="1:63" ht="5.0999999999999996" customHeight="1"/>
    <row r="165" spans="1:63" ht="13.5" customHeight="1">
      <c r="B165" s="67" t="s">
        <v>90</v>
      </c>
      <c r="C165" s="34"/>
      <c r="D165" s="34"/>
      <c r="E165" s="221"/>
      <c r="F165" s="264"/>
      <c r="G165" s="34"/>
      <c r="H165" s="34"/>
      <c r="I165" s="226"/>
      <c r="J165" s="226"/>
      <c r="K165" s="330"/>
      <c r="L165" s="330"/>
      <c r="M165" s="330"/>
      <c r="N165" s="330"/>
    </row>
    <row r="166" spans="1:63" ht="13.5" customHeight="1">
      <c r="B166" s="254" t="s">
        <v>91</v>
      </c>
      <c r="D166" s="16">
        <v>156</v>
      </c>
      <c r="E166" s="138"/>
      <c r="F166" s="186">
        <v>153</v>
      </c>
      <c r="G166" s="16"/>
      <c r="H166" s="16">
        <v>153</v>
      </c>
      <c r="I166" s="227"/>
      <c r="J166" s="227"/>
      <c r="K166" s="201"/>
      <c r="L166" s="369">
        <v>153</v>
      </c>
      <c r="M166" s="369"/>
      <c r="N166" s="369"/>
      <c r="O166" s="112"/>
      <c r="P166" s="112"/>
      <c r="Q166" s="112"/>
      <c r="R166" s="112"/>
      <c r="S166" s="112"/>
      <c r="T166" s="112"/>
      <c r="U166" s="112"/>
      <c r="V166" s="112"/>
      <c r="X166" s="112"/>
      <c r="Y166" s="112"/>
      <c r="Z166" s="112"/>
      <c r="AA166" s="112"/>
      <c r="AB166" s="112"/>
      <c r="AC166" s="112"/>
      <c r="AD166" s="112"/>
      <c r="AE166" s="112"/>
      <c r="AF166" s="112"/>
      <c r="AH166" s="112"/>
      <c r="AI166" s="112"/>
      <c r="AJ166" s="112"/>
      <c r="AK166" s="112"/>
      <c r="AL166" s="112"/>
      <c r="AM166" s="112"/>
      <c r="AN166" s="112"/>
      <c r="AO166" s="112"/>
      <c r="AP166" s="112"/>
      <c r="AQ166" s="112"/>
      <c r="AR166" s="112"/>
      <c r="AS166" s="112"/>
      <c r="AT166" s="112"/>
      <c r="AU166" s="112"/>
      <c r="AV166" s="112"/>
      <c r="AW166" s="112"/>
      <c r="AX166" s="112"/>
      <c r="AY166" s="112"/>
      <c r="AZ166" s="112"/>
      <c r="BC166" s="112"/>
      <c r="BD166" s="112"/>
      <c r="BE166" s="112"/>
      <c r="BF166" s="112"/>
      <c r="BG166" s="112"/>
      <c r="BH166" s="112"/>
      <c r="BI166" s="112"/>
      <c r="BJ166" s="112"/>
      <c r="BK166" s="112"/>
    </row>
    <row r="167" spans="1:63" ht="13.5" customHeight="1">
      <c r="B167" s="69" t="s">
        <v>207</v>
      </c>
      <c r="C167" s="34"/>
      <c r="D167" s="109"/>
      <c r="E167" s="222"/>
      <c r="F167" s="204"/>
      <c r="G167" s="109"/>
      <c r="H167" s="109"/>
      <c r="I167" s="222"/>
      <c r="J167" s="222"/>
      <c r="K167" s="204"/>
      <c r="L167" s="109"/>
      <c r="M167" s="109"/>
      <c r="N167" s="109"/>
      <c r="O167" s="112"/>
      <c r="P167" s="112"/>
      <c r="Q167" s="112"/>
      <c r="R167" s="112"/>
      <c r="S167" s="112"/>
      <c r="T167" s="112"/>
      <c r="U167" s="112"/>
      <c r="V167" s="112"/>
      <c r="X167" s="112"/>
      <c r="Y167" s="112"/>
      <c r="Z167" s="112"/>
      <c r="AA167" s="112"/>
      <c r="AB167" s="112"/>
      <c r="AC167" s="112"/>
      <c r="AD167" s="112"/>
      <c r="AE167" s="112"/>
      <c r="AF167" s="112"/>
      <c r="AH167" s="112"/>
      <c r="AI167" s="112"/>
      <c r="AJ167" s="112"/>
      <c r="AK167" s="112"/>
      <c r="AL167" s="112"/>
      <c r="AM167" s="112"/>
      <c r="AN167" s="112"/>
      <c r="AO167" s="112"/>
      <c r="AP167" s="112"/>
      <c r="AQ167" s="112"/>
      <c r="AR167" s="112"/>
      <c r="AS167" s="112"/>
      <c r="AT167" s="112"/>
      <c r="AU167" s="112"/>
      <c r="AV167" s="112"/>
      <c r="AW167" s="112"/>
      <c r="AX167" s="112"/>
      <c r="AY167" s="112"/>
      <c r="AZ167" s="112"/>
      <c r="BC167" s="112"/>
      <c r="BD167" s="112"/>
      <c r="BE167" s="112"/>
      <c r="BF167" s="112"/>
      <c r="BG167" s="112"/>
      <c r="BH167" s="112"/>
      <c r="BI167" s="112"/>
      <c r="BJ167" s="112"/>
      <c r="BK167" s="112"/>
    </row>
    <row r="168" spans="1:63" ht="13.5" customHeight="1">
      <c r="A168" s="21"/>
      <c r="B168" s="31" t="s">
        <v>215</v>
      </c>
      <c r="D168" s="16">
        <v>85</v>
      </c>
      <c r="E168" s="223"/>
      <c r="F168" s="186">
        <v>82</v>
      </c>
      <c r="G168" s="16"/>
      <c r="H168" s="16">
        <v>79</v>
      </c>
      <c r="I168" s="228"/>
      <c r="J168" s="228"/>
      <c r="K168" s="201"/>
      <c r="L168" s="367">
        <v>79</v>
      </c>
      <c r="M168" s="367"/>
      <c r="N168" s="367"/>
      <c r="O168" s="25"/>
      <c r="P168" s="112"/>
      <c r="Q168" s="112"/>
      <c r="R168" s="112"/>
      <c r="S168" s="112"/>
      <c r="T168" s="112"/>
      <c r="U168" s="112"/>
      <c r="V168" s="112"/>
      <c r="X168" s="112"/>
      <c r="Y168" s="112"/>
      <c r="Z168" s="112"/>
      <c r="AA168" s="112"/>
      <c r="AB168" s="112"/>
      <c r="AC168" s="112"/>
      <c r="AD168" s="112"/>
      <c r="AE168" s="112"/>
      <c r="AF168" s="112"/>
      <c r="AH168" s="112"/>
      <c r="AI168" s="112"/>
      <c r="AJ168" s="112"/>
      <c r="AK168" s="112"/>
      <c r="AL168" s="112"/>
      <c r="AM168" s="112"/>
      <c r="AN168" s="112"/>
      <c r="AO168" s="112"/>
      <c r="AP168" s="112"/>
      <c r="AQ168" s="112"/>
      <c r="AR168" s="112"/>
      <c r="AS168" s="112"/>
      <c r="AT168" s="112"/>
      <c r="AU168" s="112"/>
      <c r="AV168" s="112"/>
      <c r="AW168" s="112"/>
      <c r="AX168" s="112"/>
      <c r="AY168" s="112"/>
      <c r="AZ168" s="112"/>
      <c r="BC168" s="112"/>
      <c r="BD168" s="112"/>
      <c r="BE168" s="112"/>
      <c r="BF168" s="112"/>
      <c r="BG168" s="112"/>
      <c r="BH168" s="112"/>
      <c r="BI168" s="112"/>
      <c r="BJ168" s="112"/>
      <c r="BK168" s="112"/>
    </row>
    <row r="169" spans="1:63" ht="13.5" customHeight="1">
      <c r="A169" s="21"/>
      <c r="B169" s="31" t="s">
        <v>213</v>
      </c>
      <c r="D169" s="16">
        <v>1007</v>
      </c>
      <c r="E169" s="223"/>
      <c r="F169" s="186">
        <v>2078</v>
      </c>
      <c r="G169" s="16"/>
      <c r="H169" s="16">
        <v>3273</v>
      </c>
      <c r="I169" s="228"/>
      <c r="J169" s="228"/>
      <c r="K169" s="201"/>
      <c r="L169" s="369">
        <v>4435</v>
      </c>
      <c r="M169" s="369"/>
      <c r="N169" s="369"/>
      <c r="O169" s="25"/>
      <c r="P169" s="112"/>
      <c r="Q169" s="112"/>
      <c r="R169" s="112"/>
      <c r="S169" s="112"/>
      <c r="T169" s="112"/>
      <c r="U169" s="112"/>
      <c r="V169" s="112"/>
      <c r="X169" s="112"/>
      <c r="Y169" s="112"/>
      <c r="Z169" s="112"/>
      <c r="AA169" s="112"/>
      <c r="AB169" s="112"/>
      <c r="AC169" s="112"/>
      <c r="AD169" s="112"/>
      <c r="AE169" s="112"/>
      <c r="AF169" s="112"/>
      <c r="AH169" s="112"/>
      <c r="AI169" s="112"/>
      <c r="AJ169" s="112"/>
      <c r="AK169" s="112"/>
      <c r="AL169" s="112"/>
      <c r="AM169" s="112"/>
      <c r="AN169" s="112"/>
      <c r="AO169" s="112"/>
      <c r="AP169" s="112"/>
      <c r="AQ169" s="112"/>
      <c r="AR169" s="112"/>
      <c r="AS169" s="112"/>
      <c r="AT169" s="112"/>
      <c r="AU169" s="112"/>
      <c r="AV169" s="112"/>
      <c r="AW169" s="112"/>
      <c r="AX169" s="112"/>
      <c r="AY169" s="112"/>
      <c r="AZ169" s="112"/>
      <c r="BC169" s="112"/>
      <c r="BD169" s="112"/>
      <c r="BE169" s="112"/>
      <c r="BF169" s="112"/>
      <c r="BG169" s="112"/>
      <c r="BH169" s="112"/>
      <c r="BI169" s="112"/>
      <c r="BJ169" s="112"/>
      <c r="BK169" s="112"/>
    </row>
    <row r="170" spans="1:63" ht="13.5" customHeight="1">
      <c r="B170" s="62" t="s">
        <v>211</v>
      </c>
      <c r="C170" s="34"/>
      <c r="D170" s="109"/>
      <c r="E170" s="222"/>
      <c r="F170" s="204"/>
      <c r="G170" s="109"/>
      <c r="H170" s="109"/>
      <c r="I170" s="222"/>
      <c r="J170" s="222"/>
      <c r="K170" s="204"/>
      <c r="L170" s="109"/>
      <c r="M170" s="109"/>
      <c r="N170" s="109"/>
      <c r="O170" s="112"/>
      <c r="P170" s="112"/>
      <c r="Q170" s="112"/>
      <c r="R170" s="112"/>
      <c r="S170" s="112"/>
      <c r="T170" s="112"/>
      <c r="U170" s="112"/>
      <c r="V170" s="112"/>
      <c r="X170" s="112"/>
      <c r="Y170" s="112"/>
      <c r="Z170" s="112"/>
      <c r="AA170" s="112"/>
      <c r="AB170" s="112"/>
      <c r="AC170" s="112"/>
      <c r="AD170" s="112"/>
      <c r="AE170" s="112"/>
      <c r="AF170" s="112"/>
      <c r="AH170" s="112"/>
      <c r="AI170" s="112"/>
      <c r="AJ170" s="112"/>
      <c r="AK170" s="112"/>
      <c r="AL170" s="112"/>
      <c r="AM170" s="112"/>
      <c r="AN170" s="112"/>
      <c r="AO170" s="112"/>
      <c r="AP170" s="112"/>
      <c r="AQ170" s="112"/>
      <c r="AR170" s="112"/>
      <c r="AS170" s="112"/>
      <c r="AT170" s="112"/>
      <c r="AU170" s="112"/>
      <c r="AV170" s="112"/>
      <c r="AW170" s="112"/>
      <c r="AX170" s="112"/>
      <c r="AY170" s="112"/>
      <c r="AZ170" s="112"/>
      <c r="BC170" s="112"/>
      <c r="BD170" s="112"/>
      <c r="BE170" s="112"/>
      <c r="BF170" s="112"/>
      <c r="BG170" s="112"/>
      <c r="BH170" s="112"/>
      <c r="BI170" s="112"/>
      <c r="BJ170" s="112"/>
      <c r="BK170" s="112"/>
    </row>
    <row r="171" spans="1:63" ht="13.5" customHeight="1">
      <c r="B171" s="31" t="s">
        <v>214</v>
      </c>
      <c r="D171" s="16">
        <v>89</v>
      </c>
      <c r="E171" s="138"/>
      <c r="F171" s="186">
        <v>92</v>
      </c>
      <c r="G171" s="16"/>
      <c r="H171" s="16">
        <v>95</v>
      </c>
      <c r="I171" s="228"/>
      <c r="J171" s="228"/>
      <c r="K171" s="201"/>
      <c r="L171" s="367">
        <v>95</v>
      </c>
      <c r="M171" s="367"/>
      <c r="N171" s="367"/>
      <c r="O171" s="112"/>
      <c r="P171" s="112"/>
      <c r="Q171" s="112"/>
      <c r="R171" s="112"/>
      <c r="S171" s="112"/>
      <c r="T171" s="112"/>
      <c r="U171" s="112"/>
      <c r="V171" s="112"/>
      <c r="X171" s="112"/>
      <c r="Y171" s="112"/>
      <c r="Z171" s="112"/>
      <c r="AA171" s="112"/>
      <c r="AB171" s="112"/>
      <c r="AC171" s="112"/>
      <c r="AD171" s="112"/>
      <c r="AE171" s="112"/>
      <c r="AF171" s="112"/>
      <c r="AH171" s="112"/>
      <c r="AI171" s="112"/>
      <c r="AJ171" s="112"/>
      <c r="AK171" s="112"/>
      <c r="AL171" s="112"/>
      <c r="AM171" s="112"/>
      <c r="AN171" s="112"/>
      <c r="AO171" s="112"/>
      <c r="AP171" s="112"/>
      <c r="AQ171" s="112"/>
      <c r="AR171" s="112"/>
      <c r="AS171" s="112"/>
      <c r="AT171" s="112"/>
      <c r="AU171" s="112"/>
      <c r="AV171" s="112"/>
      <c r="AW171" s="112"/>
      <c r="AX171" s="112"/>
      <c r="AY171" s="112"/>
      <c r="AZ171" s="112"/>
      <c r="BC171" s="112"/>
      <c r="BD171" s="112"/>
      <c r="BE171" s="112"/>
      <c r="BF171" s="112"/>
      <c r="BG171" s="112"/>
      <c r="BH171" s="112"/>
      <c r="BI171" s="112"/>
      <c r="BJ171" s="112"/>
      <c r="BK171" s="112"/>
    </row>
    <row r="172" spans="1:63" s="179" customFormat="1" ht="13.5" customHeight="1">
      <c r="B172" s="31" t="s">
        <v>217</v>
      </c>
      <c r="C172"/>
      <c r="D172" s="16">
        <v>85</v>
      </c>
      <c r="E172" s="223"/>
      <c r="F172" s="186">
        <v>82</v>
      </c>
      <c r="G172" s="110"/>
      <c r="H172" s="16">
        <v>80</v>
      </c>
      <c r="I172" s="229"/>
      <c r="J172" s="229"/>
      <c r="K172" s="205"/>
      <c r="L172" s="374">
        <v>78</v>
      </c>
      <c r="M172" s="374"/>
      <c r="N172" s="374"/>
      <c r="O172" s="153"/>
      <c r="P172" s="153"/>
      <c r="Q172" s="153"/>
      <c r="R172" s="153"/>
      <c r="S172" s="153"/>
      <c r="T172" s="153"/>
      <c r="U172" s="153"/>
      <c r="V172" s="153"/>
      <c r="X172" s="153"/>
      <c r="Y172" s="153"/>
      <c r="Z172" s="153"/>
      <c r="AA172" s="153"/>
      <c r="AB172" s="153"/>
      <c r="AC172" s="153"/>
      <c r="AD172" s="153"/>
      <c r="AE172" s="153"/>
      <c r="AF172" s="153"/>
      <c r="AH172" s="153"/>
      <c r="AI172" s="153"/>
      <c r="AJ172" s="153"/>
      <c r="AK172" s="153"/>
      <c r="AL172" s="153"/>
      <c r="AM172" s="153"/>
      <c r="AN172" s="153"/>
      <c r="AO172" s="153"/>
      <c r="AP172" s="153"/>
      <c r="AQ172" s="153"/>
      <c r="AR172" s="153"/>
      <c r="AS172" s="153"/>
      <c r="AT172" s="153"/>
      <c r="AU172" s="153"/>
      <c r="AV172" s="153"/>
      <c r="AW172" s="153"/>
      <c r="AX172" s="153"/>
      <c r="AY172" s="153"/>
      <c r="AZ172" s="153"/>
      <c r="BC172" s="153"/>
      <c r="BD172" s="153"/>
      <c r="BE172" s="153"/>
      <c r="BF172" s="153"/>
      <c r="BG172" s="153"/>
      <c r="BH172" s="153"/>
      <c r="BI172" s="153"/>
      <c r="BJ172" s="153"/>
      <c r="BK172" s="153"/>
    </row>
    <row r="173" spans="1:63" ht="13.5" customHeight="1">
      <c r="B173" s="62" t="s">
        <v>208</v>
      </c>
      <c r="C173" s="34"/>
      <c r="D173" s="109"/>
      <c r="E173" s="222"/>
      <c r="F173" s="204"/>
      <c r="G173" s="109"/>
      <c r="H173" s="109"/>
      <c r="I173" s="222"/>
      <c r="J173" s="222"/>
      <c r="K173" s="204"/>
      <c r="L173" s="109"/>
      <c r="M173" s="109"/>
      <c r="N173" s="109"/>
      <c r="O173" s="112"/>
      <c r="P173" s="112"/>
      <c r="Q173" s="112"/>
      <c r="R173" s="112"/>
      <c r="S173" s="112"/>
      <c r="T173" s="112"/>
      <c r="U173" s="112"/>
      <c r="V173" s="112"/>
      <c r="X173" s="112"/>
      <c r="Y173" s="112"/>
      <c r="Z173" s="112"/>
      <c r="AA173" s="112"/>
      <c r="AB173" s="112"/>
      <c r="AC173" s="112"/>
      <c r="AD173" s="112"/>
      <c r="AE173" s="112"/>
      <c r="AF173" s="112"/>
      <c r="AH173" s="112"/>
      <c r="AI173" s="112"/>
      <c r="AJ173" s="112"/>
      <c r="AK173" s="112"/>
      <c r="AL173" s="112"/>
      <c r="AM173" s="112"/>
      <c r="AN173" s="112"/>
      <c r="AO173" s="112"/>
      <c r="AP173" s="112"/>
      <c r="AQ173" s="112"/>
      <c r="AR173" s="112"/>
      <c r="AS173" s="112"/>
      <c r="AT173" s="112"/>
      <c r="AU173" s="112"/>
      <c r="AV173" s="112"/>
      <c r="AW173" s="112"/>
      <c r="AX173" s="112"/>
      <c r="AY173" s="112"/>
      <c r="AZ173" s="112"/>
      <c r="BC173" s="112"/>
      <c r="BD173" s="112"/>
      <c r="BE173" s="112"/>
      <c r="BF173" s="112"/>
      <c r="BG173" s="112"/>
      <c r="BH173" s="112"/>
      <c r="BI173" s="112"/>
      <c r="BJ173" s="112"/>
      <c r="BK173" s="112"/>
    </row>
    <row r="174" spans="1:63" ht="13.5" customHeight="1">
      <c r="B174" s="31" t="s">
        <v>218</v>
      </c>
      <c r="D174" s="16">
        <v>106</v>
      </c>
      <c r="E174" s="223"/>
      <c r="F174" s="186">
        <v>103</v>
      </c>
      <c r="G174" s="16"/>
      <c r="H174" s="16">
        <v>100</v>
      </c>
      <c r="I174" s="228"/>
      <c r="J174" s="228"/>
      <c r="K174" s="201"/>
      <c r="L174" s="367">
        <v>101</v>
      </c>
      <c r="M174" s="367"/>
      <c r="N174" s="367"/>
      <c r="O174" s="112"/>
      <c r="P174" s="112"/>
      <c r="Q174" s="112"/>
      <c r="R174" s="112"/>
      <c r="S174" s="112"/>
      <c r="T174" s="112"/>
      <c r="U174" s="112"/>
      <c r="V174" s="112"/>
      <c r="X174" s="112"/>
      <c r="Y174" s="112"/>
      <c r="Z174" s="112"/>
      <c r="AA174" s="112"/>
      <c r="AB174" s="112"/>
      <c r="AC174" s="112"/>
      <c r="AD174" s="112"/>
      <c r="AE174" s="112"/>
      <c r="AF174" s="112"/>
      <c r="AH174" s="112"/>
      <c r="AI174" s="112"/>
      <c r="AJ174" s="112"/>
      <c r="AK174" s="112"/>
      <c r="AL174" s="112"/>
      <c r="AM174" s="112"/>
      <c r="AN174" s="112"/>
      <c r="AO174" s="112"/>
      <c r="AP174" s="112"/>
      <c r="AQ174" s="112"/>
      <c r="AR174" s="112"/>
      <c r="AS174" s="112"/>
      <c r="AT174" s="112"/>
      <c r="AU174" s="112"/>
      <c r="AV174" s="112"/>
      <c r="AW174" s="112"/>
      <c r="AX174" s="112"/>
      <c r="AY174" s="112"/>
      <c r="AZ174" s="112"/>
      <c r="BC174" s="112"/>
      <c r="BD174" s="112"/>
      <c r="BE174" s="112"/>
      <c r="BF174" s="112"/>
      <c r="BG174" s="112"/>
      <c r="BH174" s="112"/>
      <c r="BI174" s="112"/>
      <c r="BJ174" s="112"/>
      <c r="BK174" s="112"/>
    </row>
    <row r="175" spans="1:63" ht="13.5" customHeight="1">
      <c r="B175" s="62" t="s">
        <v>209</v>
      </c>
      <c r="C175" s="34"/>
      <c r="D175" s="109"/>
      <c r="E175" s="222"/>
      <c r="F175" s="204"/>
      <c r="G175" s="109"/>
      <c r="H175" s="109"/>
      <c r="I175" s="222"/>
      <c r="J175" s="222"/>
      <c r="K175" s="204"/>
      <c r="L175" s="109"/>
      <c r="M175" s="109"/>
      <c r="N175" s="109"/>
      <c r="O175" s="25"/>
      <c r="P175" s="112"/>
      <c r="Q175" s="153"/>
      <c r="R175" s="112"/>
      <c r="S175" s="154"/>
      <c r="T175" s="154"/>
      <c r="U175" s="154"/>
      <c r="V175" s="154"/>
      <c r="X175" s="112"/>
      <c r="Y175" s="112"/>
      <c r="Z175" s="112"/>
      <c r="AA175" s="153"/>
      <c r="AB175" s="112"/>
      <c r="AC175" s="154"/>
      <c r="AD175" s="154"/>
      <c r="AE175" s="154"/>
      <c r="AF175" s="154"/>
      <c r="AH175" s="112"/>
      <c r="AI175" s="112"/>
      <c r="AJ175" s="112"/>
      <c r="AK175" s="153"/>
      <c r="AL175" s="112"/>
      <c r="AM175" s="154"/>
      <c r="AN175" s="154"/>
      <c r="AO175" s="154"/>
      <c r="AP175" s="154"/>
      <c r="AQ175" s="154"/>
      <c r="AR175" s="154"/>
      <c r="AS175" s="154"/>
      <c r="AT175" s="154"/>
      <c r="AU175" s="154"/>
      <c r="AV175" s="214"/>
      <c r="AW175" s="154"/>
      <c r="AX175" s="154"/>
      <c r="AY175" s="154"/>
      <c r="AZ175" s="154"/>
      <c r="BA175" s="97"/>
      <c r="BB175" s="97"/>
      <c r="BC175" s="154"/>
      <c r="BD175" s="154"/>
      <c r="BE175" s="154"/>
      <c r="BF175" s="154"/>
      <c r="BG175" s="154"/>
      <c r="BH175" s="154"/>
      <c r="BI175" s="154"/>
      <c r="BJ175" s="154"/>
      <c r="BK175" s="154"/>
    </row>
    <row r="176" spans="1:63" ht="13.5" customHeight="1">
      <c r="B176" s="31" t="s">
        <v>235</v>
      </c>
      <c r="D176" s="110">
        <v>10.1</v>
      </c>
      <c r="E176" s="223"/>
      <c r="F176" s="265">
        <v>12.4</v>
      </c>
      <c r="G176" s="16"/>
      <c r="H176" s="110">
        <v>13</v>
      </c>
      <c r="I176" s="228"/>
      <c r="J176" s="228"/>
      <c r="K176" s="201"/>
      <c r="L176" s="370">
        <v>12.7</v>
      </c>
      <c r="M176" s="370"/>
      <c r="N176" s="370"/>
      <c r="O176" s="112"/>
      <c r="P176" s="112"/>
      <c r="Q176" s="112"/>
      <c r="R176" s="112"/>
      <c r="S176" s="112"/>
      <c r="T176" s="112"/>
      <c r="U176" s="112"/>
      <c r="V176" s="112"/>
      <c r="X176" s="112"/>
      <c r="Y176" s="112"/>
      <c r="Z176" s="112"/>
      <c r="AA176" s="112"/>
      <c r="AB176" s="112"/>
      <c r="AC176" s="112"/>
      <c r="AD176" s="112"/>
      <c r="AE176" s="112"/>
      <c r="AF176" s="112"/>
      <c r="AH176" s="112"/>
      <c r="AI176" s="112"/>
      <c r="AJ176" s="112"/>
      <c r="AK176" s="112"/>
      <c r="AL176" s="112"/>
      <c r="AM176" s="112"/>
      <c r="AN176" s="112"/>
      <c r="AO176" s="112"/>
      <c r="AP176" s="112"/>
      <c r="AQ176" s="112"/>
      <c r="AR176" s="112"/>
      <c r="AS176" s="112"/>
      <c r="AT176" s="112"/>
      <c r="AU176" s="112"/>
      <c r="AV176" s="112"/>
      <c r="AW176" s="112"/>
      <c r="AX176" s="112"/>
      <c r="AY176" s="112"/>
      <c r="AZ176" s="112"/>
      <c r="BC176" s="112"/>
      <c r="BD176" s="112"/>
      <c r="BE176" s="112"/>
      <c r="BF176" s="112"/>
      <c r="BG176" s="112"/>
      <c r="BH176" s="112"/>
      <c r="BI176" s="112"/>
      <c r="BJ176" s="112"/>
      <c r="BK176" s="112"/>
    </row>
    <row r="177" spans="1:63" s="179" customFormat="1" ht="13.5" customHeight="1">
      <c r="B177" s="72" t="s">
        <v>212</v>
      </c>
      <c r="C177" s="34"/>
      <c r="D177" s="109"/>
      <c r="E177" s="222"/>
      <c r="F177" s="204"/>
      <c r="G177" s="109"/>
      <c r="H177" s="109"/>
      <c r="I177" s="222"/>
      <c r="J177" s="222"/>
      <c r="K177" s="204"/>
      <c r="L177" s="109"/>
      <c r="M177" s="109"/>
      <c r="N177" s="109"/>
      <c r="O177" s="153"/>
      <c r="P177" s="153"/>
      <c r="Q177" s="153"/>
      <c r="R177" s="153"/>
      <c r="S177" s="153"/>
      <c r="T177" s="153"/>
      <c r="U177" s="153"/>
      <c r="V177" s="153"/>
      <c r="X177" s="153"/>
      <c r="Y177" s="153"/>
      <c r="Z177" s="153"/>
      <c r="AA177" s="153"/>
      <c r="AB177" s="153"/>
      <c r="AC177" s="153"/>
      <c r="AD177" s="153"/>
      <c r="AE177" s="153"/>
      <c r="AF177" s="153"/>
      <c r="AH177" s="153"/>
      <c r="AI177" s="153"/>
      <c r="AJ177" s="153"/>
      <c r="AK177" s="153"/>
      <c r="AL177" s="153"/>
      <c r="AM177" s="153"/>
      <c r="AN177" s="153"/>
      <c r="AO177" s="153"/>
      <c r="AP177" s="153"/>
      <c r="AQ177" s="153"/>
      <c r="AR177" s="153"/>
      <c r="AS177" s="153"/>
      <c r="AT177" s="153"/>
      <c r="AU177" s="153"/>
      <c r="AV177" s="153"/>
      <c r="AW177" s="153"/>
      <c r="AX177" s="153"/>
      <c r="AY177" s="153"/>
      <c r="AZ177" s="153"/>
      <c r="BC177" s="153"/>
      <c r="BD177" s="153"/>
      <c r="BE177" s="153"/>
      <c r="BF177" s="153"/>
      <c r="BG177" s="153"/>
      <c r="BH177" s="153"/>
      <c r="BI177" s="153"/>
      <c r="BJ177" s="153"/>
      <c r="BK177" s="153"/>
    </row>
    <row r="178" spans="1:63" s="179" customFormat="1" ht="13.5" customHeight="1">
      <c r="B178" s="31" t="s">
        <v>216</v>
      </c>
      <c r="C178"/>
      <c r="D178" s="16">
        <v>442</v>
      </c>
      <c r="E178" s="138"/>
      <c r="F178" s="186">
        <v>430</v>
      </c>
      <c r="G178" s="16"/>
      <c r="H178" s="16">
        <v>425</v>
      </c>
      <c r="I178" s="228"/>
      <c r="J178" s="228"/>
      <c r="K178" s="201"/>
      <c r="L178" s="367">
        <v>425</v>
      </c>
      <c r="M178" s="367"/>
      <c r="N178" s="367"/>
      <c r="O178" s="153"/>
      <c r="P178" s="153"/>
      <c r="Q178" s="153"/>
      <c r="R178" s="153"/>
      <c r="S178" s="153"/>
      <c r="T178" s="153"/>
      <c r="U178" s="153"/>
      <c r="V178" s="153"/>
      <c r="X178" s="153"/>
      <c r="Y178" s="153"/>
      <c r="Z178" s="153"/>
      <c r="AA178" s="153"/>
      <c r="AB178" s="153"/>
      <c r="AC178" s="153"/>
      <c r="AD178" s="153"/>
      <c r="AE178" s="153"/>
      <c r="AF178" s="153"/>
      <c r="AH178" s="153"/>
      <c r="AI178" s="153"/>
      <c r="AJ178" s="153"/>
      <c r="AK178" s="153"/>
      <c r="AL178" s="153"/>
      <c r="AM178" s="153"/>
      <c r="AN178" s="153"/>
      <c r="AO178" s="153"/>
      <c r="AP178" s="153"/>
      <c r="AQ178" s="153"/>
      <c r="AR178" s="153"/>
      <c r="AS178" s="153"/>
      <c r="AT178" s="153"/>
      <c r="AU178" s="153"/>
      <c r="AV178" s="153"/>
      <c r="AW178" s="153"/>
      <c r="AX178" s="153"/>
      <c r="AY178" s="153"/>
      <c r="AZ178" s="153"/>
      <c r="BC178" s="153"/>
      <c r="BD178" s="153"/>
      <c r="BE178" s="153"/>
      <c r="BF178" s="153"/>
      <c r="BG178" s="153"/>
      <c r="BH178" s="153"/>
      <c r="BI178" s="153"/>
      <c r="BJ178" s="153"/>
      <c r="BK178" s="153"/>
    </row>
    <row r="179" spans="1:63" s="179" customFormat="1" ht="13.5" hidden="1" customHeight="1">
      <c r="B179" s="180" t="s">
        <v>95</v>
      </c>
      <c r="D179" s="110">
        <v>2.7</v>
      </c>
      <c r="E179" s="224"/>
      <c r="F179" s="265">
        <v>2.8</v>
      </c>
      <c r="G179" s="110"/>
      <c r="H179" s="281">
        <v>2.9</v>
      </c>
      <c r="I179" s="230"/>
      <c r="J179" s="230"/>
      <c r="K179" s="206"/>
      <c r="L179" s="153"/>
      <c r="M179" s="110"/>
      <c r="N179" s="153"/>
      <c r="O179" s="153"/>
      <c r="P179" s="153"/>
      <c r="Q179" s="153"/>
      <c r="R179" s="153"/>
      <c r="S179" s="153"/>
      <c r="T179" s="153"/>
      <c r="U179" s="153"/>
      <c r="V179" s="153"/>
      <c r="X179" s="153"/>
      <c r="Y179" s="153"/>
      <c r="Z179" s="153"/>
      <c r="AA179" s="153"/>
      <c r="AB179" s="153"/>
      <c r="AC179" s="153"/>
      <c r="AD179" s="153"/>
      <c r="AE179" s="153"/>
      <c r="AF179" s="153"/>
      <c r="AH179" s="153"/>
      <c r="AI179" s="153"/>
      <c r="AJ179" s="153"/>
      <c r="AK179" s="153"/>
      <c r="AL179" s="153"/>
      <c r="AM179" s="153"/>
      <c r="AN179" s="153"/>
      <c r="AO179" s="153"/>
      <c r="AP179" s="153"/>
      <c r="AQ179" s="153"/>
      <c r="AR179" s="153"/>
      <c r="AS179" s="153"/>
      <c r="AT179" s="153"/>
      <c r="AU179" s="153"/>
      <c r="AV179" s="153"/>
      <c r="AW179" s="153"/>
      <c r="AX179" s="153"/>
      <c r="AY179" s="153"/>
      <c r="AZ179" s="153"/>
      <c r="BC179" s="153"/>
      <c r="BD179" s="153"/>
      <c r="BE179" s="153"/>
      <c r="BF179" s="153"/>
      <c r="BG179" s="153"/>
      <c r="BH179" s="153"/>
      <c r="BI179" s="153"/>
      <c r="BJ179" s="153"/>
      <c r="BK179" s="153"/>
    </row>
    <row r="181" spans="1:63">
      <c r="A181" s="4"/>
      <c r="B181" s="31" t="s">
        <v>225</v>
      </c>
    </row>
    <row r="182" spans="1:63">
      <c r="B182" s="31" t="s">
        <v>234</v>
      </c>
    </row>
  </sheetData>
  <mergeCells count="107">
    <mergeCell ref="P3:AB4"/>
    <mergeCell ref="B4:N4"/>
    <mergeCell ref="I39:I40"/>
    <mergeCell ref="J39:J40"/>
    <mergeCell ref="L39:L40"/>
    <mergeCell ref="I42:I43"/>
    <mergeCell ref="J42:J43"/>
    <mergeCell ref="L42:L43"/>
    <mergeCell ref="L14:N14"/>
    <mergeCell ref="L52:N53"/>
    <mergeCell ref="L8:N8"/>
    <mergeCell ref="L10:N10"/>
    <mergeCell ref="L12:N12"/>
    <mergeCell ref="L13:N13"/>
    <mergeCell ref="L15:N15"/>
    <mergeCell ref="L16:N16"/>
    <mergeCell ref="L17:N17"/>
    <mergeCell ref="L18:N18"/>
    <mergeCell ref="L19:N19"/>
    <mergeCell ref="L20:N20"/>
    <mergeCell ref="L21:N21"/>
    <mergeCell ref="L22:N22"/>
    <mergeCell ref="L23:N23"/>
    <mergeCell ref="L24:N24"/>
    <mergeCell ref="L68:N68"/>
    <mergeCell ref="L70:N70"/>
    <mergeCell ref="L72:N72"/>
    <mergeCell ref="L54:N54"/>
    <mergeCell ref="L56:N56"/>
    <mergeCell ref="L57:N57"/>
    <mergeCell ref="L58:N58"/>
    <mergeCell ref="L73:N73"/>
    <mergeCell ref="L75:N75"/>
    <mergeCell ref="L59:N59"/>
    <mergeCell ref="L60:N60"/>
    <mergeCell ref="L61:N61"/>
    <mergeCell ref="L62:N62"/>
    <mergeCell ref="L63:N63"/>
    <mergeCell ref="L85:N85"/>
    <mergeCell ref="L86:N86"/>
    <mergeCell ref="L87:N87"/>
    <mergeCell ref="L94:N94"/>
    <mergeCell ref="L78:N78"/>
    <mergeCell ref="L79:N79"/>
    <mergeCell ref="L80:N80"/>
    <mergeCell ref="L83:N83"/>
    <mergeCell ref="L84:N84"/>
    <mergeCell ref="L92:N93"/>
    <mergeCell ref="L102:N102"/>
    <mergeCell ref="L103:N103"/>
    <mergeCell ref="L105:N105"/>
    <mergeCell ref="L106:N106"/>
    <mergeCell ref="L96:N96"/>
    <mergeCell ref="L97:N97"/>
    <mergeCell ref="L99:N99"/>
    <mergeCell ref="L100:N100"/>
    <mergeCell ref="L101:N101"/>
    <mergeCell ref="L98:N98"/>
    <mergeCell ref="L119:N119"/>
    <mergeCell ref="L120:N120"/>
    <mergeCell ref="L121:N121"/>
    <mergeCell ref="L123:N123"/>
    <mergeCell ref="L125:N125"/>
    <mergeCell ref="L107:N107"/>
    <mergeCell ref="L112:N112"/>
    <mergeCell ref="L114:N114"/>
    <mergeCell ref="L115:N115"/>
    <mergeCell ref="L117:N117"/>
    <mergeCell ref="L118:N118"/>
    <mergeCell ref="L108:N108"/>
    <mergeCell ref="L109:N109"/>
    <mergeCell ref="L110:N110"/>
    <mergeCell ref="L111:N111"/>
    <mergeCell ref="L116:N116"/>
    <mergeCell ref="L129:N129"/>
    <mergeCell ref="L130:N130"/>
    <mergeCell ref="L132:N132"/>
    <mergeCell ref="L139:N139"/>
    <mergeCell ref="L137:N138"/>
    <mergeCell ref="L124:N124"/>
    <mergeCell ref="L126:N126"/>
    <mergeCell ref="L127:N127"/>
    <mergeCell ref="L128:N128"/>
    <mergeCell ref="L147:N147"/>
    <mergeCell ref="L148:N148"/>
    <mergeCell ref="L149:N149"/>
    <mergeCell ref="L150:N150"/>
    <mergeCell ref="L141:N141"/>
    <mergeCell ref="L142:N142"/>
    <mergeCell ref="L143:N143"/>
    <mergeCell ref="L145:N145"/>
    <mergeCell ref="L144:N144"/>
    <mergeCell ref="L146:N146"/>
    <mergeCell ref="L178:N178"/>
    <mergeCell ref="L161:N161"/>
    <mergeCell ref="L166:N166"/>
    <mergeCell ref="L168:N168"/>
    <mergeCell ref="L169:N169"/>
    <mergeCell ref="L176:N176"/>
    <mergeCell ref="L174:N174"/>
    <mergeCell ref="L151:N151"/>
    <mergeCell ref="L152:N152"/>
    <mergeCell ref="L153:N153"/>
    <mergeCell ref="L154:N154"/>
    <mergeCell ref="L155:N155"/>
    <mergeCell ref="L171:N171"/>
    <mergeCell ref="L172:N172"/>
  </mergeCells>
  <phoneticPr fontId="3"/>
  <printOptions horizontalCentered="1" verticalCentered="1"/>
  <pageMargins left="0" right="0" top="0" bottom="0" header="0" footer="0"/>
  <pageSetup paperSize="9" scale="72" fitToHeight="0" orientation="portrait" r:id="rId1"/>
  <headerFooter alignWithMargins="0">
    <oddHeader>&amp;R&amp;"Calibri"&amp;14&amp;K000000 【社内限り】&amp;1#_x000D_</oddHeader>
    <oddFooter>&amp;L（C)JX Holdings, Inc.</oddFooter>
  </headerFooter>
  <rowBreaks count="1" manualBreakCount="1">
    <brk id="87" max="1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3F167-5133-4DD2-8C5A-2C2F36904830}">
  <sheetPr>
    <tabColor theme="5" tint="0.79998168889431442"/>
  </sheetPr>
  <dimension ref="A1:BN165"/>
  <sheetViews>
    <sheetView showGridLines="0" view="pageBreakPreview" zoomScale="115" zoomScaleNormal="100" zoomScaleSheetLayoutView="115" workbookViewId="0">
      <pane xSplit="3" ySplit="2" topLeftCell="D48" activePane="bottomRight" state="frozen"/>
      <selection activeCell="F86" sqref="F86"/>
      <selection pane="topRight" activeCell="F86" sqref="F86"/>
      <selection pane="bottomLeft" activeCell="F86" sqref="F86"/>
      <selection pane="bottomRight" activeCell="J59" sqref="J59"/>
    </sheetView>
  </sheetViews>
  <sheetFormatPr defaultRowHeight="13.2"/>
  <cols>
    <col min="1" max="1" width="2" customWidth="1"/>
    <col min="2" max="2" width="48" customWidth="1"/>
    <col min="3" max="3" width="0.88671875" customWidth="1"/>
    <col min="4" max="5" width="10.44140625" customWidth="1"/>
    <col min="6" max="6" width="12.44140625" bestFit="1" customWidth="1"/>
    <col min="7" max="7" width="1.21875" customWidth="1"/>
    <col min="8" max="10" width="10.77734375" customWidth="1"/>
    <col min="11" max="11" width="1.33203125" customWidth="1"/>
    <col min="12" max="12" width="10.44140625" customWidth="1"/>
    <col min="13" max="15" width="0.88671875" customWidth="1"/>
    <col min="16" max="18" width="10.6640625" customWidth="1"/>
    <col min="19" max="19" width="0.88671875" customWidth="1"/>
    <col min="20" max="22" width="10.6640625" customWidth="1"/>
    <col min="23" max="23" width="0.88671875" customWidth="1"/>
    <col min="24" max="24" width="10.6640625" customWidth="1"/>
    <col min="25" max="25" width="0.88671875" customWidth="1"/>
    <col min="26" max="28" width="10.6640625" customWidth="1"/>
    <col min="29" max="29" width="0.88671875" customWidth="1"/>
    <col min="30" max="32" width="10.6640625" customWidth="1"/>
    <col min="33" max="33" width="0.88671875" customWidth="1"/>
    <col min="34" max="34" width="10.6640625" customWidth="1"/>
    <col min="35" max="35" width="0.88671875" customWidth="1"/>
    <col min="36" max="38" width="10.6640625" customWidth="1"/>
    <col min="39" max="39" width="0.88671875" customWidth="1"/>
    <col min="40" max="42" width="10.6640625" customWidth="1"/>
    <col min="43" max="43" width="0.88671875" customWidth="1"/>
    <col min="44" max="44" width="10.6640625" customWidth="1"/>
    <col min="45" max="45" width="0.88671875" customWidth="1"/>
    <col min="46" max="48" width="10.6640625" customWidth="1"/>
    <col min="49" max="49" width="0.88671875" customWidth="1"/>
    <col min="50" max="52" width="10.6640625" customWidth="1"/>
    <col min="53" max="53" width="0.88671875" customWidth="1"/>
    <col min="54" max="54" width="10.6640625" customWidth="1"/>
    <col min="55" max="55" width="0" hidden="1" customWidth="1"/>
    <col min="56" max="56" width="0.88671875" customWidth="1"/>
    <col min="57" max="59" width="10.6640625" customWidth="1"/>
    <col min="60" max="60" width="0.88671875" customWidth="1"/>
    <col min="61" max="63" width="10.6640625" customWidth="1"/>
    <col min="64" max="64" width="0.88671875" customWidth="1"/>
    <col min="65" max="65" width="10.6640625" customWidth="1"/>
  </cols>
  <sheetData>
    <row r="1" spans="1:65" ht="16.5" customHeight="1"/>
    <row r="2" spans="1:65" s="3" customFormat="1" ht="19.5" customHeight="1">
      <c r="A2" s="2"/>
      <c r="B2" s="247" t="s">
        <v>179</v>
      </c>
      <c r="C2" s="248"/>
      <c r="D2" s="248"/>
      <c r="E2" s="248"/>
      <c r="F2" s="248"/>
      <c r="G2" s="248"/>
      <c r="H2" s="248"/>
      <c r="I2" s="248"/>
      <c r="J2" s="248"/>
      <c r="K2" s="248"/>
      <c r="L2" s="248"/>
      <c r="M2" s="248"/>
      <c r="N2" s="248"/>
      <c r="O2"/>
      <c r="P2"/>
      <c r="Q2"/>
      <c r="R2"/>
      <c r="Y2"/>
      <c r="Z2"/>
      <c r="AA2"/>
      <c r="AB2"/>
      <c r="AI2"/>
      <c r="AJ2"/>
      <c r="AK2"/>
      <c r="AL2"/>
      <c r="BE2"/>
      <c r="BF2"/>
      <c r="BG2"/>
    </row>
    <row r="3" spans="1:65" s="3" customFormat="1" ht="15.6" customHeight="1">
      <c r="A3" s="2"/>
      <c r="B3" s="303" t="s">
        <v>220</v>
      </c>
    </row>
    <row r="4" spans="1:65" s="3" customFormat="1" ht="16.2">
      <c r="A4" s="250" t="s">
        <v>0</v>
      </c>
    </row>
    <row r="5" spans="1:65">
      <c r="B5" t="s">
        <v>1</v>
      </c>
      <c r="D5" s="244" t="s">
        <v>221</v>
      </c>
      <c r="E5" s="244"/>
      <c r="F5" s="244"/>
      <c r="G5" s="244"/>
      <c r="H5" s="244"/>
      <c r="I5" s="244"/>
      <c r="J5" s="244"/>
      <c r="K5" s="244"/>
      <c r="L5" s="244"/>
      <c r="P5" s="5"/>
      <c r="Q5" s="5"/>
      <c r="R5" s="5"/>
      <c r="S5" s="5"/>
      <c r="T5" s="5"/>
      <c r="U5" s="5"/>
      <c r="V5" s="5"/>
      <c r="W5" s="5"/>
      <c r="X5" s="5"/>
      <c r="Z5" s="5"/>
      <c r="AA5" s="5"/>
      <c r="AB5" s="5"/>
      <c r="AC5" s="5"/>
      <c r="AD5" s="5"/>
      <c r="AE5" s="5"/>
      <c r="AF5" s="5"/>
      <c r="AG5" s="5"/>
      <c r="AH5" s="5"/>
      <c r="AJ5" s="5"/>
      <c r="AK5" s="5"/>
      <c r="AL5" s="5"/>
      <c r="AM5" s="5"/>
      <c r="AN5" s="5"/>
      <c r="AO5" s="5"/>
      <c r="AP5" s="5"/>
      <c r="AQ5" s="5"/>
      <c r="AR5" s="5"/>
      <c r="AT5" s="5"/>
      <c r="AU5" s="5"/>
      <c r="AV5" s="5"/>
      <c r="AW5" s="5"/>
      <c r="AX5" s="5"/>
      <c r="AY5" s="5"/>
      <c r="AZ5" s="5"/>
      <c r="BA5" s="5"/>
      <c r="BB5" s="5"/>
      <c r="BE5" s="5"/>
      <c r="BF5" s="5"/>
      <c r="BG5" s="5"/>
      <c r="BH5" s="5"/>
      <c r="BI5" s="5"/>
      <c r="BJ5" s="5"/>
      <c r="BK5" s="5"/>
      <c r="BL5" s="5"/>
      <c r="BM5" s="5"/>
    </row>
    <row r="6" spans="1:65" ht="3.75" customHeight="1">
      <c r="D6" s="5"/>
      <c r="E6" s="5"/>
      <c r="F6" s="5"/>
      <c r="G6" s="5"/>
      <c r="H6" s="5"/>
      <c r="I6" s="5"/>
      <c r="J6" s="5"/>
      <c r="K6" s="5"/>
      <c r="L6" s="244"/>
      <c r="P6" s="5"/>
      <c r="Q6" s="5"/>
      <c r="R6" s="5"/>
      <c r="S6" s="5"/>
      <c r="T6" s="5"/>
      <c r="U6" s="5"/>
      <c r="V6" s="5"/>
      <c r="W6" s="5"/>
      <c r="X6" s="5"/>
      <c r="Z6" s="5"/>
      <c r="AA6" s="5"/>
      <c r="AB6" s="5"/>
      <c r="AC6" s="5"/>
      <c r="AD6" s="5"/>
      <c r="AE6" s="5"/>
      <c r="AF6" s="5"/>
      <c r="AG6" s="5"/>
      <c r="AH6" s="5"/>
      <c r="AJ6" s="5"/>
      <c r="AK6" s="5"/>
      <c r="AL6" s="5"/>
      <c r="AM6" s="5"/>
      <c r="AN6" s="5"/>
      <c r="AO6" s="5"/>
      <c r="AP6" s="5"/>
      <c r="AQ6" s="5"/>
      <c r="AR6" s="5"/>
      <c r="AT6" s="5"/>
      <c r="AU6" s="5"/>
      <c r="AV6" s="5"/>
      <c r="AW6" s="5"/>
      <c r="AX6" s="5"/>
      <c r="AY6" s="5"/>
      <c r="AZ6" s="5"/>
      <c r="BA6" s="5"/>
      <c r="BB6" s="5"/>
      <c r="BE6" s="5"/>
      <c r="BF6" s="5"/>
      <c r="BG6" s="5"/>
      <c r="BH6" s="5"/>
      <c r="BI6" s="5"/>
      <c r="BJ6" s="5"/>
      <c r="BK6" s="5"/>
      <c r="BL6" s="5"/>
      <c r="BM6" s="5"/>
    </row>
    <row r="7" spans="1:65">
      <c r="D7" s="6"/>
      <c r="E7" s="6"/>
      <c r="F7" s="7" t="s">
        <v>2</v>
      </c>
      <c r="H7" s="7"/>
      <c r="I7" s="7"/>
      <c r="J7" s="7" t="s">
        <v>3</v>
      </c>
      <c r="L7" s="245" t="s">
        <v>4</v>
      </c>
      <c r="R7" s="8"/>
      <c r="T7" s="8"/>
      <c r="U7" s="8"/>
      <c r="V7" s="8"/>
      <c r="X7" s="8"/>
      <c r="AB7" s="8"/>
      <c r="AD7" s="8"/>
      <c r="AE7" s="8"/>
      <c r="AF7" s="8"/>
      <c r="AH7" s="8"/>
      <c r="AL7" s="8"/>
      <c r="AN7" s="8"/>
      <c r="AO7" s="8"/>
      <c r="AP7" s="8"/>
      <c r="AR7" s="8"/>
      <c r="AV7" s="8"/>
      <c r="AX7" s="8"/>
      <c r="AY7" s="8"/>
      <c r="AZ7" s="8"/>
      <c r="BB7" s="8"/>
      <c r="BG7" s="8"/>
      <c r="BI7" s="8"/>
      <c r="BJ7" s="8"/>
      <c r="BK7" s="8"/>
      <c r="BM7" s="8"/>
    </row>
    <row r="8" spans="1:65" s="9" customFormat="1" ht="10.8">
      <c r="D8" s="9" t="s">
        <v>5</v>
      </c>
      <c r="E8" s="9" t="s">
        <v>6</v>
      </c>
      <c r="F8" s="10" t="s">
        <v>6</v>
      </c>
      <c r="H8" s="9" t="s">
        <v>7</v>
      </c>
      <c r="I8" s="9" t="s">
        <v>8</v>
      </c>
      <c r="J8" s="10" t="s">
        <v>9</v>
      </c>
      <c r="L8" s="246"/>
      <c r="R8" s="11"/>
      <c r="V8" s="11"/>
      <c r="X8" s="11"/>
      <c r="AB8" s="11"/>
      <c r="AF8" s="11"/>
      <c r="AH8" s="11"/>
      <c r="AL8" s="11"/>
      <c r="AP8" s="11"/>
      <c r="AR8" s="11"/>
      <c r="AV8" s="11"/>
      <c r="AZ8" s="11"/>
      <c r="BB8" s="11"/>
      <c r="BG8" s="11"/>
      <c r="BK8" s="11"/>
      <c r="BM8" s="11"/>
    </row>
    <row r="9" spans="1:65" s="9" customFormat="1" ht="10.8">
      <c r="D9" s="9" t="s">
        <v>10</v>
      </c>
      <c r="E9" s="9" t="s">
        <v>11</v>
      </c>
      <c r="F9" s="10" t="s">
        <v>11</v>
      </c>
      <c r="H9" s="9" t="s">
        <v>98</v>
      </c>
      <c r="I9" s="9" t="s">
        <v>99</v>
      </c>
      <c r="J9" s="10" t="s">
        <v>14</v>
      </c>
      <c r="L9" s="246" t="s">
        <v>15</v>
      </c>
      <c r="R9" s="11"/>
      <c r="V9" s="11"/>
      <c r="X9" s="11"/>
      <c r="AB9" s="11"/>
      <c r="AF9" s="11"/>
      <c r="AH9" s="11"/>
      <c r="AL9" s="11"/>
      <c r="AP9" s="11"/>
      <c r="AR9" s="11"/>
      <c r="AV9" s="11"/>
      <c r="AZ9" s="11"/>
      <c r="BB9" s="11"/>
      <c r="BG9" s="11"/>
      <c r="BK9" s="11"/>
      <c r="BM9" s="11"/>
    </row>
    <row r="10" spans="1:65" s="3" customFormat="1" ht="5.0999999999999996" customHeight="1">
      <c r="A10" s="2"/>
    </row>
    <row r="11" spans="1:65" ht="13.5" customHeight="1" thickBot="1">
      <c r="B11" s="12" t="s">
        <v>138</v>
      </c>
      <c r="C11" s="12"/>
      <c r="D11" s="253">
        <v>103057</v>
      </c>
      <c r="E11" s="137"/>
      <c r="F11" s="185">
        <v>103460</v>
      </c>
      <c r="G11" s="113"/>
      <c r="H11" s="285">
        <v>103345</v>
      </c>
      <c r="I11" s="286"/>
      <c r="J11" s="144"/>
      <c r="K11" s="155"/>
      <c r="L11" s="155">
        <v>101365</v>
      </c>
      <c r="M11" s="12"/>
      <c r="P11" s="112"/>
      <c r="Q11" s="112"/>
      <c r="R11" s="112"/>
      <c r="S11" s="136"/>
      <c r="T11" s="112"/>
      <c r="U11" s="136"/>
      <c r="V11" s="136"/>
      <c r="W11" s="154"/>
      <c r="X11" s="154"/>
      <c r="Z11" s="112"/>
      <c r="AA11" s="112"/>
      <c r="AB11" s="112"/>
      <c r="AC11" s="136"/>
      <c r="AD11" s="112"/>
      <c r="AE11" s="136"/>
      <c r="AF11" s="136"/>
      <c r="AG11" s="154"/>
      <c r="AH11" s="154"/>
      <c r="AJ11" s="112"/>
      <c r="AK11" s="112"/>
      <c r="AL11" s="112"/>
      <c r="AM11" s="136"/>
      <c r="AN11" s="112"/>
      <c r="AO11" s="136"/>
      <c r="AP11" s="136"/>
      <c r="AQ11" s="154"/>
      <c r="AR11" s="154"/>
      <c r="AT11" s="112"/>
      <c r="AU11" s="112"/>
      <c r="AV11" s="112"/>
      <c r="AW11" s="136"/>
      <c r="AX11" s="112"/>
      <c r="AY11" s="136"/>
      <c r="AZ11" s="136"/>
      <c r="BA11" s="154"/>
      <c r="BB11" s="210"/>
      <c r="BE11" s="112"/>
      <c r="BF11" s="112"/>
      <c r="BG11" s="112"/>
      <c r="BH11" s="136"/>
      <c r="BI11" s="112"/>
      <c r="BJ11" s="136"/>
      <c r="BK11" s="136"/>
      <c r="BL11" s="154"/>
      <c r="BM11" s="154"/>
    </row>
    <row r="12" spans="1:65" ht="13.5" customHeight="1">
      <c r="B12" t="s">
        <v>17</v>
      </c>
      <c r="D12" s="16">
        <v>51142</v>
      </c>
      <c r="E12" s="138"/>
      <c r="F12" s="186">
        <v>49388</v>
      </c>
      <c r="G12" s="20"/>
      <c r="H12" s="287">
        <v>49805</v>
      </c>
      <c r="I12" s="288"/>
      <c r="J12" s="145"/>
      <c r="K12" s="94"/>
      <c r="L12" s="94">
        <v>46665</v>
      </c>
      <c r="P12" s="112"/>
      <c r="Q12" s="112"/>
      <c r="R12" s="112"/>
      <c r="S12" s="136"/>
      <c r="T12" s="112"/>
      <c r="U12" s="136"/>
      <c r="V12" s="136"/>
      <c r="W12" s="154"/>
      <c r="X12" s="154"/>
      <c r="Z12" s="112"/>
      <c r="AA12" s="112"/>
      <c r="AB12" s="112"/>
      <c r="AC12" s="136"/>
      <c r="AD12" s="112"/>
      <c r="AE12" s="136"/>
      <c r="AF12" s="136"/>
      <c r="AG12" s="154"/>
      <c r="AH12" s="154"/>
      <c r="AJ12" s="112"/>
      <c r="AK12" s="112"/>
      <c r="AL12" s="112"/>
      <c r="AM12" s="136"/>
      <c r="AN12" s="112"/>
      <c r="AO12" s="136"/>
      <c r="AP12" s="136"/>
      <c r="AQ12" s="154"/>
      <c r="AR12" s="154"/>
      <c r="AT12" s="112"/>
      <c r="AU12" s="112"/>
      <c r="AV12" s="112"/>
      <c r="AW12" s="136"/>
      <c r="AX12" s="112"/>
      <c r="AY12" s="136"/>
      <c r="AZ12" s="136"/>
      <c r="BA12" s="154"/>
      <c r="BB12" s="210"/>
      <c r="BE12" s="112"/>
      <c r="BF12" s="112"/>
      <c r="BG12" s="112"/>
      <c r="BH12" s="136"/>
      <c r="BI12" s="112"/>
      <c r="BJ12" s="136"/>
      <c r="BK12" s="136"/>
      <c r="BL12" s="154"/>
      <c r="BM12" s="154"/>
    </row>
    <row r="13" spans="1:65" ht="13.5" customHeight="1">
      <c r="B13" t="s">
        <v>139</v>
      </c>
      <c r="D13" s="16">
        <v>51915</v>
      </c>
      <c r="E13" s="138"/>
      <c r="F13" s="186">
        <v>54072</v>
      </c>
      <c r="G13" s="20"/>
      <c r="H13" s="287">
        <v>53540</v>
      </c>
      <c r="I13" s="288"/>
      <c r="J13" s="145"/>
      <c r="K13" s="94"/>
      <c r="L13" s="94">
        <v>54700</v>
      </c>
      <c r="P13" s="112"/>
      <c r="Q13" s="112"/>
      <c r="R13" s="112"/>
      <c r="S13" s="136"/>
      <c r="T13" s="112"/>
      <c r="U13" s="136"/>
      <c r="V13" s="136"/>
      <c r="W13" s="154"/>
      <c r="X13" s="154"/>
      <c r="Z13" s="112"/>
      <c r="AA13" s="112"/>
      <c r="AB13" s="112"/>
      <c r="AC13" s="136"/>
      <c r="AD13" s="112"/>
      <c r="AE13" s="136"/>
      <c r="AF13" s="136"/>
      <c r="AG13" s="154"/>
      <c r="AH13" s="154"/>
      <c r="AJ13" s="112"/>
      <c r="AK13" s="112"/>
      <c r="AL13" s="112"/>
      <c r="AM13" s="136"/>
      <c r="AN13" s="112"/>
      <c r="AO13" s="136"/>
      <c r="AP13" s="136"/>
      <c r="AQ13" s="154"/>
      <c r="AR13" s="154"/>
      <c r="AT13" s="112"/>
      <c r="AU13" s="112"/>
      <c r="AV13" s="112"/>
      <c r="AW13" s="136"/>
      <c r="AX13" s="112"/>
      <c r="AY13" s="136"/>
      <c r="AZ13" s="136"/>
      <c r="BA13" s="154"/>
      <c r="BB13" s="210"/>
      <c r="BE13" s="112"/>
      <c r="BF13" s="112"/>
      <c r="BG13" s="112"/>
      <c r="BH13" s="136"/>
      <c r="BI13" s="112"/>
      <c r="BJ13" s="136"/>
      <c r="BK13" s="136"/>
      <c r="BL13" s="154"/>
      <c r="BM13" s="154"/>
    </row>
    <row r="14" spans="1:65" ht="13.5" customHeight="1">
      <c r="B14" t="s">
        <v>19</v>
      </c>
      <c r="D14" s="16">
        <v>34876</v>
      </c>
      <c r="E14" s="138"/>
      <c r="F14" s="186">
        <v>35275</v>
      </c>
      <c r="G14" s="20"/>
      <c r="H14" s="287">
        <v>35263</v>
      </c>
      <c r="I14" s="288"/>
      <c r="J14" s="145"/>
      <c r="K14" s="94"/>
      <c r="L14" s="94">
        <v>35477</v>
      </c>
      <c r="P14" s="112"/>
      <c r="Q14" s="112"/>
      <c r="R14" s="112"/>
      <c r="S14" s="136"/>
      <c r="T14" s="112"/>
      <c r="U14" s="136"/>
      <c r="V14" s="136"/>
      <c r="W14" s="154"/>
      <c r="X14" s="154"/>
      <c r="Z14" s="112"/>
      <c r="AA14" s="112"/>
      <c r="AB14" s="112"/>
      <c r="AC14" s="136"/>
      <c r="AD14" s="112"/>
      <c r="AE14" s="136"/>
      <c r="AF14" s="136"/>
      <c r="AG14" s="154"/>
      <c r="AH14" s="154"/>
      <c r="AJ14" s="112"/>
      <c r="AK14" s="112"/>
      <c r="AL14" s="112"/>
      <c r="AM14" s="136"/>
      <c r="AN14" s="112"/>
      <c r="AO14" s="136"/>
      <c r="AP14" s="136"/>
      <c r="AQ14" s="154"/>
      <c r="AR14" s="154"/>
      <c r="AT14" s="112"/>
      <c r="AU14" s="112"/>
      <c r="AV14" s="112"/>
      <c r="AW14" s="136"/>
      <c r="AX14" s="112"/>
      <c r="AY14" s="136"/>
      <c r="AZ14" s="136"/>
      <c r="BA14" s="154"/>
      <c r="BB14" s="210"/>
      <c r="BE14" s="112"/>
      <c r="BF14" s="112"/>
      <c r="BG14" s="112"/>
      <c r="BH14" s="136"/>
      <c r="BI14" s="112"/>
      <c r="BJ14" s="136"/>
      <c r="BK14" s="136"/>
      <c r="BL14" s="154"/>
      <c r="BM14" s="154"/>
    </row>
    <row r="15" spans="1:65" ht="13.5" customHeight="1">
      <c r="B15" t="s">
        <v>140</v>
      </c>
      <c r="D15" s="16">
        <v>2567</v>
      </c>
      <c r="E15" s="138"/>
      <c r="F15" s="186">
        <v>2580</v>
      </c>
      <c r="G15" s="20"/>
      <c r="H15" s="287">
        <v>2582</v>
      </c>
      <c r="I15" s="288"/>
      <c r="J15" s="145"/>
      <c r="K15" s="94"/>
      <c r="L15" s="94">
        <v>2567</v>
      </c>
      <c r="P15" s="112"/>
      <c r="Q15" s="112"/>
      <c r="R15" s="112"/>
      <c r="S15" s="136"/>
      <c r="T15" s="112"/>
      <c r="U15" s="136"/>
      <c r="V15" s="136"/>
      <c r="W15" s="154"/>
      <c r="X15" s="154"/>
      <c r="Z15" s="112"/>
      <c r="AA15" s="112"/>
      <c r="AB15" s="112"/>
      <c r="AC15" s="136"/>
      <c r="AD15" s="112"/>
      <c r="AE15" s="136"/>
      <c r="AF15" s="136"/>
      <c r="AG15" s="154"/>
      <c r="AH15" s="154"/>
      <c r="AJ15" s="112"/>
      <c r="AK15" s="112"/>
      <c r="AL15" s="112"/>
      <c r="AM15" s="136"/>
      <c r="AN15" s="112"/>
      <c r="AO15" s="136"/>
      <c r="AP15" s="136"/>
      <c r="AQ15" s="154"/>
      <c r="AR15" s="154"/>
      <c r="AT15" s="112"/>
      <c r="AU15" s="112"/>
      <c r="AV15" s="112"/>
      <c r="AW15" s="136"/>
      <c r="AX15" s="112"/>
      <c r="AY15" s="136"/>
      <c r="AZ15" s="136"/>
      <c r="BA15" s="154"/>
      <c r="BB15" s="210"/>
      <c r="BE15" s="112"/>
      <c r="BF15" s="112"/>
      <c r="BG15" s="112"/>
      <c r="BH15" s="136"/>
      <c r="BI15" s="112"/>
      <c r="BJ15" s="136"/>
      <c r="BK15" s="136"/>
      <c r="BL15" s="154"/>
      <c r="BM15" s="154"/>
    </row>
    <row r="16" spans="1:65" ht="13.5" customHeight="1">
      <c r="B16" t="s">
        <v>141</v>
      </c>
      <c r="D16" s="16">
        <v>5158</v>
      </c>
      <c r="E16" s="138"/>
      <c r="F16" s="186">
        <v>5070</v>
      </c>
      <c r="G16" s="20"/>
      <c r="H16" s="287">
        <v>4992</v>
      </c>
      <c r="I16" s="288"/>
      <c r="J16" s="145"/>
      <c r="K16" s="94"/>
      <c r="L16" s="94">
        <v>4913</v>
      </c>
      <c r="P16" s="112"/>
      <c r="Q16" s="112"/>
      <c r="R16" s="112"/>
      <c r="S16" s="136"/>
      <c r="T16" s="112"/>
      <c r="U16" s="136"/>
      <c r="V16" s="136"/>
      <c r="W16" s="154"/>
      <c r="X16" s="154"/>
      <c r="Z16" s="112"/>
      <c r="AA16" s="112"/>
      <c r="AB16" s="112"/>
      <c r="AC16" s="136"/>
      <c r="AD16" s="112"/>
      <c r="AE16" s="136"/>
      <c r="AF16" s="136"/>
      <c r="AG16" s="154"/>
      <c r="AH16" s="154"/>
      <c r="AJ16" s="112"/>
      <c r="AK16" s="112"/>
      <c r="AL16" s="112"/>
      <c r="AM16" s="136"/>
      <c r="AN16" s="112"/>
      <c r="AO16" s="136"/>
      <c r="AP16" s="136"/>
      <c r="AQ16" s="154"/>
      <c r="AR16" s="154"/>
      <c r="AT16" s="112"/>
      <c r="AU16" s="112"/>
      <c r="AV16" s="112"/>
      <c r="AW16" s="136"/>
      <c r="AX16" s="112"/>
      <c r="AY16" s="136"/>
      <c r="AZ16" s="136"/>
      <c r="BA16" s="154"/>
      <c r="BB16" s="210"/>
      <c r="BE16" s="112"/>
      <c r="BF16" s="112"/>
      <c r="BG16" s="112"/>
      <c r="BH16" s="136"/>
      <c r="BI16" s="112"/>
      <c r="BJ16" s="136"/>
      <c r="BK16" s="136"/>
      <c r="BL16" s="154"/>
      <c r="BM16" s="154"/>
    </row>
    <row r="17" spans="1:66" ht="13.5" customHeight="1">
      <c r="B17" t="s">
        <v>142</v>
      </c>
      <c r="D17" s="16">
        <f>D13-D16-D15-D14</f>
        <v>9314</v>
      </c>
      <c r="E17" s="138"/>
      <c r="F17" s="186">
        <v>11147</v>
      </c>
      <c r="G17" s="20"/>
      <c r="H17" s="287">
        <v>10703</v>
      </c>
      <c r="I17" s="288"/>
      <c r="J17" s="145"/>
      <c r="K17" s="94"/>
      <c r="L17" s="94">
        <v>11773</v>
      </c>
      <c r="P17" s="112"/>
      <c r="Q17" s="112"/>
      <c r="R17" s="112"/>
      <c r="S17" s="136"/>
      <c r="T17" s="112"/>
      <c r="U17" s="136"/>
      <c r="V17" s="136"/>
      <c r="W17" s="154"/>
      <c r="X17" s="154"/>
      <c r="Z17" s="112"/>
      <c r="AA17" s="112"/>
      <c r="AB17" s="112"/>
      <c r="AC17" s="136"/>
      <c r="AD17" s="112"/>
      <c r="AE17" s="136"/>
      <c r="AF17" s="136"/>
      <c r="AG17" s="154"/>
      <c r="AH17" s="154"/>
      <c r="AJ17" s="112"/>
      <c r="AK17" s="112"/>
      <c r="AL17" s="112"/>
      <c r="AM17" s="136"/>
      <c r="AN17" s="112"/>
      <c r="AO17" s="136"/>
      <c r="AP17" s="136"/>
      <c r="AQ17" s="154"/>
      <c r="AR17" s="154"/>
      <c r="AT17" s="112"/>
      <c r="AU17" s="112"/>
      <c r="AV17" s="112"/>
      <c r="AW17" s="136"/>
      <c r="AX17" s="112"/>
      <c r="AY17" s="136"/>
      <c r="AZ17" s="136"/>
      <c r="BA17" s="154"/>
      <c r="BB17" s="210"/>
      <c r="BE17" s="112"/>
      <c r="BF17" s="112"/>
      <c r="BG17" s="112"/>
      <c r="BH17" s="136"/>
      <c r="BI17" s="112"/>
      <c r="BJ17" s="136"/>
      <c r="BK17" s="136"/>
      <c r="BL17" s="154"/>
      <c r="BM17" s="154"/>
    </row>
    <row r="18" spans="1:66" ht="13.5" customHeight="1" thickBot="1">
      <c r="B18" s="12" t="s">
        <v>22</v>
      </c>
      <c r="C18" s="12"/>
      <c r="D18" s="13">
        <v>69563</v>
      </c>
      <c r="E18" s="137"/>
      <c r="F18" s="185">
        <v>67987</v>
      </c>
      <c r="G18" s="113"/>
      <c r="H18" s="285">
        <v>68198</v>
      </c>
      <c r="I18" s="286"/>
      <c r="J18" s="144"/>
      <c r="K18" s="155"/>
      <c r="L18" s="155">
        <v>64327</v>
      </c>
      <c r="M18" s="12"/>
      <c r="P18" s="112"/>
      <c r="Q18" s="112"/>
      <c r="R18" s="112"/>
      <c r="S18" s="136"/>
      <c r="T18" s="112"/>
      <c r="U18" s="136"/>
      <c r="V18" s="136"/>
      <c r="W18" s="154"/>
      <c r="X18" s="154"/>
      <c r="Z18" s="112"/>
      <c r="AA18" s="112"/>
      <c r="AB18" s="112"/>
      <c r="AC18" s="136"/>
      <c r="AD18" s="112"/>
      <c r="AE18" s="136"/>
      <c r="AF18" s="136"/>
      <c r="AG18" s="154"/>
      <c r="AH18" s="154"/>
      <c r="AJ18" s="112"/>
      <c r="AK18" s="112"/>
      <c r="AL18" s="112"/>
      <c r="AM18" s="136"/>
      <c r="AN18" s="112"/>
      <c r="AO18" s="136"/>
      <c r="AP18" s="136"/>
      <c r="AQ18" s="154"/>
      <c r="AR18" s="154"/>
      <c r="AT18" s="112"/>
      <c r="AU18" s="112"/>
      <c r="AV18" s="112"/>
      <c r="AW18" s="136"/>
      <c r="AX18" s="112"/>
      <c r="AY18" s="136"/>
      <c r="AZ18" s="136"/>
      <c r="BA18" s="154"/>
      <c r="BB18" s="210"/>
      <c r="BE18" s="112"/>
      <c r="BF18" s="112"/>
      <c r="BG18" s="112"/>
      <c r="BH18" s="136"/>
      <c r="BI18" s="112"/>
      <c r="BJ18" s="136"/>
      <c r="BK18" s="136"/>
      <c r="BL18" s="154"/>
      <c r="BM18" s="154"/>
    </row>
    <row r="19" spans="1:66" ht="13.5" customHeight="1">
      <c r="B19" t="s">
        <v>143</v>
      </c>
      <c r="D19" s="16">
        <v>33695</v>
      </c>
      <c r="E19" s="138"/>
      <c r="F19" s="186">
        <v>30345</v>
      </c>
      <c r="G19" s="20"/>
      <c r="H19" s="287">
        <v>30140</v>
      </c>
      <c r="I19" s="288"/>
      <c r="J19" s="145"/>
      <c r="K19" s="94"/>
      <c r="L19" s="94">
        <v>28200</v>
      </c>
      <c r="P19" s="112"/>
      <c r="Q19" s="112"/>
      <c r="R19" s="112"/>
      <c r="S19" s="136"/>
      <c r="T19" s="112"/>
      <c r="U19" s="136"/>
      <c r="V19" s="136"/>
      <c r="W19" s="154"/>
      <c r="X19" s="154"/>
      <c r="Z19" s="112"/>
      <c r="AA19" s="112"/>
      <c r="AB19" s="112"/>
      <c r="AC19" s="136"/>
      <c r="AD19" s="112"/>
      <c r="AE19" s="136"/>
      <c r="AF19" s="136"/>
      <c r="AG19" s="154"/>
      <c r="AH19" s="154"/>
      <c r="AJ19" s="112"/>
      <c r="AK19" s="112"/>
      <c r="AL19" s="112"/>
      <c r="AM19" s="136"/>
      <c r="AN19" s="112"/>
      <c r="AO19" s="136"/>
      <c r="AP19" s="136"/>
      <c r="AQ19" s="154"/>
      <c r="AR19" s="154"/>
      <c r="AT19" s="112"/>
      <c r="AU19" s="112"/>
      <c r="AV19" s="112"/>
      <c r="AW19" s="136"/>
      <c r="AX19" s="112"/>
      <c r="AY19" s="136"/>
      <c r="AZ19" s="136"/>
      <c r="BA19" s="154"/>
      <c r="BB19" s="210"/>
      <c r="BE19" s="112"/>
      <c r="BF19" s="112"/>
      <c r="BG19" s="112"/>
      <c r="BH19" s="136"/>
      <c r="BI19" s="112"/>
      <c r="BJ19" s="136"/>
      <c r="BK19" s="136"/>
      <c r="BL19" s="154"/>
      <c r="BM19" s="154"/>
    </row>
    <row r="20" spans="1:66" ht="13.5" customHeight="1">
      <c r="B20" t="s">
        <v>144</v>
      </c>
      <c r="D20" s="16">
        <f>D18-D19</f>
        <v>35868</v>
      </c>
      <c r="E20" s="138"/>
      <c r="F20" s="186">
        <v>37642</v>
      </c>
      <c r="G20" s="20"/>
      <c r="H20" s="287">
        <v>38058</v>
      </c>
      <c r="I20" s="288"/>
      <c r="J20" s="145"/>
      <c r="K20" s="94"/>
      <c r="L20" s="94">
        <v>36127</v>
      </c>
      <c r="P20" s="112"/>
      <c r="Q20" s="112"/>
      <c r="R20" s="112"/>
      <c r="S20" s="136"/>
      <c r="T20" s="112"/>
      <c r="U20" s="136"/>
      <c r="V20" s="136"/>
      <c r="W20" s="154"/>
      <c r="X20" s="154"/>
      <c r="Z20" s="112"/>
      <c r="AA20" s="112"/>
      <c r="AB20" s="112"/>
      <c r="AC20" s="136"/>
      <c r="AD20" s="112"/>
      <c r="AE20" s="136"/>
      <c r="AF20" s="136"/>
      <c r="AG20" s="154"/>
      <c r="AH20" s="154"/>
      <c r="AJ20" s="112"/>
      <c r="AK20" s="112"/>
      <c r="AL20" s="112"/>
      <c r="AM20" s="136"/>
      <c r="AN20" s="112"/>
      <c r="AO20" s="136"/>
      <c r="AP20" s="136"/>
      <c r="AQ20" s="154"/>
      <c r="AR20" s="154"/>
      <c r="AT20" s="112"/>
      <c r="AU20" s="112"/>
      <c r="AV20" s="112"/>
      <c r="AW20" s="136"/>
      <c r="AX20" s="112"/>
      <c r="AY20" s="136"/>
      <c r="AZ20" s="136"/>
      <c r="BA20" s="154"/>
      <c r="BB20" s="210"/>
      <c r="BE20" s="112"/>
      <c r="BF20" s="112"/>
      <c r="BG20" s="112"/>
      <c r="BH20" s="136"/>
      <c r="BI20" s="112"/>
      <c r="BJ20" s="136"/>
      <c r="BK20" s="136"/>
      <c r="BL20" s="154"/>
      <c r="BM20" s="154"/>
    </row>
    <row r="21" spans="1:66" ht="13.5" customHeight="1" thickBot="1">
      <c r="B21" s="12" t="s">
        <v>145</v>
      </c>
      <c r="C21" s="12"/>
      <c r="D21" s="13">
        <v>33494</v>
      </c>
      <c r="E21" s="137"/>
      <c r="F21" s="185">
        <v>35473</v>
      </c>
      <c r="G21" s="113"/>
      <c r="H21" s="285">
        <v>35147</v>
      </c>
      <c r="I21" s="286"/>
      <c r="J21" s="144"/>
      <c r="K21" s="155"/>
      <c r="L21" s="155">
        <v>37038</v>
      </c>
      <c r="M21" s="12"/>
      <c r="P21" s="112"/>
      <c r="Q21" s="112"/>
      <c r="R21" s="112"/>
      <c r="S21" s="136"/>
      <c r="T21" s="112"/>
      <c r="U21" s="136"/>
      <c r="V21" s="136"/>
      <c r="W21" s="154"/>
      <c r="X21" s="154"/>
      <c r="Z21" s="112"/>
      <c r="AA21" s="112"/>
      <c r="AB21" s="112"/>
      <c r="AC21" s="136"/>
      <c r="AD21" s="112"/>
      <c r="AE21" s="136"/>
      <c r="AF21" s="136"/>
      <c r="AG21" s="154"/>
      <c r="AH21" s="154"/>
      <c r="AJ21" s="112"/>
      <c r="AK21" s="112"/>
      <c r="AL21" s="112"/>
      <c r="AM21" s="136"/>
      <c r="AN21" s="112"/>
      <c r="AO21" s="136"/>
      <c r="AP21" s="136"/>
      <c r="AQ21" s="154"/>
      <c r="AR21" s="154"/>
      <c r="AT21" s="112"/>
      <c r="AU21" s="112"/>
      <c r="AV21" s="112"/>
      <c r="AW21" s="136"/>
      <c r="AX21" s="112"/>
      <c r="AY21" s="136"/>
      <c r="AZ21" s="136"/>
      <c r="BA21" s="154"/>
      <c r="BB21" s="210"/>
      <c r="BE21" s="112"/>
      <c r="BF21" s="112"/>
      <c r="BG21" s="112"/>
      <c r="BH21" s="136"/>
      <c r="BI21" s="112"/>
      <c r="BJ21" s="136"/>
      <c r="BK21" s="136"/>
      <c r="BL21" s="154"/>
      <c r="BM21" s="154"/>
    </row>
    <row r="22" spans="1:66" ht="13.5" customHeight="1">
      <c r="B22" t="s">
        <v>146</v>
      </c>
      <c r="D22" s="16">
        <v>29280</v>
      </c>
      <c r="E22" s="138"/>
      <c r="F22" s="186">
        <v>31006</v>
      </c>
      <c r="G22" s="20"/>
      <c r="H22" s="287">
        <v>30665</v>
      </c>
      <c r="I22" s="288"/>
      <c r="J22" s="145"/>
      <c r="K22" s="94"/>
      <c r="L22" s="94">
        <v>32272</v>
      </c>
      <c r="P22" s="112"/>
      <c r="Q22" s="112"/>
      <c r="R22" s="112"/>
      <c r="S22" s="136"/>
      <c r="T22" s="112"/>
      <c r="U22" s="136"/>
      <c r="V22" s="136"/>
      <c r="W22" s="154"/>
      <c r="X22" s="154"/>
      <c r="Z22" s="112"/>
      <c r="AA22" s="112"/>
      <c r="AB22" s="112"/>
      <c r="AC22" s="136"/>
      <c r="AD22" s="112"/>
      <c r="AE22" s="136"/>
      <c r="AF22" s="136"/>
      <c r="AG22" s="154"/>
      <c r="AH22" s="154"/>
      <c r="AJ22" s="112"/>
      <c r="AK22" s="112"/>
      <c r="AL22" s="112"/>
      <c r="AM22" s="136"/>
      <c r="AN22" s="112"/>
      <c r="AO22" s="136"/>
      <c r="AP22" s="136"/>
      <c r="AQ22" s="154"/>
      <c r="AR22" s="154"/>
      <c r="AT22" s="112"/>
      <c r="AU22" s="112"/>
      <c r="AV22" s="112"/>
      <c r="AW22" s="136"/>
      <c r="AX22" s="112"/>
      <c r="AY22" s="136"/>
      <c r="AZ22" s="136"/>
      <c r="BA22" s="154"/>
      <c r="BB22" s="210"/>
      <c r="BE22" s="112"/>
      <c r="BF22" s="112"/>
      <c r="BG22" s="112"/>
      <c r="BH22" s="136"/>
      <c r="BI22" s="112"/>
      <c r="BJ22" s="136"/>
      <c r="BK22" s="136"/>
      <c r="BL22" s="154"/>
      <c r="BM22" s="154"/>
    </row>
    <row r="23" spans="1:66" ht="13.5" customHeight="1">
      <c r="B23" t="s">
        <v>147</v>
      </c>
      <c r="D23" s="16">
        <v>4214</v>
      </c>
      <c r="E23" s="138"/>
      <c r="F23" s="186">
        <v>4467</v>
      </c>
      <c r="G23" s="20"/>
      <c r="H23" s="287">
        <v>4482</v>
      </c>
      <c r="I23" s="288"/>
      <c r="J23" s="145"/>
      <c r="K23" s="94"/>
      <c r="L23" s="94">
        <v>4766</v>
      </c>
      <c r="P23" s="112"/>
      <c r="Q23" s="112"/>
      <c r="R23" s="112"/>
      <c r="S23" s="136"/>
      <c r="T23" s="112"/>
      <c r="U23" s="136"/>
      <c r="V23" s="136"/>
      <c r="W23" s="211"/>
      <c r="X23" s="112"/>
      <c r="Z23" s="112"/>
      <c r="AA23" s="112"/>
      <c r="AB23" s="112"/>
      <c r="AC23" s="136"/>
      <c r="AD23" s="112"/>
      <c r="AE23" s="136"/>
      <c r="AF23" s="136"/>
      <c r="AG23" s="211"/>
      <c r="AH23" s="112"/>
      <c r="AJ23" s="112"/>
      <c r="AK23" s="112"/>
      <c r="AL23" s="112"/>
      <c r="AM23" s="136"/>
      <c r="AN23" s="112"/>
      <c r="AO23" s="136"/>
      <c r="AP23" s="136"/>
      <c r="AQ23" s="211"/>
      <c r="AR23" s="112"/>
      <c r="AT23" s="112"/>
      <c r="AU23" s="112"/>
      <c r="AV23" s="112"/>
      <c r="AW23" s="136"/>
      <c r="AX23" s="112"/>
      <c r="AY23" s="136"/>
      <c r="AZ23" s="136"/>
      <c r="BA23" s="211"/>
      <c r="BB23" s="112"/>
      <c r="BE23" s="112"/>
      <c r="BF23" s="112"/>
      <c r="BG23" s="112"/>
      <c r="BH23" s="136"/>
      <c r="BI23" s="112"/>
      <c r="BJ23" s="136"/>
      <c r="BK23" s="136"/>
      <c r="BL23" s="211"/>
      <c r="BM23" s="112"/>
    </row>
    <row r="24" spans="1:66" s="207" customFormat="1" ht="13.5" customHeight="1">
      <c r="D24" s="16"/>
      <c r="E24" s="16"/>
      <c r="F24" s="16"/>
      <c r="G24" s="20"/>
      <c r="H24" s="16"/>
      <c r="I24" s="20"/>
      <c r="J24" s="20"/>
      <c r="K24" s="94"/>
      <c r="L24" s="154"/>
      <c r="N24"/>
      <c r="O24"/>
      <c r="P24" s="112"/>
      <c r="Q24" s="112"/>
      <c r="R24" s="112"/>
      <c r="S24" s="136"/>
      <c r="T24" s="112"/>
      <c r="U24" s="136"/>
      <c r="V24" s="136"/>
      <c r="W24" s="154"/>
      <c r="X24" s="154"/>
      <c r="Y24"/>
      <c r="Z24" s="112"/>
      <c r="AA24" s="112"/>
      <c r="AB24" s="112"/>
      <c r="AC24" s="136"/>
      <c r="AD24" s="112"/>
      <c r="AE24" s="136"/>
      <c r="AF24" s="136"/>
      <c r="AG24" s="154"/>
      <c r="AH24" s="154"/>
      <c r="AI24"/>
      <c r="AJ24" s="112"/>
      <c r="AK24" s="112"/>
      <c r="AL24" s="112"/>
      <c r="AM24" s="136"/>
      <c r="AN24" s="112"/>
      <c r="AO24" s="136"/>
      <c r="AP24" s="136"/>
      <c r="AQ24" s="154"/>
      <c r="AR24" s="154"/>
      <c r="AS24"/>
      <c r="AT24" s="112"/>
      <c r="AU24" s="112"/>
      <c r="AV24" s="112"/>
      <c r="AW24" s="136"/>
      <c r="AX24" s="112"/>
      <c r="AY24" s="136"/>
      <c r="AZ24" s="136"/>
      <c r="BA24" s="154"/>
      <c r="BB24" s="210"/>
      <c r="BC24"/>
      <c r="BD24"/>
      <c r="BE24" s="112"/>
      <c r="BF24" s="112"/>
      <c r="BG24" s="112"/>
      <c r="BH24" s="136"/>
      <c r="BI24" s="112"/>
      <c r="BJ24" s="136"/>
      <c r="BK24" s="136"/>
      <c r="BL24" s="154"/>
      <c r="BM24" s="154"/>
      <c r="BN24"/>
    </row>
    <row r="25" spans="1:66">
      <c r="D25" s="20"/>
      <c r="E25" s="20"/>
      <c r="F25" s="20"/>
      <c r="G25" s="20"/>
      <c r="H25" s="20"/>
      <c r="I25" s="20"/>
      <c r="J25" s="20"/>
      <c r="K25" s="184"/>
      <c r="L25" s="184"/>
      <c r="P25" s="136"/>
      <c r="Q25" s="136"/>
      <c r="R25" s="136"/>
      <c r="S25" s="136"/>
      <c r="T25" s="136"/>
      <c r="U25" s="136"/>
      <c r="V25" s="136"/>
      <c r="W25" s="211"/>
      <c r="X25" s="211"/>
      <c r="Z25" s="136"/>
      <c r="AA25" s="136"/>
      <c r="AB25" s="136"/>
      <c r="AC25" s="136"/>
      <c r="AD25" s="136"/>
      <c r="AE25" s="136"/>
      <c r="AF25" s="136"/>
      <c r="AG25" s="211"/>
      <c r="AH25" s="211"/>
      <c r="AJ25" s="136"/>
      <c r="AK25" s="136"/>
      <c r="AL25" s="136"/>
      <c r="AM25" s="136"/>
      <c r="AN25" s="136"/>
      <c r="AO25" s="136"/>
      <c r="AP25" s="136"/>
      <c r="AQ25" s="211"/>
      <c r="AR25" s="211"/>
      <c r="AT25" s="136"/>
      <c r="AU25" s="136"/>
      <c r="AV25" s="136"/>
      <c r="AW25" s="136"/>
      <c r="AX25" s="136"/>
      <c r="AY25" s="136"/>
      <c r="AZ25" s="136"/>
      <c r="BA25" s="211"/>
      <c r="BB25" s="211"/>
      <c r="BE25" s="136"/>
      <c r="BF25" s="136"/>
      <c r="BG25" s="136"/>
      <c r="BH25" s="136"/>
      <c r="BI25" s="136"/>
      <c r="BJ25" s="136"/>
      <c r="BK25" s="136"/>
      <c r="BL25" s="211"/>
      <c r="BM25" s="211"/>
    </row>
    <row r="26" spans="1:66" s="3" customFormat="1" ht="16.2">
      <c r="A26" s="250" t="s">
        <v>27</v>
      </c>
    </row>
    <row r="27" spans="1:66">
      <c r="B27" t="s">
        <v>1</v>
      </c>
      <c r="D27" s="244" t="str">
        <f>D5</f>
        <v>2023年度　（2023年4月-2024年3月）</v>
      </c>
      <c r="E27" s="244"/>
      <c r="F27" s="244"/>
      <c r="G27" s="244"/>
      <c r="H27" s="244"/>
      <c r="I27" s="244"/>
      <c r="J27" s="244"/>
      <c r="K27" s="244"/>
      <c r="L27" s="244"/>
      <c r="P27" s="5"/>
      <c r="Q27" s="5"/>
      <c r="R27" s="5"/>
      <c r="S27" s="5"/>
      <c r="T27" s="5"/>
      <c r="U27" s="5"/>
      <c r="V27" s="5"/>
      <c r="W27" s="5"/>
      <c r="X27" s="5"/>
      <c r="Z27" s="5"/>
      <c r="AA27" s="5"/>
      <c r="AB27" s="5"/>
      <c r="AC27" s="5"/>
      <c r="AD27" s="5"/>
      <c r="AE27" s="5"/>
      <c r="AF27" s="5"/>
      <c r="AG27" s="5"/>
      <c r="AH27" s="5"/>
      <c r="AJ27" s="5"/>
      <c r="AK27" s="5"/>
      <c r="AL27" s="5"/>
      <c r="AM27" s="5"/>
      <c r="AN27" s="5"/>
      <c r="AO27" s="5"/>
      <c r="AP27" s="5"/>
      <c r="AQ27" s="5"/>
      <c r="AR27" s="5"/>
      <c r="AT27" s="5"/>
      <c r="AU27" s="5"/>
      <c r="AV27" s="5"/>
      <c r="AW27" s="5"/>
      <c r="AX27" s="5"/>
      <c r="AY27" s="5"/>
      <c r="AZ27" s="5"/>
      <c r="BA27" s="5"/>
      <c r="BB27" s="5"/>
      <c r="BE27" s="5"/>
      <c r="BF27" s="5"/>
      <c r="BG27" s="5"/>
      <c r="BH27" s="5"/>
      <c r="BI27" s="5"/>
      <c r="BJ27" s="5"/>
      <c r="BK27" s="5"/>
      <c r="BL27" s="5"/>
      <c r="BM27" s="5"/>
    </row>
    <row r="28" spans="1:66" ht="3.75" customHeight="1">
      <c r="D28" s="5"/>
      <c r="E28" s="5"/>
      <c r="F28" s="5"/>
      <c r="G28" s="5"/>
      <c r="H28" s="5"/>
      <c r="I28" s="5"/>
      <c r="J28" s="5"/>
      <c r="K28" s="5"/>
      <c r="L28" s="244"/>
      <c r="P28" s="5"/>
      <c r="Q28" s="5"/>
      <c r="R28" s="5"/>
      <c r="S28" s="5"/>
      <c r="T28" s="5"/>
      <c r="U28" s="5"/>
      <c r="V28" s="5"/>
      <c r="W28" s="5"/>
      <c r="X28" s="5"/>
      <c r="Z28" s="5"/>
      <c r="AA28" s="5"/>
      <c r="AB28" s="5"/>
      <c r="AC28" s="5"/>
      <c r="AD28" s="5"/>
      <c r="AE28" s="5"/>
      <c r="AF28" s="5"/>
      <c r="AG28" s="5"/>
      <c r="AH28" s="5"/>
      <c r="AJ28" s="5"/>
      <c r="AK28" s="5"/>
      <c r="AL28" s="5"/>
      <c r="AM28" s="5"/>
      <c r="AN28" s="5"/>
      <c r="AO28" s="5"/>
      <c r="AP28" s="5"/>
      <c r="AQ28" s="5"/>
      <c r="AR28" s="5"/>
      <c r="AT28" s="5"/>
      <c r="AU28" s="5"/>
      <c r="AV28" s="5"/>
      <c r="AW28" s="5"/>
      <c r="AX28" s="5"/>
      <c r="AY28" s="5"/>
      <c r="AZ28" s="5"/>
      <c r="BA28" s="5"/>
      <c r="BB28" s="5"/>
      <c r="BE28" s="5"/>
      <c r="BF28" s="5"/>
      <c r="BG28" s="5"/>
      <c r="BH28" s="5"/>
      <c r="BI28" s="5"/>
      <c r="BJ28" s="5"/>
      <c r="BK28" s="5"/>
      <c r="BL28" s="5"/>
      <c r="BM28" s="5"/>
    </row>
    <row r="29" spans="1:66">
      <c r="D29" s="6"/>
      <c r="E29" s="6"/>
      <c r="F29" s="7" t="s">
        <v>28</v>
      </c>
      <c r="H29" s="7"/>
      <c r="I29" s="7"/>
      <c r="J29" s="7" t="s">
        <v>29</v>
      </c>
      <c r="L29" s="245" t="s">
        <v>30</v>
      </c>
      <c r="R29" s="8"/>
      <c r="T29" s="8"/>
      <c r="U29" s="8"/>
      <c r="V29" s="8"/>
      <c r="X29" s="8"/>
      <c r="AB29" s="8"/>
      <c r="AD29" s="8"/>
      <c r="AE29" s="8"/>
      <c r="AF29" s="8"/>
      <c r="AH29" s="8"/>
      <c r="AL29" s="8"/>
      <c r="AN29" s="8"/>
      <c r="AO29" s="8"/>
      <c r="AP29" s="8"/>
      <c r="AR29" s="8"/>
      <c r="AV29" s="8"/>
      <c r="AX29" s="8"/>
      <c r="AY29" s="8"/>
      <c r="AZ29" s="8"/>
      <c r="BB29" s="8"/>
      <c r="BG29" s="8"/>
      <c r="BI29" s="8"/>
      <c r="BJ29" s="8"/>
      <c r="BK29" s="8"/>
      <c r="BM29" s="8"/>
    </row>
    <row r="30" spans="1:66" s="9" customFormat="1" ht="10.8">
      <c r="D30" s="9" t="s">
        <v>31</v>
      </c>
      <c r="E30" s="9" t="s">
        <v>32</v>
      </c>
      <c r="F30" s="10" t="s">
        <v>33</v>
      </c>
      <c r="H30" s="9" t="s">
        <v>7</v>
      </c>
      <c r="I30" s="9" t="s">
        <v>8</v>
      </c>
      <c r="J30" s="10"/>
      <c r="L30" s="246"/>
      <c r="R30" s="11"/>
      <c r="V30" s="11"/>
      <c r="X30" s="11"/>
      <c r="AB30" s="11"/>
      <c r="AF30" s="11"/>
      <c r="AH30" s="11"/>
      <c r="AL30" s="11"/>
      <c r="AP30" s="11"/>
      <c r="AR30" s="11"/>
      <c r="AV30" s="11"/>
      <c r="AZ30" s="11"/>
      <c r="BB30" s="11"/>
      <c r="BG30" s="11"/>
      <c r="BK30" s="11"/>
      <c r="BM30" s="11"/>
    </row>
    <row r="31" spans="1:66" s="9" customFormat="1" ht="10.8">
      <c r="D31" s="9" t="s">
        <v>34</v>
      </c>
      <c r="E31" s="9" t="s">
        <v>35</v>
      </c>
      <c r="F31" s="10" t="s">
        <v>36</v>
      </c>
      <c r="H31" s="9" t="s">
        <v>12</v>
      </c>
      <c r="I31" s="9" t="s">
        <v>13</v>
      </c>
      <c r="J31" s="10" t="s">
        <v>37</v>
      </c>
      <c r="L31" s="246" t="s">
        <v>38</v>
      </c>
      <c r="R31" s="11"/>
      <c r="V31" s="11"/>
      <c r="X31" s="11"/>
      <c r="AB31" s="11"/>
      <c r="AF31" s="11"/>
      <c r="AH31" s="11"/>
      <c r="AL31" s="11"/>
      <c r="AP31" s="11"/>
      <c r="AR31" s="11"/>
      <c r="AV31" s="11"/>
      <c r="AZ31" s="11"/>
      <c r="BB31" s="11"/>
      <c r="BG31" s="11"/>
      <c r="BK31" s="11"/>
      <c r="BM31" s="11"/>
    </row>
    <row r="32" spans="1:66" s="3" customFormat="1" ht="6.75" customHeight="1">
      <c r="A32" s="2"/>
    </row>
    <row r="33" spans="1:65" ht="13.5" customHeight="1" thickBot="1">
      <c r="B33" s="12" t="s">
        <v>39</v>
      </c>
      <c r="C33" s="12"/>
      <c r="D33" s="13">
        <v>32183</v>
      </c>
      <c r="E33" s="185">
        <v>34012</v>
      </c>
      <c r="F33" s="290">
        <v>66195</v>
      </c>
      <c r="G33" s="113"/>
      <c r="H33" s="276">
        <f>102453-F33</f>
        <v>36258</v>
      </c>
      <c r="I33" s="155">
        <f>J33-H33</f>
        <v>36114</v>
      </c>
      <c r="J33" s="155">
        <f>L33-F33</f>
        <v>72372</v>
      </c>
      <c r="K33" s="155"/>
      <c r="L33" s="13">
        <v>138567</v>
      </c>
      <c r="M33" s="12"/>
      <c r="P33" s="112"/>
      <c r="Q33" s="112"/>
      <c r="R33" s="112"/>
      <c r="T33" s="58"/>
      <c r="U33" s="25"/>
      <c r="V33" s="25"/>
      <c r="W33" s="25"/>
      <c r="X33" s="25"/>
      <c r="Z33" s="112"/>
      <c r="AA33" s="112"/>
      <c r="AB33" s="112"/>
      <c r="AD33" s="58"/>
      <c r="AE33" s="74"/>
      <c r="AF33" s="74"/>
      <c r="AG33" s="74"/>
      <c r="AH33" s="74"/>
      <c r="AJ33" s="112"/>
      <c r="AK33" s="112"/>
      <c r="AL33" s="112"/>
      <c r="AN33" s="58"/>
      <c r="AO33" s="74"/>
      <c r="AP33" s="74"/>
      <c r="AQ33" s="74"/>
      <c r="AR33" s="74"/>
      <c r="AT33" s="112"/>
      <c r="AU33" s="112"/>
      <c r="AV33" s="112"/>
      <c r="AX33" s="58"/>
      <c r="AY33" s="97"/>
      <c r="AZ33" s="97"/>
      <c r="BA33" s="97"/>
      <c r="BB33" s="97"/>
      <c r="BE33" s="112"/>
      <c r="BF33" s="112"/>
      <c r="BG33" s="112"/>
      <c r="BI33" s="58"/>
      <c r="BJ33" s="97"/>
      <c r="BK33" s="97"/>
      <c r="BL33" s="97"/>
      <c r="BM33" s="97"/>
    </row>
    <row r="34" spans="1:65" ht="13.5" customHeight="1">
      <c r="B34" t="s">
        <v>40</v>
      </c>
      <c r="D34" s="16">
        <v>29153</v>
      </c>
      <c r="E34" s="186">
        <v>30096</v>
      </c>
      <c r="F34" s="291">
        <v>59249</v>
      </c>
      <c r="G34" s="20"/>
      <c r="H34" s="275">
        <f>92556-F34</f>
        <v>33307</v>
      </c>
      <c r="I34" s="94">
        <f t="shared" ref="I34:I46" si="0">J34-H34</f>
        <v>32597</v>
      </c>
      <c r="J34" s="94">
        <f t="shared" ref="J34:J46" si="1">L34-F34</f>
        <v>65904</v>
      </c>
      <c r="K34" s="94"/>
      <c r="L34" s="16">
        <v>125153</v>
      </c>
      <c r="P34" s="112"/>
      <c r="Q34" s="112"/>
      <c r="R34" s="112"/>
      <c r="T34" s="25"/>
      <c r="U34" s="25"/>
      <c r="V34" s="25"/>
      <c r="W34" s="25"/>
      <c r="X34" s="25"/>
      <c r="Z34" s="112"/>
      <c r="AA34" s="112"/>
      <c r="AB34" s="112"/>
      <c r="AD34" s="74"/>
      <c r="AE34" s="74"/>
      <c r="AF34" s="74"/>
      <c r="AG34" s="74"/>
      <c r="AH34" s="74"/>
      <c r="AJ34" s="112"/>
      <c r="AK34" s="112"/>
      <c r="AL34" s="112"/>
      <c r="AN34" s="74"/>
      <c r="AO34" s="74"/>
      <c r="AP34" s="74"/>
      <c r="AQ34" s="74"/>
      <c r="AR34" s="74"/>
      <c r="AT34" s="112"/>
      <c r="AU34" s="112"/>
      <c r="AV34" s="112"/>
      <c r="AX34" s="97"/>
      <c r="AY34" s="97"/>
      <c r="AZ34" s="97"/>
      <c r="BA34" s="97"/>
      <c r="BB34" s="97"/>
      <c r="BE34" s="112"/>
      <c r="BF34" s="112"/>
      <c r="BG34" s="112"/>
      <c r="BI34" s="97"/>
      <c r="BJ34" s="97"/>
      <c r="BK34" s="97"/>
      <c r="BL34" s="97"/>
      <c r="BM34" s="97"/>
    </row>
    <row r="35" spans="1:65" ht="13.5" customHeight="1">
      <c r="B35" t="s">
        <v>41</v>
      </c>
      <c r="D35" s="16">
        <v>3030</v>
      </c>
      <c r="E35" s="186">
        <v>3916</v>
      </c>
      <c r="F35" s="291">
        <v>6946</v>
      </c>
      <c r="G35" s="20"/>
      <c r="H35" s="186">
        <f>9897-F35</f>
        <v>2951</v>
      </c>
      <c r="I35" s="94">
        <f t="shared" si="0"/>
        <v>3516</v>
      </c>
      <c r="J35" s="94">
        <f t="shared" si="1"/>
        <v>6467</v>
      </c>
      <c r="K35" s="94"/>
      <c r="L35" s="16">
        <v>13413</v>
      </c>
      <c r="P35" s="112"/>
      <c r="Q35" s="112"/>
      <c r="R35" s="112"/>
      <c r="T35" s="112"/>
      <c r="U35" s="25"/>
      <c r="V35" s="25"/>
      <c r="W35" s="25"/>
      <c r="X35" s="25"/>
      <c r="Z35" s="112"/>
      <c r="AA35" s="112"/>
      <c r="AB35" s="112"/>
      <c r="AD35" s="74"/>
      <c r="AE35" s="74"/>
      <c r="AF35" s="74"/>
      <c r="AG35" s="74"/>
      <c r="AH35" s="74"/>
      <c r="AJ35" s="112"/>
      <c r="AK35" s="112"/>
      <c r="AL35" s="112"/>
      <c r="AN35" s="74"/>
      <c r="AO35" s="74"/>
      <c r="AP35" s="74"/>
      <c r="AQ35" s="74"/>
      <c r="AR35" s="74"/>
      <c r="AT35" s="112"/>
      <c r="AU35" s="112"/>
      <c r="AV35" s="112"/>
      <c r="AX35" s="97"/>
      <c r="AY35" s="97"/>
      <c r="AZ35" s="97"/>
      <c r="BA35" s="97"/>
      <c r="BB35" s="97"/>
      <c r="BE35" s="112"/>
      <c r="BF35" s="112"/>
      <c r="BG35" s="112"/>
      <c r="BI35" s="97"/>
      <c r="BJ35" s="97"/>
      <c r="BK35" s="97"/>
      <c r="BL35" s="97"/>
      <c r="BM35" s="97"/>
    </row>
    <row r="36" spans="1:65" ht="13.5" customHeight="1">
      <c r="B36" t="s">
        <v>42</v>
      </c>
      <c r="D36" s="16">
        <v>2329</v>
      </c>
      <c r="E36" s="186">
        <v>2387</v>
      </c>
      <c r="F36" s="291">
        <v>4716</v>
      </c>
      <c r="G36" s="20"/>
      <c r="H36" s="275">
        <f>7019-F36</f>
        <v>2303</v>
      </c>
      <c r="I36" s="94">
        <f t="shared" si="0"/>
        <v>2505</v>
      </c>
      <c r="J36" s="94">
        <f t="shared" si="1"/>
        <v>4808</v>
      </c>
      <c r="K36" s="94"/>
      <c r="L36" s="16">
        <v>9524</v>
      </c>
      <c r="P36" s="112"/>
      <c r="Q36" s="112"/>
      <c r="R36" s="112"/>
      <c r="T36" s="25"/>
      <c r="U36" s="25"/>
      <c r="V36" s="25"/>
      <c r="W36" s="25"/>
      <c r="X36" s="25"/>
      <c r="Z36" s="112"/>
      <c r="AA36" s="112"/>
      <c r="AB36" s="112"/>
      <c r="AD36" s="74"/>
      <c r="AE36" s="74"/>
      <c r="AF36" s="74"/>
      <c r="AG36" s="74"/>
      <c r="AH36" s="74"/>
      <c r="AJ36" s="112"/>
      <c r="AK36" s="112"/>
      <c r="AL36" s="112"/>
      <c r="AN36" s="74"/>
      <c r="AO36" s="74"/>
      <c r="AP36" s="74"/>
      <c r="AQ36" s="74"/>
      <c r="AR36" s="74"/>
      <c r="AT36" s="112"/>
      <c r="AU36" s="112"/>
      <c r="AV36" s="112"/>
      <c r="AX36" s="97"/>
      <c r="AY36" s="97"/>
      <c r="AZ36" s="97"/>
      <c r="BA36" s="97"/>
      <c r="BB36" s="97"/>
      <c r="BE36" s="112"/>
      <c r="BF36" s="112"/>
      <c r="BG36" s="112"/>
      <c r="BI36" s="97"/>
      <c r="BJ36" s="97"/>
      <c r="BK36" s="97"/>
      <c r="BL36" s="97"/>
      <c r="BM36" s="97"/>
    </row>
    <row r="37" spans="1:65" ht="13.5" customHeight="1">
      <c r="B37" t="s">
        <v>157</v>
      </c>
      <c r="D37" s="16">
        <v>115</v>
      </c>
      <c r="E37" s="186">
        <v>297</v>
      </c>
      <c r="F37" s="291">
        <v>412</v>
      </c>
      <c r="G37" s="20"/>
      <c r="H37" s="275">
        <f>584-F37</f>
        <v>172</v>
      </c>
      <c r="I37" s="94">
        <f t="shared" si="0"/>
        <v>229</v>
      </c>
      <c r="J37" s="94">
        <f t="shared" si="1"/>
        <v>401</v>
      </c>
      <c r="K37" s="94"/>
      <c r="L37" s="16">
        <v>813</v>
      </c>
      <c r="P37" s="112"/>
      <c r="Q37" s="112"/>
      <c r="R37" s="112"/>
      <c r="T37" s="25"/>
      <c r="U37" s="25"/>
      <c r="V37" s="25"/>
      <c r="W37" s="25"/>
      <c r="X37" s="25"/>
      <c r="Z37" s="112"/>
      <c r="AA37" s="112"/>
      <c r="AB37" s="112"/>
      <c r="AD37" s="74"/>
      <c r="AE37" s="74"/>
      <c r="AF37" s="74"/>
      <c r="AG37" s="74"/>
      <c r="AH37" s="74"/>
      <c r="AJ37" s="112"/>
      <c r="AK37" s="112"/>
      <c r="AL37" s="112"/>
      <c r="AN37" s="74"/>
      <c r="AO37" s="74"/>
      <c r="AP37" s="74"/>
      <c r="AQ37" s="74"/>
      <c r="AR37" s="74"/>
      <c r="AT37" s="112"/>
      <c r="AU37" s="112"/>
      <c r="AV37" s="112"/>
      <c r="AX37" s="97"/>
      <c r="AY37" s="97"/>
      <c r="AZ37" s="97"/>
      <c r="BA37" s="97"/>
      <c r="BB37" s="97"/>
      <c r="BE37" s="112"/>
      <c r="BF37" s="112"/>
      <c r="BG37" s="112"/>
      <c r="BI37" s="97"/>
      <c r="BJ37" s="97"/>
      <c r="BK37" s="97"/>
      <c r="BL37" s="97"/>
      <c r="BM37" s="97"/>
    </row>
    <row r="38" spans="1:65" ht="13.5" customHeight="1">
      <c r="B38" t="s">
        <v>169</v>
      </c>
      <c r="D38" s="16">
        <v>325</v>
      </c>
      <c r="E38" s="186">
        <v>311</v>
      </c>
      <c r="F38" s="291">
        <v>636</v>
      </c>
      <c r="G38" s="20"/>
      <c r="H38" s="275">
        <f>1030-F38</f>
        <v>394</v>
      </c>
      <c r="I38" s="94">
        <f t="shared" si="0"/>
        <v>306</v>
      </c>
      <c r="J38" s="94">
        <f t="shared" si="1"/>
        <v>700</v>
      </c>
      <c r="K38" s="94"/>
      <c r="L38" s="16">
        <v>1336</v>
      </c>
      <c r="P38" s="112"/>
      <c r="Q38" s="112"/>
      <c r="R38" s="112"/>
      <c r="T38" s="25"/>
      <c r="U38" s="25"/>
      <c r="V38" s="25"/>
      <c r="W38" s="25"/>
      <c r="X38" s="25"/>
      <c r="Z38" s="112"/>
      <c r="AA38" s="112"/>
      <c r="AB38" s="112"/>
      <c r="AD38" s="74"/>
      <c r="AE38" s="74"/>
      <c r="AF38" s="74"/>
      <c r="AG38" s="74"/>
      <c r="AH38" s="74"/>
      <c r="AJ38" s="112"/>
      <c r="AK38" s="112"/>
      <c r="AL38" s="112"/>
      <c r="AN38" s="74"/>
      <c r="AO38" s="74"/>
      <c r="AP38" s="74"/>
      <c r="AQ38" s="74"/>
      <c r="AR38" s="74"/>
      <c r="AT38" s="112"/>
      <c r="AU38" s="112"/>
      <c r="AV38" s="112"/>
      <c r="AX38" s="97"/>
      <c r="AY38" s="97"/>
      <c r="AZ38" s="97"/>
      <c r="BA38" s="97"/>
      <c r="BB38" s="97"/>
      <c r="BE38" s="112"/>
      <c r="BF38" s="112"/>
      <c r="BG38" s="112"/>
      <c r="BI38" s="97"/>
      <c r="BJ38" s="97"/>
      <c r="BK38" s="97"/>
      <c r="BL38" s="97"/>
      <c r="BM38" s="97"/>
    </row>
    <row r="39" spans="1:65" ht="13.5" customHeight="1">
      <c r="B39" t="s">
        <v>170</v>
      </c>
      <c r="D39" s="16">
        <v>201</v>
      </c>
      <c r="E39" s="186">
        <v>161</v>
      </c>
      <c r="F39" s="291">
        <v>362</v>
      </c>
      <c r="G39" s="20"/>
      <c r="H39" s="299">
        <f>629-F39</f>
        <v>267</v>
      </c>
      <c r="I39" s="94">
        <f t="shared" si="0"/>
        <v>760</v>
      </c>
      <c r="J39" s="94">
        <f t="shared" si="1"/>
        <v>1027</v>
      </c>
      <c r="K39" s="94"/>
      <c r="L39" s="16">
        <v>1389</v>
      </c>
      <c r="P39" s="112"/>
      <c r="Q39" s="112"/>
      <c r="R39" s="112"/>
      <c r="T39" s="25"/>
      <c r="U39" s="25"/>
      <c r="V39" s="25"/>
      <c r="W39" s="25"/>
      <c r="X39" s="25"/>
      <c r="Z39" s="112"/>
      <c r="AA39" s="112"/>
      <c r="AB39" s="112"/>
      <c r="AD39" s="74"/>
      <c r="AE39" s="74"/>
      <c r="AF39" s="74"/>
      <c r="AG39" s="74"/>
      <c r="AH39" s="74"/>
      <c r="AJ39" s="112"/>
      <c r="AK39" s="112"/>
      <c r="AL39" s="112"/>
      <c r="AN39" s="74"/>
      <c r="AO39" s="74"/>
      <c r="AP39" s="74"/>
      <c r="AQ39" s="74"/>
      <c r="AR39" s="74"/>
      <c r="AT39" s="112"/>
      <c r="AU39" s="112"/>
      <c r="AV39" s="112"/>
      <c r="AX39" s="97"/>
      <c r="AY39" s="97"/>
      <c r="AZ39" s="97"/>
      <c r="BA39" s="97"/>
      <c r="BB39" s="97"/>
      <c r="BE39" s="112"/>
      <c r="BF39" s="112"/>
      <c r="BG39" s="112"/>
      <c r="BI39" s="97"/>
      <c r="BJ39" s="97"/>
      <c r="BK39" s="97"/>
      <c r="BL39" s="97"/>
      <c r="BM39" s="97"/>
    </row>
    <row r="40" spans="1:65" ht="13.5" customHeight="1" thickBot="1">
      <c r="B40" s="12" t="s">
        <v>43</v>
      </c>
      <c r="C40" s="12"/>
      <c r="D40" s="13">
        <v>940</v>
      </c>
      <c r="E40" s="185">
        <v>1975</v>
      </c>
      <c r="F40" s="298">
        <v>2915</v>
      </c>
      <c r="G40" s="113"/>
      <c r="H40" s="185">
        <f>3863-F40</f>
        <v>948</v>
      </c>
      <c r="I40" s="155">
        <f t="shared" si="0"/>
        <v>786</v>
      </c>
      <c r="J40" s="185">
        <f t="shared" si="1"/>
        <v>1734</v>
      </c>
      <c r="K40" s="155"/>
      <c r="L40" s="13">
        <v>4649</v>
      </c>
      <c r="M40" s="12"/>
      <c r="P40" s="112"/>
      <c r="Q40" s="112"/>
      <c r="R40" s="112"/>
      <c r="T40" s="112"/>
      <c r="U40" s="25"/>
      <c r="V40" s="25"/>
      <c r="W40" s="25"/>
      <c r="X40" s="25"/>
      <c r="Z40" s="112"/>
      <c r="AA40" s="112"/>
      <c r="AB40" s="112"/>
      <c r="AD40" s="74"/>
      <c r="AE40" s="74"/>
      <c r="AF40" s="74"/>
      <c r="AG40" s="74"/>
      <c r="AH40" s="74"/>
      <c r="AJ40" s="112"/>
      <c r="AK40" s="112"/>
      <c r="AL40" s="112"/>
      <c r="AN40" s="74"/>
      <c r="AO40" s="74"/>
      <c r="AP40" s="74"/>
      <c r="AQ40" s="74"/>
      <c r="AR40" s="74"/>
      <c r="AT40" s="112"/>
      <c r="AU40" s="112"/>
      <c r="AV40" s="112"/>
      <c r="AX40" s="97"/>
      <c r="AY40" s="97"/>
      <c r="AZ40" s="97"/>
      <c r="BA40" s="97"/>
      <c r="BB40" s="97"/>
      <c r="BE40" s="112"/>
      <c r="BF40" s="112"/>
      <c r="BG40" s="112"/>
      <c r="BI40" s="97"/>
      <c r="BJ40" s="97"/>
      <c r="BK40" s="97"/>
      <c r="BL40" s="97"/>
      <c r="BM40" s="97"/>
    </row>
    <row r="41" spans="1:65" ht="13.5" customHeight="1">
      <c r="B41" t="s">
        <v>158</v>
      </c>
      <c r="D41" s="16">
        <v>57</v>
      </c>
      <c r="E41" s="186">
        <v>91</v>
      </c>
      <c r="F41" s="291">
        <v>148</v>
      </c>
      <c r="G41" s="20"/>
      <c r="H41" s="275">
        <f>190-F41</f>
        <v>42</v>
      </c>
      <c r="I41" s="25">
        <f t="shared" si="0"/>
        <v>116</v>
      </c>
      <c r="J41" s="25">
        <f t="shared" si="1"/>
        <v>158</v>
      </c>
      <c r="K41" s="94"/>
      <c r="L41" s="16">
        <v>306</v>
      </c>
      <c r="P41" s="112"/>
      <c r="Q41" s="112"/>
      <c r="R41" s="112"/>
      <c r="T41" s="25"/>
      <c r="U41" s="25"/>
      <c r="V41" s="25"/>
      <c r="W41" s="25"/>
      <c r="X41" s="25"/>
      <c r="Z41" s="112"/>
      <c r="AA41" s="112"/>
      <c r="AB41" s="112"/>
      <c r="AD41" s="74"/>
      <c r="AE41" s="74"/>
      <c r="AF41" s="74"/>
      <c r="AG41" s="74"/>
      <c r="AH41" s="74"/>
      <c r="AJ41" s="112"/>
      <c r="AK41" s="112"/>
      <c r="AL41" s="112"/>
      <c r="AN41" s="74"/>
      <c r="AO41" s="74"/>
      <c r="AP41" s="74"/>
      <c r="AQ41" s="74"/>
      <c r="AR41" s="74"/>
      <c r="AT41" s="112"/>
      <c r="AU41" s="112"/>
      <c r="AV41" s="112"/>
      <c r="AX41" s="97"/>
      <c r="AY41" s="97"/>
      <c r="AZ41" s="97"/>
      <c r="BA41" s="97"/>
      <c r="BB41" s="97"/>
      <c r="BE41" s="112"/>
      <c r="BF41" s="112"/>
      <c r="BG41" s="112"/>
      <c r="BI41" s="97"/>
      <c r="BJ41" s="97"/>
      <c r="BK41" s="97"/>
      <c r="BL41" s="97"/>
      <c r="BM41" s="97"/>
    </row>
    <row r="42" spans="1:65" ht="13.5" customHeight="1">
      <c r="B42" t="s">
        <v>159</v>
      </c>
      <c r="D42" s="16">
        <v>118</v>
      </c>
      <c r="E42" s="186">
        <v>118</v>
      </c>
      <c r="F42" s="291">
        <v>236</v>
      </c>
      <c r="G42" s="20"/>
      <c r="H42" s="275">
        <f>335-F42</f>
        <v>99</v>
      </c>
      <c r="I42" s="25">
        <f t="shared" si="0"/>
        <v>140</v>
      </c>
      <c r="J42" s="25">
        <f t="shared" si="1"/>
        <v>239</v>
      </c>
      <c r="K42" s="94"/>
      <c r="L42" s="16">
        <v>475</v>
      </c>
      <c r="P42" s="112"/>
      <c r="Q42" s="112"/>
      <c r="R42" s="112"/>
      <c r="T42" s="25"/>
      <c r="U42" s="25"/>
      <c r="V42" s="25"/>
      <c r="W42" s="25"/>
      <c r="X42" s="25"/>
      <c r="Z42" s="112"/>
      <c r="AA42" s="112"/>
      <c r="AB42" s="112"/>
      <c r="AD42" s="74"/>
      <c r="AE42" s="74"/>
      <c r="AF42" s="74"/>
      <c r="AG42" s="74"/>
      <c r="AH42" s="74"/>
      <c r="AJ42" s="112"/>
      <c r="AK42" s="112"/>
      <c r="AL42" s="112"/>
      <c r="AN42" s="74"/>
      <c r="AO42" s="74"/>
      <c r="AP42" s="74"/>
      <c r="AQ42" s="74"/>
      <c r="AR42" s="74"/>
      <c r="AT42" s="112"/>
      <c r="AU42" s="112"/>
      <c r="AV42" s="112"/>
      <c r="AX42" s="97"/>
      <c r="AY42" s="97"/>
      <c r="AZ42" s="97"/>
      <c r="BA42" s="97"/>
      <c r="BB42" s="97"/>
      <c r="BE42" s="112"/>
      <c r="BF42" s="112"/>
      <c r="BG42" s="112"/>
      <c r="BI42" s="97"/>
      <c r="BJ42" s="97"/>
      <c r="BK42" s="97"/>
      <c r="BL42" s="97"/>
      <c r="BM42" s="97"/>
    </row>
    <row r="43" spans="1:65" ht="13.5" customHeight="1" thickBot="1">
      <c r="B43" s="12" t="s">
        <v>160</v>
      </c>
      <c r="C43" s="12"/>
      <c r="D43" s="13">
        <v>879</v>
      </c>
      <c r="E43" s="185">
        <v>1948</v>
      </c>
      <c r="F43" s="290">
        <v>2827</v>
      </c>
      <c r="G43" s="113"/>
      <c r="H43" s="276">
        <f>3718-F43</f>
        <v>891</v>
      </c>
      <c r="I43" s="155">
        <f t="shared" si="0"/>
        <v>763</v>
      </c>
      <c r="J43" s="185">
        <f t="shared" si="1"/>
        <v>1654</v>
      </c>
      <c r="K43" s="155"/>
      <c r="L43" s="13">
        <v>4481</v>
      </c>
      <c r="M43" s="12"/>
      <c r="P43" s="112"/>
      <c r="Q43" s="112"/>
      <c r="R43" s="112"/>
      <c r="T43" s="112"/>
      <c r="U43" s="25"/>
      <c r="V43" s="25"/>
      <c r="W43" s="25"/>
      <c r="X43" s="25"/>
      <c r="Z43" s="112"/>
      <c r="AA43" s="112"/>
      <c r="AB43" s="112"/>
      <c r="AD43" s="74"/>
      <c r="AE43" s="74"/>
      <c r="AF43" s="74"/>
      <c r="AG43" s="74"/>
      <c r="AH43" s="74"/>
      <c r="AJ43" s="112"/>
      <c r="AK43" s="112"/>
      <c r="AL43" s="112"/>
      <c r="AN43" s="74"/>
      <c r="AO43" s="74"/>
      <c r="AP43" s="74"/>
      <c r="AQ43" s="74"/>
      <c r="AR43" s="74"/>
      <c r="AT43" s="112"/>
      <c r="AU43" s="112"/>
      <c r="AV43" s="112"/>
      <c r="AX43" s="97"/>
      <c r="AY43" s="97"/>
      <c r="AZ43" s="97"/>
      <c r="BA43" s="97"/>
      <c r="BB43" s="97"/>
      <c r="BE43" s="112"/>
      <c r="BF43" s="112"/>
      <c r="BG43" s="112"/>
      <c r="BI43" s="97"/>
      <c r="BJ43" s="97"/>
      <c r="BK43" s="97"/>
      <c r="BL43" s="97"/>
      <c r="BM43" s="97"/>
    </row>
    <row r="44" spans="1:65" ht="13.5" customHeight="1">
      <c r="B44" s="21" t="s">
        <v>161</v>
      </c>
      <c r="D44" s="16">
        <v>362</v>
      </c>
      <c r="E44" s="186">
        <v>566</v>
      </c>
      <c r="F44" s="291">
        <v>928</v>
      </c>
      <c r="G44" s="20"/>
      <c r="H44" s="275">
        <f>1252-F44</f>
        <v>324</v>
      </c>
      <c r="I44" s="25">
        <f t="shared" si="0"/>
        <v>-226</v>
      </c>
      <c r="J44" s="25">
        <f t="shared" si="1"/>
        <v>98</v>
      </c>
      <c r="K44" s="94"/>
      <c r="L44" s="16">
        <v>1026</v>
      </c>
      <c r="P44" s="112"/>
      <c r="Q44" s="112"/>
      <c r="R44" s="112"/>
      <c r="T44" s="112"/>
      <c r="U44" s="25"/>
      <c r="V44" s="25"/>
      <c r="W44" s="25"/>
      <c r="X44" s="25"/>
      <c r="Z44" s="112"/>
      <c r="AA44" s="112"/>
      <c r="AB44" s="112"/>
      <c r="AD44" s="74"/>
      <c r="AE44" s="74"/>
      <c r="AF44" s="74"/>
      <c r="AG44" s="74"/>
      <c r="AH44" s="74"/>
      <c r="AJ44" s="112"/>
      <c r="AK44" s="112"/>
      <c r="AL44" s="112"/>
      <c r="AN44" s="74"/>
      <c r="AO44" s="74"/>
      <c r="AP44" s="74"/>
      <c r="AQ44" s="74"/>
      <c r="AR44" s="74"/>
      <c r="AT44" s="112"/>
      <c r="AU44" s="112"/>
      <c r="AV44" s="112"/>
      <c r="AX44" s="97"/>
      <c r="AY44" s="97"/>
      <c r="AZ44" s="97"/>
      <c r="BA44" s="97"/>
      <c r="BB44" s="97"/>
      <c r="BE44" s="112"/>
      <c r="BF44" s="112"/>
      <c r="BG44" s="112"/>
      <c r="BI44" s="97"/>
      <c r="BJ44" s="97"/>
      <c r="BK44" s="97"/>
      <c r="BL44" s="97"/>
      <c r="BM44" s="97"/>
    </row>
    <row r="45" spans="1:65" ht="13.5" customHeight="1">
      <c r="B45" t="s">
        <v>162</v>
      </c>
      <c r="D45" s="16">
        <v>458</v>
      </c>
      <c r="E45" s="186">
        <v>1259</v>
      </c>
      <c r="F45" s="291">
        <v>1717</v>
      </c>
      <c r="G45" s="20"/>
      <c r="H45" s="275">
        <f>2068-F45</f>
        <v>351</v>
      </c>
      <c r="I45" s="94">
        <f t="shared" si="0"/>
        <v>813</v>
      </c>
      <c r="J45" s="25">
        <f t="shared" si="1"/>
        <v>1164</v>
      </c>
      <c r="K45" s="184"/>
      <c r="L45" s="16">
        <v>2881</v>
      </c>
      <c r="P45" s="112"/>
      <c r="Q45" s="112"/>
      <c r="R45" s="112"/>
      <c r="T45" s="112"/>
      <c r="U45" s="112"/>
      <c r="V45" s="25"/>
      <c r="W45" s="25"/>
      <c r="X45" s="25"/>
      <c r="Z45" s="112"/>
      <c r="AA45" s="112"/>
      <c r="AB45" s="112"/>
      <c r="AD45" s="74"/>
      <c r="AE45" s="112"/>
      <c r="AF45" s="74"/>
      <c r="AG45" s="74"/>
      <c r="AH45" s="74"/>
      <c r="AJ45" s="112"/>
      <c r="AK45" s="112"/>
      <c r="AL45" s="112"/>
      <c r="AN45" s="74"/>
      <c r="AO45" s="74"/>
      <c r="AP45" s="74"/>
      <c r="AQ45" s="74"/>
      <c r="AR45" s="74"/>
      <c r="AT45" s="112"/>
      <c r="AU45" s="112"/>
      <c r="AV45" s="112"/>
      <c r="AX45" s="97"/>
      <c r="AY45" s="97"/>
      <c r="AZ45" s="97"/>
      <c r="BA45" s="97"/>
      <c r="BB45" s="97"/>
      <c r="BE45" s="112"/>
      <c r="BF45" s="112"/>
      <c r="BG45" s="112"/>
      <c r="BI45" s="97"/>
      <c r="BJ45" s="97"/>
      <c r="BK45" s="97"/>
      <c r="BL45" s="97"/>
      <c r="BM45" s="97"/>
    </row>
    <row r="46" spans="1:65" ht="13.5" customHeight="1" thickBot="1">
      <c r="B46" s="22" t="s">
        <v>163</v>
      </c>
      <c r="C46" s="22"/>
      <c r="D46" s="23">
        <v>59</v>
      </c>
      <c r="E46" s="188">
        <v>123</v>
      </c>
      <c r="F46" s="292">
        <v>182</v>
      </c>
      <c r="G46" s="22"/>
      <c r="H46" s="282">
        <f>398-F46</f>
        <v>216</v>
      </c>
      <c r="I46" s="301">
        <f t="shared" si="0"/>
        <v>176</v>
      </c>
      <c r="J46" s="195">
        <f t="shared" si="1"/>
        <v>392</v>
      </c>
      <c r="K46" s="195"/>
      <c r="L46" s="195">
        <v>574</v>
      </c>
      <c r="M46" s="22"/>
      <c r="P46" s="112"/>
      <c r="Q46" s="112"/>
      <c r="R46" s="112"/>
      <c r="T46" s="112"/>
      <c r="U46" s="112"/>
      <c r="V46" s="25"/>
      <c r="W46" s="25"/>
      <c r="X46" s="25"/>
      <c r="Z46" s="112"/>
      <c r="AA46" s="112"/>
      <c r="AB46" s="112"/>
      <c r="AD46" s="74"/>
      <c r="AE46" s="112"/>
      <c r="AF46" s="74"/>
      <c r="AG46" s="74"/>
      <c r="AH46" s="74"/>
      <c r="AJ46" s="112"/>
      <c r="AK46" s="112"/>
      <c r="AL46" s="112"/>
      <c r="AN46" s="74"/>
      <c r="AO46" s="112"/>
      <c r="AP46" s="74"/>
      <c r="AQ46" s="74"/>
      <c r="AR46" s="74"/>
      <c r="AT46" s="112"/>
      <c r="AU46" s="112"/>
      <c r="AV46" s="112"/>
      <c r="AX46" s="97"/>
      <c r="AY46" s="97"/>
      <c r="AZ46" s="97"/>
      <c r="BA46" s="97"/>
      <c r="BB46" s="97"/>
      <c r="BE46" s="112"/>
      <c r="BF46" s="112"/>
      <c r="BG46" s="112"/>
      <c r="BI46" s="97"/>
      <c r="BJ46" s="112"/>
      <c r="BK46" s="97"/>
      <c r="BL46" s="97"/>
      <c r="BM46" s="97"/>
    </row>
    <row r="47" spans="1:65" s="3" customFormat="1" ht="17.25" customHeight="1" thickTop="1">
      <c r="A47" s="2"/>
      <c r="D47" s="24"/>
      <c r="E47" s="24"/>
      <c r="F47" s="24"/>
      <c r="P47" s="24"/>
      <c r="Q47" s="24"/>
      <c r="R47" s="24"/>
      <c r="Z47" s="24"/>
      <c r="AA47" s="24"/>
      <c r="AB47" s="24"/>
      <c r="AJ47" s="24"/>
      <c r="AK47" s="24"/>
      <c r="AL47" s="24"/>
      <c r="AT47" s="24"/>
      <c r="AU47" s="24"/>
      <c r="AV47" s="24"/>
      <c r="BE47" s="24"/>
      <c r="BF47" s="24"/>
      <c r="BG47" s="24"/>
    </row>
    <row r="48" spans="1:65" s="3" customFormat="1" ht="16.2">
      <c r="A48" s="250" t="s">
        <v>50</v>
      </c>
    </row>
    <row r="49" spans="1:65">
      <c r="B49" t="s">
        <v>1</v>
      </c>
      <c r="D49" s="244" t="str">
        <f>D5</f>
        <v>2023年度　（2023年4月-2024年3月）</v>
      </c>
      <c r="E49" s="244"/>
      <c r="F49" s="244"/>
      <c r="G49" s="244"/>
      <c r="H49" s="244"/>
      <c r="I49" s="244"/>
      <c r="J49" s="244"/>
      <c r="K49" s="244"/>
      <c r="L49" s="244"/>
      <c r="P49" s="5"/>
      <c r="Q49" s="5"/>
      <c r="R49" s="5"/>
      <c r="S49" s="5"/>
      <c r="T49" s="5"/>
      <c r="U49" s="5"/>
      <c r="V49" s="5"/>
      <c r="W49" s="5"/>
      <c r="X49" s="5"/>
      <c r="Z49" s="5"/>
      <c r="AA49" s="5"/>
      <c r="AB49" s="5"/>
      <c r="AC49" s="5"/>
      <c r="AD49" s="5"/>
      <c r="AE49" s="5"/>
      <c r="AF49" s="5"/>
      <c r="AG49" s="5"/>
      <c r="AH49" s="5"/>
      <c r="AJ49" s="5"/>
      <c r="AK49" s="5"/>
      <c r="AL49" s="5"/>
      <c r="AM49" s="5"/>
      <c r="AN49" s="5"/>
      <c r="AO49" s="5"/>
      <c r="AP49" s="5"/>
      <c r="AQ49" s="5"/>
      <c r="AR49" s="5"/>
      <c r="AT49" s="5"/>
      <c r="AU49" s="5"/>
      <c r="AV49" s="5"/>
      <c r="AW49" s="5"/>
      <c r="AX49" s="5"/>
      <c r="AY49" s="5"/>
      <c r="AZ49" s="5"/>
      <c r="BA49" s="5"/>
      <c r="BB49" s="5"/>
      <c r="BE49" s="5"/>
      <c r="BF49" s="5"/>
      <c r="BG49" s="5"/>
      <c r="BH49" s="5"/>
      <c r="BI49" s="5"/>
      <c r="BJ49" s="5"/>
      <c r="BK49" s="5"/>
      <c r="BL49" s="5"/>
      <c r="BM49" s="5"/>
    </row>
    <row r="50" spans="1:65" ht="3.75" customHeight="1">
      <c r="D50" s="5"/>
      <c r="E50" s="5"/>
      <c r="F50" s="5"/>
      <c r="G50" s="5"/>
      <c r="H50" s="5"/>
      <c r="I50" s="5"/>
      <c r="J50" s="5"/>
      <c r="K50" s="5"/>
      <c r="L50" s="244"/>
      <c r="P50" s="5"/>
      <c r="Q50" s="5"/>
      <c r="R50" s="5"/>
      <c r="S50" s="5"/>
      <c r="T50" s="5"/>
      <c r="U50" s="5"/>
      <c r="V50" s="5"/>
      <c r="W50" s="5"/>
      <c r="X50" s="5"/>
      <c r="Z50" s="5"/>
      <c r="AA50" s="5"/>
      <c r="AB50" s="5"/>
      <c r="AC50" s="5"/>
      <c r="AD50" s="5"/>
      <c r="AE50" s="5"/>
      <c r="AF50" s="5"/>
      <c r="AG50" s="5"/>
      <c r="AH50" s="5"/>
      <c r="AJ50" s="5"/>
      <c r="AK50" s="5"/>
      <c r="AL50" s="5"/>
      <c r="AM50" s="5"/>
      <c r="AN50" s="5"/>
      <c r="AO50" s="5"/>
      <c r="AP50" s="5"/>
      <c r="AQ50" s="5"/>
      <c r="AR50" s="5"/>
      <c r="AT50" s="5"/>
      <c r="AU50" s="5"/>
      <c r="AV50" s="5"/>
      <c r="AW50" s="5"/>
      <c r="AX50" s="5"/>
      <c r="AY50" s="5"/>
      <c r="AZ50" s="5"/>
      <c r="BA50" s="5"/>
      <c r="BB50" s="5"/>
      <c r="BE50" s="5"/>
      <c r="BF50" s="5"/>
      <c r="BG50" s="5"/>
      <c r="BH50" s="5"/>
      <c r="BI50" s="5"/>
      <c r="BJ50" s="5"/>
      <c r="BK50" s="5"/>
      <c r="BL50" s="5"/>
      <c r="BM50" s="5"/>
    </row>
    <row r="51" spans="1:65">
      <c r="D51" s="6"/>
      <c r="E51" s="6"/>
      <c r="F51" s="7" t="s">
        <v>28</v>
      </c>
      <c r="H51" s="7"/>
      <c r="I51" s="7"/>
      <c r="J51" s="7" t="s">
        <v>29</v>
      </c>
      <c r="L51" s="245" t="s">
        <v>30</v>
      </c>
      <c r="R51" s="8"/>
      <c r="T51" s="8"/>
      <c r="U51" s="8"/>
      <c r="V51" s="8"/>
      <c r="X51" s="8"/>
      <c r="AB51" s="8"/>
      <c r="AD51" s="8"/>
      <c r="AE51" s="8"/>
      <c r="AF51" s="8"/>
      <c r="AH51" s="8"/>
      <c r="AL51" s="8"/>
      <c r="AN51" s="8"/>
      <c r="AO51" s="8"/>
      <c r="AP51" s="8"/>
      <c r="AR51" s="8"/>
      <c r="AV51" s="8"/>
      <c r="AX51" s="8"/>
      <c r="AY51" s="8"/>
      <c r="AZ51" s="8"/>
      <c r="BB51" s="8"/>
      <c r="BG51" s="8"/>
      <c r="BI51" s="8"/>
      <c r="BJ51" s="8"/>
      <c r="BK51" s="8"/>
      <c r="BM51" s="8"/>
    </row>
    <row r="52" spans="1:65" s="9" customFormat="1" ht="10.8">
      <c r="D52" s="9" t="s">
        <v>31</v>
      </c>
      <c r="E52" s="9" t="s">
        <v>32</v>
      </c>
      <c r="F52" s="10" t="s">
        <v>33</v>
      </c>
      <c r="H52" s="9" t="s">
        <v>7</v>
      </c>
      <c r="I52" s="9" t="s">
        <v>8</v>
      </c>
      <c r="J52" s="10"/>
      <c r="L52" s="246"/>
      <c r="R52" s="11"/>
      <c r="V52" s="11"/>
      <c r="X52" s="11"/>
      <c r="AB52" s="11"/>
      <c r="AF52" s="11"/>
      <c r="AH52" s="11"/>
      <c r="AL52" s="11"/>
      <c r="AP52" s="11"/>
      <c r="AR52" s="11"/>
      <c r="AV52" s="11"/>
      <c r="AZ52" s="11"/>
      <c r="BB52" s="11"/>
      <c r="BG52" s="11"/>
      <c r="BK52" s="11"/>
      <c r="BM52" s="11"/>
    </row>
    <row r="53" spans="1:65" s="9" customFormat="1" ht="10.8">
      <c r="D53" s="9" t="s">
        <v>34</v>
      </c>
      <c r="E53" s="9" t="s">
        <v>35</v>
      </c>
      <c r="F53" s="10" t="s">
        <v>36</v>
      </c>
      <c r="H53" s="9" t="s">
        <v>12</v>
      </c>
      <c r="I53" s="9" t="s">
        <v>13</v>
      </c>
      <c r="J53" s="10" t="s">
        <v>37</v>
      </c>
      <c r="L53" s="246" t="s">
        <v>38</v>
      </c>
      <c r="R53" s="11"/>
      <c r="V53" s="11"/>
      <c r="X53" s="11"/>
      <c r="AB53" s="11"/>
      <c r="AF53" s="11"/>
      <c r="AH53" s="11"/>
      <c r="AL53" s="11"/>
      <c r="AP53" s="11"/>
      <c r="AR53" s="11"/>
      <c r="AV53" s="11"/>
      <c r="AZ53" s="11"/>
      <c r="BB53" s="11"/>
      <c r="BG53" s="11"/>
      <c r="BK53" s="11"/>
      <c r="BM53" s="11"/>
    </row>
    <row r="54" spans="1:65" s="3" customFormat="1" ht="6.75" customHeight="1">
      <c r="A54" s="2"/>
    </row>
    <row r="55" spans="1:65" ht="13.5" customHeight="1">
      <c r="B55" t="s">
        <v>51</v>
      </c>
      <c r="D55" s="25">
        <v>1414</v>
      </c>
      <c r="E55" s="183">
        <v>3695</v>
      </c>
      <c r="F55" s="293">
        <v>5109</v>
      </c>
      <c r="G55" s="116"/>
      <c r="H55" s="266">
        <f>5589-F55</f>
        <v>480</v>
      </c>
      <c r="I55" s="25">
        <f t="shared" ref="I55:I61" si="2">J55-H55</f>
        <v>4514</v>
      </c>
      <c r="J55" s="25">
        <f t="shared" ref="J55:J61" si="3">L55-F55</f>
        <v>4994</v>
      </c>
      <c r="K55" s="25"/>
      <c r="L55" s="25">
        <v>10103</v>
      </c>
      <c r="P55" s="25"/>
      <c r="Q55" s="25"/>
      <c r="R55" s="25"/>
      <c r="S55" s="116"/>
      <c r="T55" s="25"/>
      <c r="U55" s="25"/>
      <c r="V55" s="25"/>
      <c r="W55" s="25"/>
      <c r="X55" s="25"/>
      <c r="Z55" s="25"/>
      <c r="AA55" s="25"/>
      <c r="AB55" s="25"/>
      <c r="AC55" s="116"/>
      <c r="AD55" s="25"/>
      <c r="AE55" s="25"/>
      <c r="AF55" s="25"/>
      <c r="AG55" s="25"/>
      <c r="AH55" s="25"/>
      <c r="AJ55" s="25"/>
      <c r="AK55" s="25"/>
      <c r="AL55" s="25"/>
      <c r="AM55" s="116"/>
      <c r="AN55" s="25"/>
      <c r="AO55" s="25"/>
      <c r="AP55" s="25"/>
      <c r="AQ55" s="25"/>
      <c r="AR55" s="25"/>
      <c r="AT55" s="25"/>
      <c r="AU55" s="25"/>
      <c r="AV55" s="74"/>
      <c r="AW55" s="116"/>
      <c r="AX55" s="25"/>
      <c r="AY55" s="25"/>
      <c r="AZ55" s="25"/>
      <c r="BA55" s="25"/>
      <c r="BB55" s="25"/>
      <c r="BE55" s="25"/>
      <c r="BF55" s="25"/>
      <c r="BG55" s="74"/>
      <c r="BH55" s="116"/>
      <c r="BI55" s="25"/>
      <c r="BJ55" s="25"/>
      <c r="BK55" s="25"/>
      <c r="BL55" s="25"/>
      <c r="BM55" s="25"/>
    </row>
    <row r="56" spans="1:65" ht="13.5" customHeight="1">
      <c r="B56" t="s">
        <v>52</v>
      </c>
      <c r="D56" s="307">
        <v>-1911</v>
      </c>
      <c r="E56" s="183">
        <v>456</v>
      </c>
      <c r="F56" s="293">
        <v>-1455</v>
      </c>
      <c r="G56" s="116"/>
      <c r="H56" s="266">
        <f>-2068-F56</f>
        <v>-613</v>
      </c>
      <c r="I56" s="25">
        <f t="shared" si="2"/>
        <v>-342</v>
      </c>
      <c r="J56" s="25">
        <f t="shared" si="3"/>
        <v>-955</v>
      </c>
      <c r="K56" s="25"/>
      <c r="L56" s="25">
        <v>-2410</v>
      </c>
      <c r="P56" s="25"/>
      <c r="Q56" s="25"/>
      <c r="R56" s="25"/>
      <c r="S56" s="116"/>
      <c r="T56" s="25"/>
      <c r="U56" s="25"/>
      <c r="V56" s="25"/>
      <c r="W56" s="25"/>
      <c r="X56" s="25"/>
      <c r="Z56" s="25"/>
      <c r="AA56" s="25"/>
      <c r="AB56" s="25"/>
      <c r="AC56" s="116"/>
      <c r="AD56" s="25"/>
      <c r="AE56" s="25"/>
      <c r="AF56" s="25"/>
      <c r="AG56" s="25"/>
      <c r="AH56" s="25"/>
      <c r="AJ56" s="25"/>
      <c r="AK56" s="25"/>
      <c r="AL56" s="25"/>
      <c r="AM56" s="116"/>
      <c r="AN56" s="25"/>
      <c r="AO56" s="25"/>
      <c r="AP56" s="25"/>
      <c r="AQ56" s="25"/>
      <c r="AR56" s="25"/>
      <c r="AT56" s="25"/>
      <c r="AU56" s="25"/>
      <c r="AV56" s="25"/>
      <c r="AW56" s="116"/>
      <c r="AX56" s="25"/>
      <c r="AY56" s="25"/>
      <c r="AZ56" s="25"/>
      <c r="BA56" s="25"/>
      <c r="BB56" s="25"/>
      <c r="BE56" s="25"/>
      <c r="BF56" s="25"/>
      <c r="BG56" s="25"/>
      <c r="BH56" s="116"/>
      <c r="BI56" s="25"/>
      <c r="BJ56" s="25"/>
      <c r="BK56" s="25"/>
      <c r="BL56" s="25"/>
      <c r="BM56" s="25"/>
    </row>
    <row r="57" spans="1:65" ht="13.5" customHeight="1">
      <c r="B57" t="s">
        <v>53</v>
      </c>
      <c r="D57" s="25">
        <v>1605</v>
      </c>
      <c r="E57" s="183">
        <v>-3707</v>
      </c>
      <c r="F57" s="293">
        <v>-2102</v>
      </c>
      <c r="G57" s="116"/>
      <c r="H57" s="266">
        <f>-2323-F57</f>
        <v>-221</v>
      </c>
      <c r="I57" s="25">
        <f t="shared" si="2"/>
        <v>-987</v>
      </c>
      <c r="J57" s="25">
        <f t="shared" si="3"/>
        <v>-1208</v>
      </c>
      <c r="K57" s="25"/>
      <c r="L57" s="25">
        <v>-3310</v>
      </c>
      <c r="P57" s="25"/>
      <c r="Q57" s="25"/>
      <c r="R57" s="25"/>
      <c r="S57" s="116"/>
      <c r="T57" s="25"/>
      <c r="U57" s="25"/>
      <c r="V57" s="25"/>
      <c r="W57" s="25"/>
      <c r="X57" s="25"/>
      <c r="Z57" s="25"/>
      <c r="AA57" s="25"/>
      <c r="AB57" s="25"/>
      <c r="AC57" s="116"/>
      <c r="AD57" s="25"/>
      <c r="AE57" s="25"/>
      <c r="AF57" s="25"/>
      <c r="AG57" s="25"/>
      <c r="AH57" s="25"/>
      <c r="AJ57" s="25"/>
      <c r="AK57" s="25"/>
      <c r="AL57" s="25"/>
      <c r="AM57" s="116"/>
      <c r="AN57" s="25"/>
      <c r="AO57" s="25"/>
      <c r="AP57" s="25"/>
      <c r="AQ57" s="25"/>
      <c r="AR57" s="25"/>
      <c r="AT57" s="25"/>
      <c r="AU57" s="25"/>
      <c r="AV57" s="25"/>
      <c r="AW57" s="116"/>
      <c r="AX57" s="25"/>
      <c r="AY57" s="25"/>
      <c r="AZ57" s="25"/>
      <c r="BA57" s="25"/>
      <c r="BB57" s="25"/>
      <c r="BE57" s="25"/>
      <c r="BF57" s="25"/>
      <c r="BG57" s="25"/>
      <c r="BH57" s="116"/>
      <c r="BI57" s="25"/>
      <c r="BJ57" s="25"/>
      <c r="BK57" s="25"/>
      <c r="BL57" s="25"/>
      <c r="BM57" s="25"/>
    </row>
    <row r="58" spans="1:65" ht="13.5" customHeight="1">
      <c r="B58" s="27" t="s">
        <v>55</v>
      </c>
      <c r="C58" s="27"/>
      <c r="D58" s="28">
        <v>1108</v>
      </c>
      <c r="E58" s="218">
        <v>443</v>
      </c>
      <c r="F58" s="294">
        <v>1551</v>
      </c>
      <c r="G58" s="117"/>
      <c r="H58" s="218">
        <f>1198-F58</f>
        <v>-353</v>
      </c>
      <c r="I58" s="28">
        <f t="shared" si="2"/>
        <v>3185</v>
      </c>
      <c r="J58" s="28">
        <f t="shared" si="3"/>
        <v>2832</v>
      </c>
      <c r="K58" s="28"/>
      <c r="L58" s="28">
        <v>4383</v>
      </c>
      <c r="M58" s="27"/>
      <c r="P58" s="25"/>
      <c r="Q58" s="25"/>
      <c r="R58" s="25"/>
      <c r="S58" s="116"/>
      <c r="T58" s="25"/>
      <c r="U58" s="25"/>
      <c r="V58" s="25"/>
      <c r="W58" s="25"/>
      <c r="X58" s="25"/>
      <c r="Z58" s="25"/>
      <c r="AA58" s="25"/>
      <c r="AB58" s="25"/>
      <c r="AC58" s="116"/>
      <c r="AD58" s="25"/>
      <c r="AE58" s="25"/>
      <c r="AF58" s="25"/>
      <c r="AG58" s="25"/>
      <c r="AH58" s="25"/>
      <c r="AJ58" s="25"/>
      <c r="AK58" s="25"/>
      <c r="AL58" s="25"/>
      <c r="AM58" s="116"/>
      <c r="AN58" s="25"/>
      <c r="AO58" s="25"/>
      <c r="AP58" s="25"/>
      <c r="AQ58" s="25"/>
      <c r="AR58" s="25"/>
      <c r="AT58" s="25"/>
      <c r="AU58" s="25"/>
      <c r="AV58" s="25"/>
      <c r="AW58" s="116"/>
      <c r="AX58" s="25"/>
      <c r="AY58" s="25"/>
      <c r="AZ58" s="25"/>
      <c r="BA58" s="25"/>
      <c r="BB58" s="25"/>
      <c r="BE58" s="25"/>
      <c r="BF58" s="25"/>
      <c r="BG58" s="25"/>
      <c r="BH58" s="116"/>
      <c r="BI58" s="25"/>
      <c r="BJ58" s="25"/>
      <c r="BK58" s="25"/>
      <c r="BL58" s="25"/>
      <c r="BM58" s="25"/>
    </row>
    <row r="59" spans="1:65" ht="13.5" customHeight="1">
      <c r="B59" s="27" t="s">
        <v>56</v>
      </c>
      <c r="C59" s="27"/>
      <c r="D59" s="235">
        <v>3115</v>
      </c>
      <c r="E59" s="289">
        <v>4178</v>
      </c>
      <c r="F59" s="294">
        <v>3115</v>
      </c>
      <c r="G59" s="117"/>
      <c r="H59" s="218">
        <v>4898</v>
      </c>
      <c r="I59" s="28">
        <v>4483</v>
      </c>
      <c r="J59" s="28">
        <v>4898</v>
      </c>
      <c r="K59" s="28"/>
      <c r="L59" s="28">
        <v>3115</v>
      </c>
      <c r="M59" s="27"/>
      <c r="P59" s="25"/>
      <c r="Q59" s="25"/>
      <c r="R59" s="25"/>
      <c r="S59" s="116"/>
      <c r="T59" s="25"/>
      <c r="U59" s="25"/>
      <c r="V59" s="25"/>
      <c r="W59" s="25"/>
      <c r="X59" s="25"/>
      <c r="Z59" s="25"/>
      <c r="AA59" s="25"/>
      <c r="AB59" s="25"/>
      <c r="AC59" s="116"/>
      <c r="AD59" s="25"/>
      <c r="AE59" s="25"/>
      <c r="AF59" s="25"/>
      <c r="AG59" s="25"/>
      <c r="AH59" s="25"/>
      <c r="AJ59" s="25"/>
      <c r="AK59" s="25"/>
      <c r="AL59" s="25"/>
      <c r="AM59" s="116"/>
      <c r="AN59" s="25"/>
      <c r="AO59" s="25"/>
      <c r="AP59" s="25"/>
      <c r="AQ59" s="25"/>
      <c r="AR59" s="25"/>
      <c r="AT59" s="25"/>
      <c r="AU59" s="25"/>
      <c r="AV59" s="25"/>
      <c r="AW59" s="116"/>
      <c r="AX59" s="25"/>
      <c r="AY59" s="25"/>
      <c r="AZ59" s="25"/>
      <c r="BA59" s="25"/>
      <c r="BB59" s="25"/>
      <c r="BE59" s="25"/>
      <c r="BF59" s="25"/>
      <c r="BG59" s="25"/>
      <c r="BH59" s="116"/>
      <c r="BI59" s="25"/>
      <c r="BJ59" s="25"/>
      <c r="BK59" s="25"/>
      <c r="BL59" s="25"/>
      <c r="BM59" s="25"/>
    </row>
    <row r="60" spans="1:65" s="3" customFormat="1" ht="13.5" customHeight="1">
      <c r="A60" s="2"/>
      <c r="B60" s="27" t="s">
        <v>167</v>
      </c>
      <c r="C60" s="30"/>
      <c r="D60" s="28">
        <v>141</v>
      </c>
      <c r="E60" s="218">
        <v>59</v>
      </c>
      <c r="F60" s="294">
        <v>200</v>
      </c>
      <c r="G60" s="117"/>
      <c r="H60" s="267">
        <f>139-F60</f>
        <v>-61</v>
      </c>
      <c r="I60" s="28">
        <f t="shared" si="2"/>
        <v>90</v>
      </c>
      <c r="J60" s="28">
        <f t="shared" si="3"/>
        <v>29</v>
      </c>
      <c r="K60" s="28"/>
      <c r="L60" s="28">
        <v>229</v>
      </c>
      <c r="M60" s="30"/>
      <c r="P60" s="25"/>
      <c r="Q60" s="25"/>
      <c r="R60" s="25"/>
      <c r="S60" s="116"/>
      <c r="T60" s="25"/>
      <c r="U60" s="25"/>
      <c r="V60" s="25"/>
      <c r="W60" s="25"/>
      <c r="X60" s="25"/>
      <c r="Z60" s="25"/>
      <c r="AA60" s="25"/>
      <c r="AB60" s="25"/>
      <c r="AC60" s="116"/>
      <c r="AD60" s="25"/>
      <c r="AE60" s="25"/>
      <c r="AF60" s="25"/>
      <c r="AG60" s="25"/>
      <c r="AH60" s="25"/>
      <c r="AJ60" s="25"/>
      <c r="AK60" s="25"/>
      <c r="AL60" s="25"/>
      <c r="AM60" s="116"/>
      <c r="AN60" s="25"/>
      <c r="AO60" s="25"/>
      <c r="AP60" s="25"/>
      <c r="AQ60" s="25"/>
      <c r="AR60" s="25"/>
      <c r="AT60" s="25"/>
      <c r="AU60" s="25"/>
      <c r="AV60" s="25"/>
      <c r="AW60" s="116"/>
      <c r="AX60" s="25"/>
      <c r="AY60" s="25"/>
      <c r="AZ60" s="25"/>
      <c r="BA60" s="25"/>
      <c r="BB60" s="25"/>
      <c r="BE60" s="25"/>
      <c r="BF60" s="25"/>
      <c r="BG60" s="25"/>
      <c r="BH60" s="116"/>
      <c r="BI60" s="25"/>
      <c r="BJ60" s="25"/>
      <c r="BK60" s="25"/>
      <c r="BL60" s="25"/>
      <c r="BM60" s="25"/>
    </row>
    <row r="61" spans="1:65" s="3" customFormat="1" ht="13.5" customHeight="1">
      <c r="A61" s="2"/>
      <c r="B61" s="34" t="s">
        <v>172</v>
      </c>
      <c r="C61" s="35"/>
      <c r="D61" s="242">
        <v>-186</v>
      </c>
      <c r="E61" s="219">
        <v>218</v>
      </c>
      <c r="F61" s="295">
        <v>32</v>
      </c>
      <c r="G61" s="119"/>
      <c r="H61" s="218">
        <f>31-F61</f>
        <v>-1</v>
      </c>
      <c r="I61" s="28">
        <f t="shared" si="2"/>
        <v>1</v>
      </c>
      <c r="J61" s="28">
        <f t="shared" si="3"/>
        <v>0</v>
      </c>
      <c r="K61" s="28"/>
      <c r="L61" s="235">
        <v>32</v>
      </c>
      <c r="M61" s="35"/>
      <c r="P61" s="25"/>
      <c r="Q61" s="25"/>
      <c r="R61" s="25"/>
      <c r="S61" s="116"/>
      <c r="T61" s="25"/>
      <c r="U61" s="25"/>
      <c r="V61" s="25"/>
      <c r="W61" s="25"/>
      <c r="X61" s="25"/>
      <c r="Z61" s="25"/>
      <c r="AA61" s="25"/>
      <c r="AB61" s="25"/>
      <c r="AC61" s="116"/>
      <c r="AD61" s="25"/>
      <c r="AE61" s="25"/>
      <c r="AF61" s="25"/>
      <c r="AG61" s="25"/>
      <c r="AH61" s="25"/>
      <c r="AJ61" s="25"/>
      <c r="AK61" s="25"/>
      <c r="AL61" s="25"/>
      <c r="AM61" s="116"/>
      <c r="AN61" s="25"/>
      <c r="AO61" s="25"/>
      <c r="AP61" s="25"/>
      <c r="AQ61" s="25"/>
      <c r="AR61" s="25"/>
      <c r="AT61" s="25"/>
      <c r="AU61" s="25"/>
      <c r="AV61" s="25"/>
      <c r="AW61" s="116"/>
      <c r="AX61" s="25"/>
      <c r="AY61" s="25"/>
      <c r="AZ61" s="25"/>
      <c r="BA61" s="25"/>
      <c r="BB61" s="25"/>
      <c r="BE61" s="25"/>
      <c r="BF61" s="25"/>
      <c r="BG61" s="25"/>
      <c r="BH61" s="116"/>
      <c r="BI61" s="25"/>
      <c r="BJ61" s="25"/>
      <c r="BK61" s="25"/>
      <c r="BL61" s="25"/>
      <c r="BM61" s="25"/>
    </row>
    <row r="62" spans="1:65" s="3" customFormat="1" ht="13.5" customHeight="1">
      <c r="A62" s="2"/>
      <c r="B62" s="34" t="s">
        <v>58</v>
      </c>
      <c r="C62" s="35"/>
      <c r="D62" s="108">
        <v>4178</v>
      </c>
      <c r="E62" s="219">
        <v>4898</v>
      </c>
      <c r="F62" s="295">
        <v>4898</v>
      </c>
      <c r="G62" s="119"/>
      <c r="H62" s="219">
        <v>4483</v>
      </c>
      <c r="I62" s="108">
        <v>7759</v>
      </c>
      <c r="J62" s="108">
        <v>7759</v>
      </c>
      <c r="K62" s="162"/>
      <c r="L62" s="162">
        <v>7759</v>
      </c>
      <c r="M62" s="35"/>
      <c r="P62" s="25"/>
      <c r="Q62" s="25"/>
      <c r="R62" s="25"/>
      <c r="S62" s="116"/>
      <c r="T62" s="25"/>
      <c r="U62" s="25"/>
      <c r="V62" s="25"/>
      <c r="W62" s="25"/>
      <c r="X62" s="25"/>
      <c r="Z62" s="25"/>
      <c r="AA62" s="25"/>
      <c r="AB62" s="25"/>
      <c r="AC62" s="116"/>
      <c r="AD62" s="25"/>
      <c r="AE62" s="25"/>
      <c r="AF62" s="25"/>
      <c r="AG62" s="25"/>
      <c r="AH62" s="25"/>
      <c r="AJ62" s="25"/>
      <c r="AK62" s="25"/>
      <c r="AL62" s="25"/>
      <c r="AM62" s="116"/>
      <c r="AN62" s="25"/>
      <c r="AO62" s="25"/>
      <c r="AP62" s="25"/>
      <c r="AQ62" s="25"/>
      <c r="AR62" s="25"/>
      <c r="AT62" s="25"/>
      <c r="AU62" s="25"/>
      <c r="AV62" s="25"/>
      <c r="AW62" s="116"/>
      <c r="AX62" s="25"/>
      <c r="AY62" s="25"/>
      <c r="AZ62" s="25"/>
      <c r="BA62" s="25"/>
      <c r="BB62" s="25"/>
      <c r="BE62" s="25"/>
      <c r="BF62" s="25"/>
      <c r="BG62" s="25"/>
      <c r="BH62" s="116"/>
      <c r="BI62" s="25"/>
      <c r="BJ62" s="25"/>
      <c r="BK62" s="25"/>
      <c r="BL62" s="25"/>
      <c r="BM62" s="25"/>
    </row>
    <row r="63" spans="1:65" s="3" customFormat="1" ht="17.25" customHeight="1">
      <c r="A63" s="2"/>
      <c r="D63" s="24"/>
      <c r="E63" s="24"/>
      <c r="F63" s="24"/>
      <c r="P63" s="24"/>
      <c r="Q63" s="24"/>
      <c r="R63" s="24"/>
      <c r="Z63" s="24"/>
      <c r="AA63" s="24"/>
      <c r="AB63" s="24"/>
      <c r="AJ63" s="24"/>
      <c r="AK63" s="24"/>
      <c r="AL63" s="24"/>
      <c r="AT63" s="24"/>
      <c r="AU63" s="24"/>
      <c r="AV63" s="24"/>
      <c r="BE63" s="24"/>
      <c r="BF63" s="24"/>
      <c r="BG63" s="24"/>
    </row>
    <row r="64" spans="1:65" s="3" customFormat="1" ht="16.2">
      <c r="A64" s="250" t="s">
        <v>59</v>
      </c>
    </row>
    <row r="65" spans="2:65">
      <c r="D65" s="244" t="str">
        <f>D5</f>
        <v>2023年度　（2023年4月-2024年3月）</v>
      </c>
      <c r="E65" s="244"/>
      <c r="F65" s="244"/>
      <c r="G65" s="244"/>
      <c r="H65" s="244"/>
      <c r="I65" s="244"/>
      <c r="J65" s="244"/>
      <c r="K65" s="244"/>
      <c r="L65" s="244"/>
      <c r="P65" s="5"/>
      <c r="Q65" s="5"/>
      <c r="R65" s="5"/>
      <c r="S65" s="5"/>
      <c r="T65" s="5"/>
      <c r="U65" s="5"/>
      <c r="V65" s="5"/>
      <c r="W65" s="5"/>
      <c r="X65" s="5"/>
      <c r="Z65" s="5"/>
      <c r="AA65" s="5"/>
      <c r="AB65" s="5"/>
      <c r="AC65" s="5"/>
      <c r="AD65" s="5"/>
      <c r="AE65" s="5"/>
      <c r="AF65" s="5"/>
      <c r="AG65" s="5"/>
      <c r="AH65" s="5"/>
      <c r="AJ65" s="5"/>
      <c r="AK65" s="5"/>
      <c r="AL65" s="5"/>
      <c r="AM65" s="5"/>
      <c r="AN65" s="5"/>
      <c r="AO65" s="5"/>
      <c r="AP65" s="5"/>
      <c r="AQ65" s="5"/>
      <c r="AR65" s="5"/>
      <c r="AT65" s="5"/>
      <c r="AU65" s="5"/>
      <c r="AV65" s="5"/>
      <c r="AW65" s="5"/>
      <c r="AX65" s="5"/>
      <c r="AY65" s="5"/>
      <c r="AZ65" s="5"/>
      <c r="BA65" s="5"/>
      <c r="BB65" s="5"/>
      <c r="BE65" s="5"/>
      <c r="BF65" s="5"/>
      <c r="BG65" s="5"/>
      <c r="BH65" s="5"/>
      <c r="BI65" s="5"/>
      <c r="BJ65" s="5"/>
      <c r="BK65" s="5"/>
      <c r="BL65" s="5"/>
      <c r="BM65" s="5"/>
    </row>
    <row r="66" spans="2:65" ht="3.75" customHeight="1">
      <c r="D66" s="5"/>
      <c r="E66" s="5"/>
      <c r="F66" s="5"/>
      <c r="G66" s="5"/>
      <c r="H66" s="5"/>
      <c r="I66" s="5"/>
      <c r="J66" s="5"/>
      <c r="K66" s="5"/>
      <c r="L66" s="244"/>
      <c r="P66" s="5"/>
      <c r="Q66" s="5"/>
      <c r="R66" s="5"/>
      <c r="S66" s="5"/>
      <c r="T66" s="5"/>
      <c r="U66" s="5"/>
      <c r="V66" s="5"/>
      <c r="W66" s="5"/>
      <c r="X66" s="5"/>
      <c r="Z66" s="5"/>
      <c r="AA66" s="5"/>
      <c r="AB66" s="5"/>
      <c r="AC66" s="5"/>
      <c r="AD66" s="5"/>
      <c r="AE66" s="5"/>
      <c r="AF66" s="5"/>
      <c r="AG66" s="5"/>
      <c r="AH66" s="5"/>
      <c r="AJ66" s="5"/>
      <c r="AK66" s="5"/>
      <c r="AL66" s="5"/>
      <c r="AM66" s="5"/>
      <c r="AN66" s="5"/>
      <c r="AO66" s="5"/>
      <c r="AP66" s="5"/>
      <c r="AQ66" s="5"/>
      <c r="AR66" s="5"/>
      <c r="AT66" s="5"/>
      <c r="AU66" s="5"/>
      <c r="AV66" s="5"/>
      <c r="AW66" s="5"/>
      <c r="AX66" s="5"/>
      <c r="AY66" s="5"/>
      <c r="AZ66" s="5"/>
      <c r="BA66" s="5"/>
      <c r="BB66" s="5"/>
      <c r="BE66" s="5"/>
      <c r="BF66" s="5"/>
      <c r="BG66" s="5"/>
      <c r="BH66" s="5"/>
      <c r="BI66" s="5"/>
      <c r="BJ66" s="5"/>
      <c r="BK66" s="5"/>
      <c r="BL66" s="5"/>
      <c r="BM66" s="5"/>
    </row>
    <row r="67" spans="2:65">
      <c r="D67" s="6"/>
      <c r="E67" s="6"/>
      <c r="F67" s="7" t="s">
        <v>28</v>
      </c>
      <c r="H67" s="7"/>
      <c r="I67" s="7"/>
      <c r="J67" s="7" t="s">
        <v>29</v>
      </c>
      <c r="L67" s="245" t="s">
        <v>30</v>
      </c>
      <c r="R67" s="8"/>
      <c r="T67" s="8"/>
      <c r="U67" s="8"/>
      <c r="V67" s="8"/>
      <c r="X67" s="8"/>
      <c r="AB67" s="8"/>
      <c r="AD67" s="8"/>
      <c r="AE67" s="8"/>
      <c r="AF67" s="8"/>
      <c r="AH67" s="8"/>
      <c r="AL67" s="8"/>
      <c r="AN67" s="8"/>
      <c r="AO67" s="8"/>
      <c r="AP67" s="8"/>
      <c r="AR67" s="8"/>
      <c r="AV67" s="8"/>
      <c r="AX67" s="8"/>
      <c r="AY67" s="8"/>
      <c r="AZ67" s="8"/>
      <c r="BB67" s="8"/>
      <c r="BG67" s="8"/>
      <c r="BI67" s="8"/>
      <c r="BJ67" s="8"/>
      <c r="BK67" s="8"/>
      <c r="BM67" s="8"/>
    </row>
    <row r="68" spans="2:65" s="9" customFormat="1" ht="10.8">
      <c r="D68" s="9" t="s">
        <v>31</v>
      </c>
      <c r="E68" s="9" t="s">
        <v>32</v>
      </c>
      <c r="F68" s="10" t="s">
        <v>33</v>
      </c>
      <c r="H68" s="9" t="s">
        <v>7</v>
      </c>
      <c r="I68" s="9" t="s">
        <v>8</v>
      </c>
      <c r="J68" s="10"/>
      <c r="L68" s="246"/>
      <c r="R68" s="11"/>
      <c r="V68" s="11"/>
      <c r="X68" s="11"/>
      <c r="AB68" s="11"/>
      <c r="AF68" s="11"/>
      <c r="AH68" s="11"/>
      <c r="AL68" s="11"/>
      <c r="AP68" s="11"/>
      <c r="AR68" s="11"/>
      <c r="AV68" s="11"/>
      <c r="AZ68" s="11"/>
      <c r="BB68" s="11"/>
      <c r="BG68" s="11"/>
      <c r="BK68" s="11"/>
      <c r="BM68" s="11"/>
    </row>
    <row r="69" spans="2:65" s="9" customFormat="1" ht="10.8">
      <c r="D69" s="9" t="s">
        <v>34</v>
      </c>
      <c r="E69" s="9" t="s">
        <v>35</v>
      </c>
      <c r="F69" s="10" t="s">
        <v>36</v>
      </c>
      <c r="H69" s="9" t="s">
        <v>12</v>
      </c>
      <c r="I69" s="9" t="s">
        <v>13</v>
      </c>
      <c r="J69" s="10" t="s">
        <v>37</v>
      </c>
      <c r="L69" s="246" t="s">
        <v>38</v>
      </c>
      <c r="R69" s="11"/>
      <c r="V69" s="11"/>
      <c r="X69" s="11"/>
      <c r="AB69" s="11"/>
      <c r="AF69" s="11"/>
      <c r="AH69" s="11"/>
      <c r="AL69" s="11"/>
      <c r="AP69" s="11"/>
      <c r="AR69" s="11"/>
      <c r="AV69" s="11"/>
      <c r="AZ69" s="11"/>
      <c r="BB69" s="11"/>
      <c r="BG69" s="11"/>
      <c r="BK69" s="11"/>
      <c r="BM69" s="11"/>
    </row>
    <row r="70" spans="2:65" s="9" customFormat="1" ht="5.0999999999999996" customHeight="1">
      <c r="F70" s="11"/>
      <c r="J70" s="11"/>
      <c r="L70" s="11"/>
      <c r="R70" s="11"/>
      <c r="V70" s="11"/>
      <c r="X70" s="11"/>
      <c r="AB70" s="11"/>
      <c r="AF70" s="11"/>
      <c r="AH70" s="11"/>
      <c r="AL70" s="11"/>
      <c r="AP70" s="11"/>
      <c r="AR70" s="11"/>
      <c r="AV70" s="11"/>
      <c r="AZ70" s="11"/>
      <c r="BB70" s="11"/>
      <c r="BG70" s="11"/>
      <c r="BK70" s="11"/>
      <c r="BM70" s="11"/>
    </row>
    <row r="71" spans="2:65" ht="13.5" customHeight="1">
      <c r="B71" t="s">
        <v>168</v>
      </c>
      <c r="D71" s="176">
        <v>971.29</v>
      </c>
      <c r="E71" s="141"/>
      <c r="F71" s="255">
        <v>1028.51</v>
      </c>
      <c r="G71" s="40"/>
      <c r="H71" s="300">
        <v>1017.19</v>
      </c>
      <c r="I71" s="241"/>
      <c r="J71" s="241"/>
      <c r="K71" s="41"/>
      <c r="L71" s="312">
        <v>1079.82</v>
      </c>
      <c r="P71" s="212"/>
      <c r="Q71" s="156"/>
      <c r="R71" s="156"/>
      <c r="S71" s="40"/>
      <c r="T71" s="212"/>
      <c r="U71" s="40"/>
      <c r="V71" s="40"/>
      <c r="W71" s="41"/>
      <c r="X71" s="198"/>
      <c r="Z71" s="212"/>
      <c r="AA71" s="156"/>
      <c r="AB71" s="156"/>
      <c r="AC71" s="40"/>
      <c r="AD71" s="156"/>
      <c r="AE71" s="40"/>
      <c r="AF71" s="40"/>
      <c r="AG71" s="41"/>
      <c r="AH71" s="156"/>
      <c r="AJ71" s="156"/>
      <c r="AK71" s="156"/>
      <c r="AL71" s="156"/>
      <c r="AM71" s="40"/>
      <c r="AN71" s="156"/>
      <c r="AO71" s="40"/>
      <c r="AP71" s="40"/>
      <c r="AQ71" s="41"/>
      <c r="AR71" s="156"/>
      <c r="AT71" s="156"/>
      <c r="AU71" s="156"/>
      <c r="AV71" s="156"/>
      <c r="AW71" s="40"/>
      <c r="AX71" s="156"/>
      <c r="AY71" s="40"/>
      <c r="AZ71" s="40"/>
      <c r="BA71" s="41"/>
      <c r="BB71" s="156"/>
      <c r="BE71" s="156"/>
      <c r="BF71" s="156"/>
      <c r="BG71" s="156"/>
      <c r="BH71" s="40"/>
      <c r="BI71" s="156"/>
      <c r="BJ71" s="40"/>
      <c r="BK71" s="40"/>
      <c r="BL71" s="41"/>
      <c r="BM71" s="156"/>
    </row>
    <row r="72" spans="2:65" ht="13.2" customHeight="1">
      <c r="B72" t="s">
        <v>61</v>
      </c>
      <c r="D72" s="297">
        <v>15.19</v>
      </c>
      <c r="E72" s="255">
        <f>F72-D72</f>
        <v>41.760000000000005</v>
      </c>
      <c r="F72" s="256">
        <v>56.95</v>
      </c>
      <c r="G72" s="40"/>
      <c r="H72" s="308">
        <f>68.59-F72</f>
        <v>11.64</v>
      </c>
      <c r="I72" s="116">
        <f>J72-H72</f>
        <v>27.049999999999997</v>
      </c>
      <c r="J72" s="196">
        <f>L72-F72</f>
        <v>38.69</v>
      </c>
      <c r="K72" s="197"/>
      <c r="L72" s="196">
        <v>95.64</v>
      </c>
      <c r="P72" s="177"/>
      <c r="Q72" s="156"/>
      <c r="R72" s="156"/>
      <c r="S72" s="40"/>
      <c r="T72" s="177"/>
      <c r="U72" s="116"/>
      <c r="V72" s="196"/>
      <c r="W72" s="197"/>
      <c r="X72" s="196"/>
      <c r="Z72" s="177"/>
      <c r="AA72" s="156"/>
      <c r="AB72" s="156"/>
      <c r="AC72" s="40"/>
      <c r="AD72" s="40"/>
      <c r="AE72" s="116"/>
      <c r="AF72" s="40"/>
      <c r="AG72" s="41"/>
      <c r="AH72" s="40"/>
      <c r="AJ72" s="136"/>
      <c r="AK72" s="156"/>
      <c r="AL72" s="156"/>
      <c r="AM72" s="40"/>
      <c r="AN72" s="40"/>
      <c r="AO72" s="116"/>
      <c r="AP72" s="40"/>
      <c r="AQ72" s="41"/>
      <c r="AR72" s="40"/>
      <c r="AT72" s="156"/>
      <c r="AU72" s="156"/>
      <c r="AV72" s="156"/>
      <c r="AW72" s="40"/>
      <c r="AX72" s="40"/>
      <c r="AY72" s="116"/>
      <c r="AZ72" s="40"/>
      <c r="BA72" s="41"/>
      <c r="BB72" s="40"/>
      <c r="BE72" s="156"/>
      <c r="BF72" s="156"/>
      <c r="BG72" s="156"/>
      <c r="BH72" s="40"/>
      <c r="BI72" s="40"/>
      <c r="BJ72" s="116"/>
      <c r="BK72" s="40"/>
      <c r="BL72" s="41"/>
      <c r="BM72" s="40"/>
    </row>
    <row r="73" spans="2:65" ht="3.75" customHeight="1">
      <c r="D73" s="38"/>
      <c r="E73" s="141"/>
      <c r="F73" s="255"/>
      <c r="G73" s="40"/>
      <c r="H73" s="256"/>
      <c r="I73" s="241"/>
      <c r="J73" s="40"/>
      <c r="K73" s="41"/>
      <c r="L73" s="40"/>
      <c r="P73" s="156"/>
      <c r="Q73" s="156"/>
      <c r="R73" s="156"/>
      <c r="S73" s="40"/>
      <c r="T73" s="40"/>
      <c r="U73" s="40"/>
      <c r="V73" s="40"/>
      <c r="W73" s="41"/>
      <c r="X73" s="40"/>
      <c r="Z73" s="156"/>
      <c r="AA73" s="156"/>
      <c r="AB73" s="156"/>
      <c r="AC73" s="40"/>
      <c r="AD73" s="40"/>
      <c r="AE73" s="40"/>
      <c r="AF73" s="40"/>
      <c r="AG73" s="41"/>
      <c r="AH73" s="40"/>
      <c r="AJ73" s="156"/>
      <c r="AK73" s="156"/>
      <c r="AL73" s="156"/>
      <c r="AM73" s="40"/>
      <c r="AN73" s="40"/>
      <c r="AO73" s="40"/>
      <c r="AP73" s="40"/>
      <c r="AQ73" s="41"/>
      <c r="AR73" s="40"/>
      <c r="AT73" s="156"/>
      <c r="AU73" s="156"/>
      <c r="AV73" s="156"/>
      <c r="AW73" s="40"/>
      <c r="AX73" s="40"/>
      <c r="AY73" s="40"/>
      <c r="AZ73" s="40"/>
      <c r="BA73" s="41"/>
      <c r="BB73" s="40"/>
      <c r="BE73" s="156"/>
      <c r="BF73" s="156"/>
      <c r="BG73" s="156"/>
      <c r="BH73" s="40"/>
      <c r="BI73" s="40"/>
      <c r="BJ73" s="40"/>
      <c r="BK73" s="40"/>
      <c r="BL73" s="41"/>
      <c r="BM73" s="40"/>
    </row>
    <row r="74" spans="2:65" s="9" customFormat="1" ht="13.5" customHeight="1">
      <c r="B74" t="s">
        <v>62</v>
      </c>
      <c r="D74" s="306" t="s">
        <v>196</v>
      </c>
      <c r="E74" s="142"/>
      <c r="F74" s="256">
        <v>11</v>
      </c>
      <c r="G74" s="40"/>
      <c r="H74" s="284" t="s">
        <v>104</v>
      </c>
      <c r="I74" s="241"/>
      <c r="J74" s="40">
        <v>11</v>
      </c>
      <c r="K74" s="43"/>
      <c r="L74" s="40">
        <v>22</v>
      </c>
      <c r="P74" s="135"/>
      <c r="Q74" s="40"/>
      <c r="R74" s="40"/>
      <c r="S74" s="40"/>
      <c r="T74" s="135"/>
      <c r="U74" s="40"/>
      <c r="V74" s="40"/>
      <c r="W74" s="43"/>
      <c r="X74" s="40"/>
      <c r="Z74" s="135"/>
      <c r="AA74" s="40"/>
      <c r="AB74" s="40"/>
      <c r="AC74" s="40"/>
      <c r="AD74" s="135"/>
      <c r="AE74" s="40"/>
      <c r="AF74" s="40"/>
      <c r="AG74" s="43"/>
      <c r="AH74" s="40"/>
      <c r="AJ74" s="135"/>
      <c r="AK74" s="40"/>
      <c r="AL74" s="40"/>
      <c r="AM74" s="40"/>
      <c r="AN74" s="135"/>
      <c r="AO74" s="40"/>
      <c r="AP74" s="40"/>
      <c r="AQ74" s="43"/>
      <c r="AR74" s="40"/>
      <c r="AT74" s="40"/>
      <c r="AU74" s="40"/>
      <c r="AV74" s="40"/>
      <c r="AW74" s="40"/>
      <c r="AX74" s="40"/>
      <c r="AY74" s="40"/>
      <c r="AZ74" s="40"/>
      <c r="BA74" s="43"/>
      <c r="BB74" s="40"/>
      <c r="BE74" s="40"/>
      <c r="BF74" s="40"/>
      <c r="BG74" s="40"/>
      <c r="BH74" s="40"/>
      <c r="BI74" s="40"/>
      <c r="BJ74" s="40"/>
      <c r="BK74" s="40"/>
      <c r="BL74" s="43"/>
      <c r="BM74" s="40"/>
    </row>
    <row r="75" spans="2:65" s="9" customFormat="1" ht="13.5" customHeight="1">
      <c r="B75" s="44"/>
      <c r="D75" s="40"/>
      <c r="E75" s="40"/>
      <c r="F75" s="256"/>
      <c r="G75" s="40"/>
      <c r="H75" s="256"/>
      <c r="I75" s="40"/>
      <c r="J75" s="40"/>
      <c r="K75" s="40"/>
      <c r="L75" s="40"/>
      <c r="P75" s="40"/>
      <c r="Q75" s="40"/>
      <c r="R75" s="40"/>
      <c r="S75" s="40"/>
      <c r="T75" s="40"/>
      <c r="U75" s="40"/>
      <c r="V75" s="40"/>
      <c r="W75" s="43"/>
      <c r="X75" s="40"/>
      <c r="Z75" s="40"/>
      <c r="AA75" s="40"/>
      <c r="AB75" s="40"/>
      <c r="AC75" s="40"/>
      <c r="AD75" s="40"/>
      <c r="AE75" s="40"/>
      <c r="AF75" s="40"/>
      <c r="AG75" s="43"/>
      <c r="AH75" s="40"/>
      <c r="AJ75" s="40"/>
      <c r="AK75" s="40"/>
      <c r="AL75" s="40"/>
      <c r="AM75" s="40"/>
      <c r="AN75" s="40"/>
      <c r="AO75" s="40"/>
      <c r="AP75" s="40"/>
      <c r="AQ75" s="43"/>
      <c r="AR75" s="40"/>
      <c r="AT75" s="40"/>
      <c r="AU75" s="40"/>
      <c r="AV75" s="40"/>
      <c r="AW75" s="40"/>
      <c r="AX75" s="40"/>
      <c r="AY75" s="40"/>
      <c r="AZ75" s="40"/>
      <c r="BA75" s="43"/>
      <c r="BB75" s="40"/>
      <c r="BE75" s="40"/>
      <c r="BF75" s="40"/>
      <c r="BG75" s="40"/>
      <c r="BH75" s="40"/>
      <c r="BI75" s="40"/>
      <c r="BJ75" s="40"/>
      <c r="BK75" s="40"/>
      <c r="BL75" s="43"/>
      <c r="BM75" s="40"/>
    </row>
    <row r="76" spans="2:65" s="9" customFormat="1" ht="13.5" customHeight="1">
      <c r="B76" t="s">
        <v>63</v>
      </c>
      <c r="D76" s="40"/>
      <c r="E76" s="40"/>
      <c r="F76" s="256"/>
      <c r="G76" s="40"/>
      <c r="H76" s="256"/>
      <c r="I76" s="40"/>
      <c r="J76" s="40"/>
      <c r="K76" s="40"/>
      <c r="L76" s="40"/>
      <c r="P76" s="40"/>
      <c r="Q76" s="40"/>
      <c r="R76" s="40"/>
      <c r="S76" s="40"/>
      <c r="T76" s="40"/>
      <c r="U76" s="40"/>
      <c r="V76" s="40"/>
      <c r="W76" s="43"/>
      <c r="X76" s="40"/>
      <c r="Z76" s="40"/>
      <c r="AA76" s="40"/>
      <c r="AB76" s="40"/>
      <c r="AC76" s="40"/>
      <c r="AD76" s="40"/>
      <c r="AE76" s="40"/>
      <c r="AF76" s="40"/>
      <c r="AG76" s="43"/>
      <c r="AH76" s="40"/>
      <c r="AJ76" s="40"/>
      <c r="AK76" s="40"/>
      <c r="AL76" s="40"/>
      <c r="AM76" s="40"/>
      <c r="AN76" s="40"/>
      <c r="AO76" s="40"/>
      <c r="AP76" s="40"/>
      <c r="AQ76" s="43"/>
      <c r="AR76" s="40"/>
      <c r="AT76" s="40"/>
      <c r="AU76" s="40"/>
      <c r="AV76" s="40"/>
      <c r="AW76" s="40"/>
      <c r="AX76" s="40"/>
      <c r="AY76" s="40"/>
      <c r="AZ76" s="40"/>
      <c r="BA76" s="43"/>
      <c r="BB76" s="40"/>
      <c r="BE76" s="40"/>
      <c r="BF76" s="40"/>
      <c r="BG76" s="40"/>
      <c r="BH76" s="40"/>
      <c r="BI76" s="40"/>
      <c r="BJ76" s="40"/>
      <c r="BK76" s="40"/>
      <c r="BL76" s="43"/>
      <c r="BM76" s="40"/>
    </row>
    <row r="77" spans="2:65" s="9" customFormat="1" ht="13.5" customHeight="1">
      <c r="B77" t="s">
        <v>64</v>
      </c>
      <c r="D77" s="46">
        <v>3032851</v>
      </c>
      <c r="E77" s="124"/>
      <c r="F77" s="257">
        <v>3032851</v>
      </c>
      <c r="G77" s="46"/>
      <c r="H77" s="270">
        <v>3032851</v>
      </c>
      <c r="I77" s="124"/>
      <c r="J77" s="124"/>
      <c r="K77" s="48"/>
      <c r="L77" s="46">
        <v>3032851</v>
      </c>
      <c r="P77" s="157"/>
      <c r="Q77" s="157"/>
      <c r="R77" s="157"/>
      <c r="S77" s="157"/>
      <c r="T77" s="157"/>
      <c r="U77" s="157"/>
      <c r="V77" s="157"/>
      <c r="W77" s="213"/>
      <c r="X77" s="157"/>
      <c r="Z77" s="157"/>
      <c r="AA77" s="157"/>
      <c r="AB77" s="157"/>
      <c r="AC77" s="157"/>
      <c r="AD77" s="157"/>
      <c r="AE77" s="157"/>
      <c r="AF77" s="157"/>
      <c r="AG77" s="213"/>
      <c r="AH77" s="157"/>
      <c r="AJ77" s="157"/>
      <c r="AK77" s="157"/>
      <c r="AL77" s="157"/>
      <c r="AM77" s="157"/>
      <c r="AN77" s="157"/>
      <c r="AO77" s="157"/>
      <c r="AP77" s="157"/>
      <c r="AQ77" s="213"/>
      <c r="AR77" s="157"/>
      <c r="AT77" s="157"/>
      <c r="AU77" s="157"/>
      <c r="AV77" s="157"/>
      <c r="AW77" s="157"/>
      <c r="AX77" s="157"/>
      <c r="AY77" s="157"/>
      <c r="AZ77" s="157"/>
      <c r="BA77" s="213"/>
      <c r="BB77" s="157"/>
      <c r="BE77" s="157"/>
      <c r="BF77" s="157"/>
      <c r="BG77" s="157"/>
      <c r="BH77" s="157"/>
      <c r="BI77" s="157"/>
      <c r="BJ77" s="157"/>
      <c r="BK77" s="157"/>
      <c r="BL77" s="213"/>
      <c r="BM77" s="157"/>
    </row>
    <row r="78" spans="2:65" s="9" customFormat="1" ht="13.5" customHeight="1">
      <c r="B78" t="s">
        <v>65</v>
      </c>
      <c r="D78" s="46">
        <v>18320</v>
      </c>
      <c r="E78" s="124"/>
      <c r="F78" s="257">
        <v>18141</v>
      </c>
      <c r="G78" s="46"/>
      <c r="H78" s="270">
        <v>18166</v>
      </c>
      <c r="I78" s="124"/>
      <c r="J78" s="124"/>
      <c r="K78" s="48"/>
      <c r="L78" s="157">
        <v>44199</v>
      </c>
      <c r="P78" s="157"/>
      <c r="Q78" s="157"/>
      <c r="R78" s="157"/>
      <c r="S78" s="157"/>
      <c r="T78" s="157"/>
      <c r="U78" s="157"/>
      <c r="V78" s="157"/>
      <c r="W78" s="213"/>
      <c r="X78" s="157"/>
      <c r="Z78" s="157"/>
      <c r="AA78" s="157"/>
      <c r="AB78" s="157"/>
      <c r="AC78" s="157"/>
      <c r="AD78" s="157"/>
      <c r="AE78" s="157"/>
      <c r="AF78" s="157"/>
      <c r="AG78" s="213"/>
      <c r="AH78" s="157"/>
      <c r="AJ78" s="157"/>
      <c r="AK78" s="157"/>
      <c r="AL78" s="157"/>
      <c r="AM78" s="157"/>
      <c r="AN78" s="157"/>
      <c r="AO78" s="157"/>
      <c r="AP78" s="157"/>
      <c r="AQ78" s="213"/>
      <c r="AR78" s="157"/>
      <c r="AT78" s="157"/>
      <c r="AU78" s="157"/>
      <c r="AV78" s="157"/>
      <c r="AW78" s="157"/>
      <c r="AX78" s="157"/>
      <c r="AY78" s="157"/>
      <c r="AZ78" s="157"/>
      <c r="BA78" s="213"/>
      <c r="BB78" s="157"/>
      <c r="BE78" s="157"/>
      <c r="BF78" s="157"/>
      <c r="BG78" s="157"/>
      <c r="BH78" s="157"/>
      <c r="BI78" s="157"/>
      <c r="BJ78" s="157"/>
      <c r="BK78" s="157"/>
      <c r="BL78" s="213"/>
      <c r="BM78" s="157"/>
    </row>
    <row r="79" spans="2:65" s="9" customFormat="1" ht="13.5" customHeight="1">
      <c r="B79" t="s">
        <v>66</v>
      </c>
      <c r="D79" s="46">
        <v>3014561</v>
      </c>
      <c r="E79" s="124"/>
      <c r="F79" s="257">
        <v>3014701</v>
      </c>
      <c r="G79" s="46"/>
      <c r="H79" s="310">
        <v>3014701</v>
      </c>
      <c r="I79" s="124"/>
      <c r="J79" s="124"/>
      <c r="K79" s="48"/>
      <c r="L79" s="157">
        <v>3012482</v>
      </c>
      <c r="P79" s="157"/>
      <c r="Q79" s="157"/>
      <c r="R79" s="157"/>
      <c r="S79" s="157"/>
      <c r="T79" s="157"/>
      <c r="U79" s="157"/>
      <c r="V79" s="157"/>
      <c r="W79" s="213"/>
      <c r="X79" s="157"/>
      <c r="Z79" s="157"/>
      <c r="AA79" s="157"/>
      <c r="AB79" s="157"/>
      <c r="AC79" s="157"/>
      <c r="AD79" s="157"/>
      <c r="AE79" s="157"/>
      <c r="AF79" s="157"/>
      <c r="AG79" s="213"/>
      <c r="AH79" s="157"/>
      <c r="AJ79" s="157"/>
      <c r="AK79" s="157"/>
      <c r="AL79" s="157"/>
      <c r="AM79" s="157"/>
      <c r="AN79" s="157"/>
      <c r="AO79" s="157"/>
      <c r="AP79" s="157"/>
      <c r="AQ79" s="213"/>
      <c r="AR79" s="157"/>
      <c r="AT79" s="157"/>
      <c r="AU79" s="157"/>
      <c r="AV79" s="157"/>
      <c r="AW79" s="157"/>
      <c r="AX79" s="157"/>
      <c r="AY79" s="157"/>
      <c r="AZ79" s="157"/>
      <c r="BA79" s="213"/>
      <c r="BB79" s="157"/>
      <c r="BE79" s="157"/>
      <c r="BF79" s="157"/>
      <c r="BG79" s="157"/>
      <c r="BH79" s="157"/>
      <c r="BI79" s="157"/>
      <c r="BJ79" s="157"/>
      <c r="BK79" s="157"/>
      <c r="BL79" s="213"/>
      <c r="BM79" s="157"/>
    </row>
    <row r="80" spans="2:65" s="9" customFormat="1">
      <c r="B80"/>
      <c r="D80" s="199"/>
      <c r="E80" s="43"/>
      <c r="F80" s="296"/>
      <c r="G80" s="43"/>
      <c r="H80" s="283"/>
      <c r="I80" s="43"/>
      <c r="J80" s="43"/>
      <c r="K80" s="43"/>
      <c r="L80" s="43"/>
      <c r="P80" s="43"/>
      <c r="Q80" s="43"/>
      <c r="R80" s="45"/>
      <c r="S80" s="43"/>
      <c r="T80" s="43"/>
      <c r="U80" s="43"/>
      <c r="V80" s="45"/>
      <c r="W80" s="43"/>
      <c r="X80" s="43"/>
      <c r="Z80" s="43"/>
      <c r="AA80" s="43"/>
      <c r="AB80" s="45"/>
      <c r="AC80" s="43"/>
      <c r="AD80" s="43"/>
      <c r="AE80" s="43"/>
      <c r="AF80" s="45"/>
      <c r="AG80" s="43"/>
      <c r="AH80" s="43"/>
      <c r="AJ80" s="43"/>
      <c r="AK80" s="43"/>
      <c r="AL80" s="45"/>
      <c r="AM80" s="43"/>
      <c r="AN80" s="43"/>
      <c r="AO80" s="43"/>
      <c r="AP80" s="45"/>
      <c r="AQ80" s="43"/>
      <c r="AR80" s="43"/>
      <c r="AT80" s="43"/>
      <c r="AU80" s="43"/>
      <c r="AV80" s="45"/>
      <c r="AW80" s="43"/>
      <c r="AX80" s="43"/>
      <c r="AY80" s="43"/>
      <c r="AZ80" s="45"/>
      <c r="BA80" s="43"/>
      <c r="BB80" s="43"/>
      <c r="BE80" s="43"/>
      <c r="BF80" s="43"/>
      <c r="BG80" s="45"/>
      <c r="BH80" s="43"/>
      <c r="BI80" s="43"/>
      <c r="BJ80" s="43"/>
      <c r="BK80" s="45"/>
      <c r="BL80" s="43"/>
      <c r="BM80" s="43"/>
    </row>
    <row r="81" spans="1:65" s="9" customFormat="1">
      <c r="A81" s="250" t="s">
        <v>67</v>
      </c>
      <c r="B81"/>
      <c r="D81" s="43"/>
      <c r="E81" s="43"/>
      <c r="F81" s="296"/>
      <c r="G81" s="43"/>
      <c r="H81" s="283"/>
      <c r="I81" s="43"/>
      <c r="J81" s="43"/>
      <c r="K81" s="43"/>
      <c r="L81" s="43"/>
      <c r="P81" s="43"/>
      <c r="Q81" s="43"/>
      <c r="R81" s="45"/>
      <c r="S81" s="43"/>
      <c r="T81" s="43"/>
      <c r="U81" s="43"/>
      <c r="V81" s="45"/>
      <c r="W81" s="43"/>
      <c r="X81" s="43"/>
      <c r="Z81" s="43"/>
      <c r="AA81" s="43"/>
      <c r="AB81" s="45"/>
      <c r="AC81" s="43"/>
      <c r="AD81" s="43"/>
      <c r="AE81" s="43"/>
      <c r="AF81" s="45"/>
      <c r="AG81" s="43"/>
      <c r="AH81" s="43"/>
      <c r="AJ81" s="43"/>
      <c r="AK81" s="43"/>
      <c r="AL81" s="45"/>
      <c r="AM81" s="43"/>
      <c r="AN81" s="43"/>
      <c r="AO81" s="43"/>
      <c r="AP81" s="45"/>
      <c r="AQ81" s="43"/>
      <c r="AR81" s="43"/>
      <c r="AT81" s="43"/>
      <c r="AU81" s="43"/>
      <c r="AV81" s="45"/>
      <c r="AW81" s="43"/>
      <c r="AX81" s="43"/>
      <c r="AY81" s="43"/>
      <c r="AZ81" s="45"/>
      <c r="BA81" s="43"/>
      <c r="BB81" s="43"/>
      <c r="BE81" s="43"/>
      <c r="BF81" s="43"/>
      <c r="BG81" s="45"/>
      <c r="BH81" s="43"/>
      <c r="BI81" s="43"/>
      <c r="BJ81" s="43"/>
      <c r="BK81" s="45"/>
      <c r="BL81" s="43"/>
      <c r="BM81" s="43"/>
    </row>
    <row r="82" spans="1:65" s="9" customFormat="1" ht="13.5" customHeight="1">
      <c r="B82" t="s">
        <v>149</v>
      </c>
      <c r="D82" s="46">
        <v>29280</v>
      </c>
      <c r="E82" s="124"/>
      <c r="F82" s="257">
        <v>31007</v>
      </c>
      <c r="G82" s="40"/>
      <c r="H82" s="270">
        <v>30665</v>
      </c>
      <c r="I82" s="124"/>
      <c r="J82" s="124"/>
      <c r="K82" s="40"/>
      <c r="L82" s="157">
        <v>32272</v>
      </c>
      <c r="P82" s="157"/>
      <c r="Q82" s="157"/>
      <c r="R82" s="157"/>
      <c r="S82" s="40"/>
      <c r="T82" s="157"/>
      <c r="U82" s="157"/>
      <c r="V82" s="157"/>
      <c r="W82" s="40"/>
      <c r="X82" s="157"/>
      <c r="Z82" s="157"/>
      <c r="AA82" s="157"/>
      <c r="AB82" s="157"/>
      <c r="AC82" s="40"/>
      <c r="AD82" s="157"/>
      <c r="AE82" s="157"/>
      <c r="AF82" s="157"/>
      <c r="AG82" s="40"/>
      <c r="AH82" s="157"/>
      <c r="AJ82" s="157"/>
      <c r="AK82" s="157"/>
      <c r="AL82" s="157"/>
      <c r="AM82" s="40"/>
      <c r="AN82" s="157"/>
      <c r="AO82" s="157"/>
      <c r="AP82" s="157"/>
      <c r="AQ82" s="40"/>
      <c r="AR82" s="157"/>
      <c r="AT82" s="157"/>
      <c r="AU82" s="157"/>
      <c r="AV82" s="157"/>
      <c r="AW82" s="40"/>
      <c r="AX82" s="157"/>
      <c r="AY82" s="157"/>
      <c r="AZ82" s="157"/>
      <c r="BA82" s="40"/>
      <c r="BB82" s="157"/>
      <c r="BE82" s="157"/>
      <c r="BF82" s="157"/>
      <c r="BG82" s="157"/>
      <c r="BH82" s="40"/>
      <c r="BI82" s="157"/>
      <c r="BJ82" s="157"/>
      <c r="BK82" s="157"/>
      <c r="BL82" s="40"/>
      <c r="BM82" s="157"/>
    </row>
    <row r="83" spans="1:65" s="9" customFormat="1" ht="13.5" customHeight="1">
      <c r="B83" t="s">
        <v>150</v>
      </c>
      <c r="D83" s="49">
        <v>0.28399999999999997</v>
      </c>
      <c r="E83" s="141"/>
      <c r="F83" s="259">
        <v>0.3</v>
      </c>
      <c r="G83" s="50"/>
      <c r="H83" s="271">
        <v>0.29699999999999999</v>
      </c>
      <c r="I83" s="141"/>
      <c r="J83" s="141"/>
      <c r="K83" s="50"/>
      <c r="L83" s="49">
        <v>0.318</v>
      </c>
      <c r="P83" s="158"/>
      <c r="Q83" s="156"/>
      <c r="R83" s="158"/>
      <c r="S83" s="50"/>
      <c r="T83" s="158"/>
      <c r="U83" s="156"/>
      <c r="V83" s="156"/>
      <c r="W83" s="50"/>
      <c r="X83" s="158"/>
      <c r="Z83" s="158"/>
      <c r="AA83" s="156"/>
      <c r="AB83" s="158"/>
      <c r="AC83" s="50"/>
      <c r="AD83" s="158"/>
      <c r="AE83" s="156"/>
      <c r="AF83" s="156"/>
      <c r="AG83" s="50"/>
      <c r="AH83" s="158"/>
      <c r="AJ83" s="158"/>
      <c r="AK83" s="156"/>
      <c r="AL83" s="158"/>
      <c r="AM83" s="50"/>
      <c r="AN83" s="158"/>
      <c r="AO83" s="156"/>
      <c r="AP83" s="156"/>
      <c r="AQ83" s="50"/>
      <c r="AR83" s="158"/>
      <c r="AT83" s="158"/>
      <c r="AU83" s="156"/>
      <c r="AV83" s="158"/>
      <c r="AW83" s="50"/>
      <c r="AX83" s="158"/>
      <c r="AY83" s="156"/>
      <c r="AZ83" s="156"/>
      <c r="BA83" s="50"/>
      <c r="BB83" s="158"/>
      <c r="BE83" s="158"/>
      <c r="BF83" s="156"/>
      <c r="BG83" s="158"/>
      <c r="BH83" s="50"/>
      <c r="BI83" s="158"/>
      <c r="BJ83" s="156"/>
      <c r="BK83" s="156"/>
      <c r="BL83" s="50"/>
      <c r="BM83" s="158"/>
    </row>
    <row r="84" spans="1:65" s="9" customFormat="1" ht="13.5" customHeight="1">
      <c r="B84" t="s">
        <v>151</v>
      </c>
      <c r="D84" s="46">
        <v>29077</v>
      </c>
      <c r="E84" s="124"/>
      <c r="F84" s="257">
        <v>24897</v>
      </c>
      <c r="G84" s="50"/>
      <c r="H84" s="275">
        <v>25199</v>
      </c>
      <c r="I84" s="124"/>
      <c r="J84" s="124"/>
      <c r="K84" s="50"/>
      <c r="L84" s="157">
        <v>20000</v>
      </c>
      <c r="P84" s="157"/>
      <c r="Q84" s="157"/>
      <c r="R84" s="157"/>
      <c r="S84" s="50"/>
      <c r="T84" s="157"/>
      <c r="U84" s="157"/>
      <c r="V84" s="157"/>
      <c r="W84" s="50"/>
      <c r="X84" s="157"/>
      <c r="Z84" s="157"/>
      <c r="AA84" s="157"/>
      <c r="AB84" s="157"/>
      <c r="AC84" s="50"/>
      <c r="AD84" s="157"/>
      <c r="AE84" s="157"/>
      <c r="AF84" s="157"/>
      <c r="AG84" s="50"/>
      <c r="AH84" s="157"/>
      <c r="AJ84" s="157"/>
      <c r="AK84" s="157"/>
      <c r="AL84" s="157"/>
      <c r="AM84" s="50"/>
      <c r="AN84" s="157"/>
      <c r="AO84" s="157"/>
      <c r="AP84" s="157"/>
      <c r="AQ84" s="50"/>
      <c r="AR84" s="157"/>
      <c r="AT84" s="157"/>
      <c r="AU84" s="157"/>
      <c r="AV84" s="157"/>
      <c r="AW84" s="50"/>
      <c r="AX84" s="157"/>
      <c r="AY84" s="157"/>
      <c r="AZ84" s="157"/>
      <c r="BA84" s="50"/>
      <c r="BB84" s="157"/>
      <c r="BE84" s="157"/>
      <c r="BF84" s="157"/>
      <c r="BG84" s="157"/>
      <c r="BH84" s="50"/>
      <c r="BI84" s="157"/>
      <c r="BJ84" s="157"/>
      <c r="BK84" s="157"/>
      <c r="BL84" s="50"/>
      <c r="BM84" s="157"/>
    </row>
    <row r="85" spans="1:65" s="9" customFormat="1" ht="13.5" customHeight="1">
      <c r="B85" s="302" t="s">
        <v>190</v>
      </c>
      <c r="D85" s="50">
        <v>0.87</v>
      </c>
      <c r="E85" s="142"/>
      <c r="F85" s="260">
        <v>0.7</v>
      </c>
      <c r="G85" s="50"/>
      <c r="H85" s="272">
        <v>0.72</v>
      </c>
      <c r="I85" s="142"/>
      <c r="J85" s="142"/>
      <c r="K85" s="50"/>
      <c r="L85" s="50">
        <v>0.54</v>
      </c>
      <c r="P85" s="50"/>
      <c r="Q85" s="40"/>
      <c r="R85" s="50"/>
      <c r="S85" s="50"/>
      <c r="T85" s="50"/>
      <c r="U85" s="40"/>
      <c r="V85" s="40"/>
      <c r="W85" s="50"/>
      <c r="X85" s="50"/>
      <c r="Z85" s="50"/>
      <c r="AA85" s="40"/>
      <c r="AB85" s="50"/>
      <c r="AC85" s="50"/>
      <c r="AD85" s="50"/>
      <c r="AE85" s="40"/>
      <c r="AF85" s="40"/>
      <c r="AG85" s="50"/>
      <c r="AH85" s="50"/>
      <c r="AJ85" s="50"/>
      <c r="AK85" s="40"/>
      <c r="AL85" s="50"/>
      <c r="AM85" s="50"/>
      <c r="AN85" s="50"/>
      <c r="AO85" s="40"/>
      <c r="AP85" s="40"/>
      <c r="AQ85" s="50"/>
      <c r="AR85" s="50"/>
      <c r="AT85" s="50"/>
      <c r="AU85" s="40"/>
      <c r="AV85" s="50"/>
      <c r="AW85" s="50"/>
      <c r="AX85" s="50"/>
      <c r="AY85" s="40"/>
      <c r="AZ85" s="40"/>
      <c r="BA85" s="50"/>
      <c r="BB85" s="50"/>
      <c r="BE85" s="50"/>
      <c r="BF85" s="40"/>
      <c r="BG85" s="50"/>
      <c r="BH85" s="50"/>
      <c r="BI85" s="50"/>
      <c r="BJ85" s="40"/>
      <c r="BK85" s="40"/>
      <c r="BL85" s="50"/>
      <c r="BM85" s="50"/>
    </row>
    <row r="86" spans="1:65" s="9" customFormat="1" ht="13.5" customHeight="1">
      <c r="B86" s="302" t="s">
        <v>191</v>
      </c>
      <c r="D86" s="50">
        <v>0.79</v>
      </c>
      <c r="E86" s="142"/>
      <c r="F86" s="260">
        <v>0.61</v>
      </c>
      <c r="G86" s="50"/>
      <c r="H86" s="272">
        <v>0.62</v>
      </c>
      <c r="I86" s="142"/>
      <c r="J86" s="142"/>
      <c r="K86" s="50"/>
      <c r="L86" s="50">
        <v>0.46</v>
      </c>
      <c r="P86" s="50"/>
      <c r="Q86" s="40"/>
      <c r="R86" s="50"/>
      <c r="S86" s="50"/>
      <c r="T86" s="50"/>
      <c r="U86" s="40"/>
      <c r="V86" s="40"/>
      <c r="W86" s="50"/>
      <c r="X86" s="50"/>
      <c r="Z86" s="50"/>
      <c r="AA86" s="40"/>
      <c r="AB86" s="50"/>
      <c r="AC86" s="50"/>
      <c r="AD86" s="50"/>
      <c r="AE86" s="40"/>
      <c r="AF86" s="40"/>
      <c r="AG86" s="50"/>
      <c r="AH86" s="50"/>
      <c r="AJ86" s="50"/>
      <c r="AK86" s="40"/>
      <c r="AL86" s="50"/>
      <c r="AM86" s="50"/>
      <c r="AN86" s="50"/>
      <c r="AO86" s="40"/>
      <c r="AP86" s="40"/>
      <c r="AQ86" s="50"/>
      <c r="AR86" s="50"/>
      <c r="AT86" s="50"/>
      <c r="AU86" s="40"/>
      <c r="AV86" s="50"/>
      <c r="AW86" s="50"/>
      <c r="AX86" s="50"/>
      <c r="AY86" s="40"/>
      <c r="AZ86" s="40"/>
      <c r="BA86" s="50"/>
      <c r="BB86" s="50"/>
      <c r="BE86" s="50"/>
      <c r="BF86" s="40"/>
      <c r="BG86" s="50"/>
      <c r="BH86" s="50"/>
      <c r="BI86" s="50"/>
      <c r="BJ86" s="40"/>
      <c r="BK86" s="40"/>
      <c r="BL86" s="50"/>
      <c r="BM86" s="50"/>
    </row>
    <row r="87" spans="1:65" s="9" customFormat="1" ht="13.5" customHeight="1">
      <c r="B87"/>
      <c r="D87" s="50"/>
      <c r="E87" s="40"/>
      <c r="F87" s="50"/>
      <c r="G87" s="50"/>
      <c r="H87" s="50"/>
      <c r="I87" s="50"/>
      <c r="J87" s="51"/>
      <c r="K87" s="50"/>
      <c r="L87" s="51"/>
      <c r="P87" s="50"/>
      <c r="Q87" s="40"/>
      <c r="R87" s="50"/>
      <c r="S87" s="50"/>
      <c r="T87" s="50"/>
      <c r="U87" s="50"/>
      <c r="V87" s="51"/>
      <c r="W87" s="50"/>
      <c r="X87" s="51"/>
      <c r="Z87" s="50"/>
      <c r="AA87" s="40"/>
      <c r="AB87" s="50"/>
      <c r="AC87" s="50"/>
      <c r="AD87" s="50"/>
      <c r="AE87" s="50"/>
      <c r="AF87" s="51"/>
      <c r="AG87" s="50"/>
      <c r="AH87" s="51"/>
      <c r="AJ87" s="50"/>
      <c r="AK87" s="40"/>
      <c r="AL87" s="50"/>
      <c r="AM87" s="50"/>
      <c r="AN87" s="50"/>
      <c r="AO87" s="50"/>
      <c r="AP87" s="51"/>
      <c r="AQ87" s="50"/>
      <c r="AR87" s="51"/>
      <c r="AT87" s="50"/>
      <c r="AU87" s="40"/>
      <c r="AV87" s="50"/>
      <c r="AW87" s="50"/>
      <c r="AX87" s="50"/>
      <c r="AY87" s="50"/>
      <c r="AZ87" s="51"/>
      <c r="BA87" s="50"/>
      <c r="BB87" s="51"/>
      <c r="BE87" s="50"/>
      <c r="BF87" s="40"/>
      <c r="BG87" s="50"/>
      <c r="BH87" s="50"/>
      <c r="BI87" s="50"/>
      <c r="BJ87" s="50"/>
      <c r="BK87" s="51"/>
      <c r="BL87" s="50"/>
      <c r="BM87" s="51"/>
    </row>
    <row r="88" spans="1:65" s="3" customFormat="1" ht="16.2">
      <c r="A88" s="250" t="s">
        <v>73</v>
      </c>
    </row>
    <row r="89" spans="1:65">
      <c r="B89" t="s">
        <v>1</v>
      </c>
      <c r="D89" s="244" t="str">
        <f>D5</f>
        <v>2023年度　（2023年4月-2024年3月）</v>
      </c>
      <c r="E89" s="244"/>
      <c r="F89" s="244"/>
      <c r="G89" s="244"/>
      <c r="H89" s="244"/>
      <c r="I89" s="244"/>
      <c r="J89" s="244"/>
      <c r="K89" s="244"/>
      <c r="L89" s="244"/>
      <c r="P89" s="5"/>
      <c r="Q89" s="5"/>
      <c r="R89" s="5"/>
      <c r="S89" s="5"/>
      <c r="T89" s="5"/>
      <c r="U89" s="5"/>
      <c r="V89" s="5"/>
      <c r="W89" s="5"/>
      <c r="X89" s="5"/>
      <c r="Z89" s="5"/>
      <c r="AA89" s="5"/>
      <c r="AB89" s="5"/>
      <c r="AC89" s="5"/>
      <c r="AD89" s="5"/>
      <c r="AE89" s="5"/>
      <c r="AF89" s="5"/>
      <c r="AG89" s="5"/>
      <c r="AH89" s="5"/>
      <c r="AJ89" s="5"/>
      <c r="AK89" s="5"/>
      <c r="AL89" s="5"/>
      <c r="AM89" s="5"/>
      <c r="AN89" s="5"/>
      <c r="AO89" s="5"/>
      <c r="AP89" s="5"/>
      <c r="AQ89" s="5"/>
      <c r="AR89" s="5"/>
      <c r="AT89" s="5"/>
      <c r="AU89" s="5"/>
      <c r="AV89" s="5"/>
      <c r="AW89" s="5"/>
      <c r="AX89" s="5"/>
      <c r="AY89" s="5"/>
      <c r="AZ89" s="5"/>
      <c r="BA89" s="5"/>
      <c r="BB89" s="5"/>
      <c r="BE89" s="5"/>
      <c r="BF89" s="5"/>
      <c r="BG89" s="5"/>
      <c r="BH89" s="5"/>
      <c r="BI89" s="5"/>
      <c r="BJ89" s="5"/>
      <c r="BK89" s="5"/>
      <c r="BL89" s="5"/>
      <c r="BM89" s="5"/>
    </row>
    <row r="90" spans="1:65" ht="3.75" customHeight="1">
      <c r="D90" s="5"/>
      <c r="E90" s="5"/>
      <c r="F90" s="5"/>
      <c r="G90" s="5"/>
      <c r="H90" s="5"/>
      <c r="I90" s="5"/>
      <c r="J90" s="5"/>
      <c r="K90" s="5"/>
      <c r="L90" s="244"/>
      <c r="P90" s="5"/>
      <c r="Q90" s="5"/>
      <c r="R90" s="5"/>
      <c r="S90" s="5"/>
      <c r="T90" s="5"/>
      <c r="U90" s="5"/>
      <c r="V90" s="5"/>
      <c r="W90" s="5"/>
      <c r="X90" s="5"/>
      <c r="Z90" s="5"/>
      <c r="AA90" s="5"/>
      <c r="AB90" s="5"/>
      <c r="AC90" s="5"/>
      <c r="AD90" s="5"/>
      <c r="AE90" s="5"/>
      <c r="AF90" s="5"/>
      <c r="AG90" s="5"/>
      <c r="AH90" s="5"/>
      <c r="AJ90" s="5"/>
      <c r="AK90" s="5"/>
      <c r="AL90" s="5"/>
      <c r="AM90" s="5"/>
      <c r="AN90" s="5"/>
      <c r="AO90" s="5"/>
      <c r="AP90" s="5"/>
      <c r="AQ90" s="5"/>
      <c r="AR90" s="5"/>
      <c r="AT90" s="5"/>
      <c r="AU90" s="5"/>
      <c r="AV90" s="5"/>
      <c r="AW90" s="5"/>
      <c r="AX90" s="5"/>
      <c r="AY90" s="5"/>
      <c r="AZ90" s="5"/>
      <c r="BA90" s="5"/>
      <c r="BB90" s="5"/>
      <c r="BE90" s="5"/>
      <c r="BF90" s="5"/>
      <c r="BG90" s="5"/>
      <c r="BH90" s="5"/>
      <c r="BI90" s="5"/>
      <c r="BJ90" s="5"/>
      <c r="BK90" s="5"/>
      <c r="BL90" s="5"/>
      <c r="BM90" s="5"/>
    </row>
    <row r="91" spans="1:65">
      <c r="D91" s="6"/>
      <c r="E91" s="6"/>
      <c r="F91" s="7" t="s">
        <v>28</v>
      </c>
      <c r="H91" s="7"/>
      <c r="I91" s="7"/>
      <c r="J91" s="7" t="s">
        <v>29</v>
      </c>
      <c r="L91" s="245" t="s">
        <v>30</v>
      </c>
      <c r="R91" s="8"/>
      <c r="T91" s="8"/>
      <c r="U91" s="8"/>
      <c r="V91" s="8"/>
      <c r="X91" s="8"/>
      <c r="AB91" s="8"/>
      <c r="AD91" s="8"/>
      <c r="AE91" s="8"/>
      <c r="AF91" s="8"/>
      <c r="AH91" s="8"/>
      <c r="AL91" s="8"/>
      <c r="AN91" s="8"/>
      <c r="AO91" s="8"/>
      <c r="AP91" s="8"/>
      <c r="AR91" s="8"/>
      <c r="AV91" s="8"/>
      <c r="AX91" s="8"/>
      <c r="AY91" s="8"/>
      <c r="AZ91" s="8"/>
      <c r="BB91" s="8"/>
      <c r="BG91" s="8"/>
      <c r="BI91" s="8"/>
      <c r="BJ91" s="8"/>
      <c r="BK91" s="8"/>
      <c r="BM91" s="8"/>
    </row>
    <row r="92" spans="1:65" s="9" customFormat="1" ht="10.8">
      <c r="D92" s="9" t="s">
        <v>31</v>
      </c>
      <c r="E92" s="9" t="s">
        <v>32</v>
      </c>
      <c r="F92" s="10" t="s">
        <v>33</v>
      </c>
      <c r="H92" s="9" t="s">
        <v>7</v>
      </c>
      <c r="I92" s="9" t="s">
        <v>8</v>
      </c>
      <c r="J92" s="10"/>
      <c r="L92" s="246"/>
      <c r="R92" s="11"/>
      <c r="V92" s="11"/>
      <c r="X92" s="11"/>
      <c r="AB92" s="11"/>
      <c r="AF92" s="11"/>
      <c r="AH92" s="11"/>
      <c r="AL92" s="11"/>
      <c r="AP92" s="11"/>
      <c r="AR92" s="11"/>
      <c r="AV92" s="11"/>
      <c r="AZ92" s="11"/>
      <c r="BB92" s="11"/>
      <c r="BG92" s="11"/>
      <c r="BK92" s="11"/>
      <c r="BM92" s="11"/>
    </row>
    <row r="93" spans="1:65" s="9" customFormat="1" ht="10.8">
      <c r="D93" s="9" t="s">
        <v>34</v>
      </c>
      <c r="E93" s="9" t="s">
        <v>35</v>
      </c>
      <c r="F93" s="10" t="s">
        <v>36</v>
      </c>
      <c r="H93" s="9" t="s">
        <v>12</v>
      </c>
      <c r="I93" s="9" t="s">
        <v>13</v>
      </c>
      <c r="J93" s="10" t="s">
        <v>37</v>
      </c>
      <c r="L93" s="246" t="s">
        <v>38</v>
      </c>
      <c r="R93" s="11"/>
      <c r="V93" s="11"/>
      <c r="X93" s="11"/>
      <c r="AB93" s="11"/>
      <c r="AF93" s="11"/>
      <c r="AH93" s="11"/>
      <c r="AL93" s="11"/>
      <c r="AP93" s="11"/>
      <c r="AR93" s="11"/>
      <c r="AV93" s="11"/>
      <c r="AZ93" s="11"/>
      <c r="BB93" s="11"/>
      <c r="BG93" s="11"/>
      <c r="BK93" s="11"/>
      <c r="BM93" s="11"/>
    </row>
    <row r="94" spans="1:65" ht="5.0999999999999996" customHeight="1">
      <c r="H94" s="52"/>
      <c r="I94" s="52"/>
      <c r="J94" s="8"/>
      <c r="T94" s="52"/>
      <c r="U94" s="52"/>
      <c r="V94" s="8"/>
      <c r="AD94" s="52"/>
      <c r="AE94" s="52"/>
      <c r="AF94" s="8"/>
      <c r="AN94" s="52"/>
      <c r="AO94" s="52"/>
      <c r="AP94" s="8"/>
      <c r="AX94" s="52"/>
      <c r="AY94" s="52"/>
      <c r="AZ94" s="8"/>
      <c r="BI94" s="52"/>
      <c r="BJ94" s="52"/>
      <c r="BK94" s="8"/>
    </row>
    <row r="95" spans="1:65" ht="13.5" customHeight="1" thickBot="1">
      <c r="B95" s="12" t="s">
        <v>39</v>
      </c>
      <c r="C95" s="12"/>
      <c r="D95" s="13">
        <v>32183</v>
      </c>
      <c r="E95" s="185">
        <v>34012</v>
      </c>
      <c r="F95" s="185">
        <v>66195</v>
      </c>
      <c r="G95" s="12"/>
      <c r="H95" s="273">
        <f>102453-F95</f>
        <v>36258</v>
      </c>
      <c r="I95" s="57">
        <f t="shared" ref="I95:I119" si="4">J95-H95</f>
        <v>36114</v>
      </c>
      <c r="J95" s="57">
        <f t="shared" ref="J95:J119" si="5">L95-F95</f>
        <v>72372</v>
      </c>
      <c r="K95" s="57"/>
      <c r="L95" s="57">
        <v>138567</v>
      </c>
      <c r="M95" s="12"/>
      <c r="P95" s="112"/>
      <c r="Q95" s="112"/>
      <c r="R95" s="112"/>
      <c r="T95" s="58"/>
      <c r="U95" s="58"/>
      <c r="V95" s="58"/>
      <c r="W95" s="58"/>
      <c r="X95" s="58"/>
      <c r="Z95" s="112"/>
      <c r="AA95" s="112"/>
      <c r="AB95" s="112"/>
      <c r="AD95" s="58"/>
      <c r="AE95" s="58"/>
      <c r="AF95" s="88"/>
      <c r="AG95" s="88"/>
      <c r="AH95" s="88"/>
      <c r="AJ95" s="112"/>
      <c r="AK95" s="112"/>
      <c r="AL95" s="112"/>
      <c r="AN95" s="58"/>
      <c r="AO95" s="58"/>
      <c r="AP95" s="88"/>
      <c r="AQ95" s="88"/>
      <c r="AR95" s="88"/>
      <c r="AT95" s="112"/>
      <c r="AU95" s="112"/>
      <c r="AV95" s="112"/>
      <c r="AX95" s="58"/>
      <c r="AY95" s="58"/>
      <c r="AZ95" s="88"/>
      <c r="BA95" s="88"/>
      <c r="BB95" s="88"/>
      <c r="BE95" s="112"/>
      <c r="BF95" s="112"/>
      <c r="BG95" s="112"/>
      <c r="BI95" s="58"/>
      <c r="BJ95" s="58"/>
      <c r="BK95" s="88"/>
      <c r="BL95" s="88"/>
      <c r="BM95" s="88"/>
    </row>
    <row r="96" spans="1:65" ht="13.5" customHeight="1">
      <c r="B96" t="s">
        <v>111</v>
      </c>
      <c r="D96" s="16">
        <v>26811</v>
      </c>
      <c r="E96" s="186">
        <v>28596</v>
      </c>
      <c r="F96" s="186">
        <v>55407</v>
      </c>
      <c r="H96" s="274">
        <f>86454-F96</f>
        <v>31047</v>
      </c>
      <c r="I96" s="85">
        <f t="shared" si="4"/>
        <v>30417</v>
      </c>
      <c r="J96" s="85">
        <f t="shared" si="5"/>
        <v>61464</v>
      </c>
      <c r="K96" s="58"/>
      <c r="L96" s="58">
        <v>116871</v>
      </c>
      <c r="P96" s="112"/>
      <c r="Q96" s="112"/>
      <c r="R96" s="112"/>
      <c r="T96" s="74"/>
      <c r="U96" s="58"/>
      <c r="V96" s="58"/>
      <c r="W96" s="58"/>
      <c r="X96" s="58"/>
      <c r="Z96" s="112"/>
      <c r="AA96" s="112"/>
      <c r="AB96" s="112"/>
      <c r="AD96" s="74"/>
      <c r="AE96" s="58"/>
      <c r="AF96" s="88"/>
      <c r="AG96" s="88"/>
      <c r="AH96" s="88"/>
      <c r="AJ96" s="112"/>
      <c r="AK96" s="112"/>
      <c r="AL96" s="112"/>
      <c r="AN96" s="74"/>
      <c r="AO96" s="58"/>
      <c r="AP96" s="88"/>
      <c r="AQ96" s="88"/>
      <c r="AR96" s="88"/>
      <c r="AT96" s="112"/>
      <c r="AU96" s="112"/>
      <c r="AV96" s="112"/>
      <c r="AX96" s="97"/>
      <c r="AY96" s="58"/>
      <c r="AZ96" s="88"/>
      <c r="BA96" s="88"/>
      <c r="BB96" s="88"/>
      <c r="BE96" s="112"/>
      <c r="BF96" s="112"/>
      <c r="BG96" s="112"/>
      <c r="BI96" s="97"/>
      <c r="BJ96" s="58"/>
      <c r="BK96" s="88"/>
      <c r="BL96" s="88"/>
      <c r="BM96" s="88"/>
    </row>
    <row r="97" spans="2:65" ht="13.5" customHeight="1">
      <c r="B97" t="s">
        <v>112</v>
      </c>
      <c r="D97" s="16">
        <v>442</v>
      </c>
      <c r="E97" s="186">
        <v>517</v>
      </c>
      <c r="F97" s="186">
        <v>959</v>
      </c>
      <c r="H97" s="274">
        <f>1514-F97</f>
        <v>555</v>
      </c>
      <c r="I97" s="58">
        <f t="shared" si="4"/>
        <v>535</v>
      </c>
      <c r="J97" s="58">
        <f t="shared" si="5"/>
        <v>1090</v>
      </c>
      <c r="K97" s="58"/>
      <c r="L97" s="58">
        <v>2049</v>
      </c>
      <c r="P97" s="112"/>
      <c r="Q97" s="112"/>
      <c r="R97" s="112"/>
      <c r="T97" s="74"/>
      <c r="U97" s="58"/>
      <c r="V97" s="58"/>
      <c r="W97" s="58"/>
      <c r="X97" s="58"/>
      <c r="Z97" s="112"/>
      <c r="AA97" s="112"/>
      <c r="AB97" s="112"/>
      <c r="AD97" s="74"/>
      <c r="AE97" s="58"/>
      <c r="AF97" s="88"/>
      <c r="AG97" s="88"/>
      <c r="AH97" s="88"/>
      <c r="AJ97" s="112"/>
      <c r="AK97" s="112"/>
      <c r="AL97" s="112"/>
      <c r="AN97" s="74"/>
      <c r="AO97" s="58"/>
      <c r="AP97" s="88"/>
      <c r="AQ97" s="88"/>
      <c r="AR97" s="88"/>
      <c r="AT97" s="112"/>
      <c r="AU97" s="112"/>
      <c r="AV97" s="112"/>
      <c r="AX97" s="97"/>
      <c r="AY97" s="58"/>
      <c r="AZ97" s="88"/>
      <c r="BA97" s="88"/>
      <c r="BB97" s="88"/>
      <c r="BE97" s="112"/>
      <c r="BF97" s="112"/>
      <c r="BG97" s="112"/>
      <c r="BI97" s="97"/>
      <c r="BJ97" s="58"/>
      <c r="BK97" s="88"/>
      <c r="BL97" s="88"/>
      <c r="BM97" s="88"/>
    </row>
    <row r="98" spans="2:65" ht="13.5" customHeight="1">
      <c r="B98" t="s">
        <v>74</v>
      </c>
      <c r="D98" s="32">
        <v>3934</v>
      </c>
      <c r="E98" s="186">
        <v>3842</v>
      </c>
      <c r="F98" s="182">
        <v>7776</v>
      </c>
      <c r="H98" s="274">
        <f>11224-F98</f>
        <v>3448</v>
      </c>
      <c r="I98" s="58">
        <f t="shared" si="4"/>
        <v>3907</v>
      </c>
      <c r="J98" s="58">
        <f t="shared" si="5"/>
        <v>7355</v>
      </c>
      <c r="K98" s="58"/>
      <c r="L98" s="58">
        <v>15131</v>
      </c>
      <c r="P98" s="25"/>
      <c r="Q98" s="112"/>
      <c r="R98" s="25"/>
      <c r="T98" s="74"/>
      <c r="U98" s="58"/>
      <c r="V98" s="58"/>
      <c r="W98" s="58"/>
      <c r="X98" s="58"/>
      <c r="Z98" s="112"/>
      <c r="AA98" s="112"/>
      <c r="AB98" s="25"/>
      <c r="AD98" s="74"/>
      <c r="AE98" s="58"/>
      <c r="AF98" s="88"/>
      <c r="AG98" s="88"/>
      <c r="AH98" s="88"/>
      <c r="AJ98" s="112"/>
      <c r="AK98" s="112"/>
      <c r="AL98" s="25"/>
      <c r="AN98" s="74"/>
      <c r="AO98" s="58"/>
      <c r="AP98" s="88"/>
      <c r="AQ98" s="88"/>
      <c r="AR98" s="88"/>
      <c r="AT98" s="112"/>
      <c r="AU98" s="112"/>
      <c r="AV98" s="25"/>
      <c r="AX98" s="97"/>
      <c r="AY98" s="58"/>
      <c r="AZ98" s="88"/>
      <c r="BA98" s="88"/>
      <c r="BB98" s="88"/>
      <c r="BE98" s="112"/>
      <c r="BF98" s="112"/>
      <c r="BG98" s="25"/>
      <c r="BI98" s="97"/>
      <c r="BJ98" s="58"/>
      <c r="BK98" s="88"/>
      <c r="BL98" s="88"/>
      <c r="BM98" s="88"/>
    </row>
    <row r="99" spans="2:65" ht="13.5" customHeight="1">
      <c r="B99" t="s">
        <v>119</v>
      </c>
      <c r="D99" s="16">
        <v>996</v>
      </c>
      <c r="E99" s="186">
        <v>1057</v>
      </c>
      <c r="F99" s="186">
        <v>2053</v>
      </c>
      <c r="H99" s="274">
        <f>3261-F99</f>
        <v>1208</v>
      </c>
      <c r="I99" s="58">
        <f t="shared" si="4"/>
        <v>1255</v>
      </c>
      <c r="J99" s="58">
        <f t="shared" si="5"/>
        <v>2463</v>
      </c>
      <c r="K99" s="58"/>
      <c r="L99" s="58">
        <v>4516</v>
      </c>
      <c r="P99" s="112"/>
      <c r="Q99" s="112"/>
      <c r="R99" s="112"/>
      <c r="T99" s="74"/>
      <c r="U99" s="58"/>
      <c r="V99" s="58"/>
      <c r="W99" s="58"/>
      <c r="X99" s="58"/>
      <c r="Z99" s="112"/>
      <c r="AA99" s="112"/>
      <c r="AB99" s="112"/>
      <c r="AD99" s="74"/>
      <c r="AE99" s="58"/>
      <c r="AF99" s="88"/>
      <c r="AG99" s="88"/>
      <c r="AH99" s="88"/>
      <c r="AJ99" s="112"/>
      <c r="AK99" s="112"/>
      <c r="AL99" s="112"/>
      <c r="AN99" s="74"/>
      <c r="AO99" s="58"/>
      <c r="AP99" s="88"/>
      <c r="AQ99" s="88"/>
      <c r="AR99" s="88"/>
      <c r="AT99" s="112"/>
      <c r="AU99" s="112"/>
      <c r="AV99" s="112"/>
      <c r="AX99" s="97"/>
      <c r="AY99" s="58"/>
      <c r="AZ99" s="88"/>
      <c r="BA99" s="88"/>
      <c r="BB99" s="88"/>
      <c r="BE99" s="112"/>
      <c r="BF99" s="112"/>
      <c r="BG99" s="112"/>
      <c r="BI99" s="97"/>
      <c r="BJ99" s="58"/>
      <c r="BK99" s="88"/>
      <c r="BL99" s="88"/>
      <c r="BM99" s="88"/>
    </row>
    <row r="100" spans="2:65" ht="15.75" customHeight="1">
      <c r="D100" s="16"/>
      <c r="E100" s="186"/>
      <c r="F100" s="186"/>
      <c r="I100" s="58"/>
      <c r="J100" s="58"/>
      <c r="K100" s="58"/>
      <c r="L100" s="112"/>
      <c r="P100" s="112"/>
      <c r="Q100" s="112"/>
      <c r="R100" s="112"/>
      <c r="U100" s="58"/>
      <c r="V100" s="58"/>
      <c r="W100" s="58"/>
      <c r="X100" s="112"/>
      <c r="Z100" s="112"/>
      <c r="AA100" s="112"/>
      <c r="AB100" s="112"/>
      <c r="AE100" s="58"/>
      <c r="AF100" s="88"/>
      <c r="AG100" s="88"/>
      <c r="AH100" s="98"/>
      <c r="AJ100" s="112"/>
      <c r="AK100" s="112"/>
      <c r="AL100" s="112"/>
      <c r="AO100" s="58"/>
      <c r="AP100" s="88"/>
      <c r="AQ100" s="88"/>
      <c r="AR100" s="98"/>
      <c r="AT100" s="112"/>
      <c r="AU100" s="112"/>
      <c r="AV100" s="112"/>
      <c r="AY100" s="58"/>
      <c r="AZ100" s="88"/>
      <c r="BA100" s="88"/>
      <c r="BB100" s="98"/>
      <c r="BE100" s="112"/>
      <c r="BF100" s="112"/>
      <c r="BG100" s="112"/>
      <c r="BJ100" s="58"/>
      <c r="BK100" s="88"/>
      <c r="BL100" s="88"/>
      <c r="BM100" s="98"/>
    </row>
    <row r="101" spans="2:65" ht="13.5" customHeight="1" thickBot="1">
      <c r="B101" s="12" t="s">
        <v>75</v>
      </c>
      <c r="C101" s="12"/>
      <c r="D101" s="13">
        <v>940</v>
      </c>
      <c r="E101" s="185">
        <v>1975</v>
      </c>
      <c r="F101" s="13">
        <v>2915</v>
      </c>
      <c r="G101" s="12"/>
      <c r="H101" s="273">
        <f>3863-F101</f>
        <v>948</v>
      </c>
      <c r="I101" s="57">
        <f t="shared" si="4"/>
        <v>786</v>
      </c>
      <c r="J101" s="57">
        <f t="shared" si="5"/>
        <v>1734</v>
      </c>
      <c r="K101" s="57"/>
      <c r="L101" s="57">
        <v>4649</v>
      </c>
      <c r="M101" s="12"/>
      <c r="P101" s="112"/>
      <c r="Q101" s="112"/>
      <c r="R101" s="112"/>
      <c r="T101" s="58"/>
      <c r="U101" s="58"/>
      <c r="V101" s="58"/>
      <c r="W101" s="58"/>
      <c r="X101" s="58"/>
      <c r="Z101" s="112"/>
      <c r="AA101" s="112"/>
      <c r="AB101" s="112"/>
      <c r="AD101" s="58"/>
      <c r="AE101" s="58"/>
      <c r="AF101" s="88"/>
      <c r="AG101" s="88"/>
      <c r="AH101" s="88"/>
      <c r="AJ101" s="112"/>
      <c r="AK101" s="112"/>
      <c r="AL101" s="112"/>
      <c r="AN101" s="58"/>
      <c r="AO101" s="58"/>
      <c r="AP101" s="88"/>
      <c r="AQ101" s="88"/>
      <c r="AR101" s="88"/>
      <c r="AT101" s="112"/>
      <c r="AU101" s="112"/>
      <c r="AV101" s="112"/>
      <c r="AX101" s="58"/>
      <c r="AY101" s="58"/>
      <c r="AZ101" s="88"/>
      <c r="BA101" s="88"/>
      <c r="BB101" s="88"/>
      <c r="BE101" s="112"/>
      <c r="BF101" s="112"/>
      <c r="BG101" s="112"/>
      <c r="BI101" s="58"/>
      <c r="BJ101" s="58"/>
      <c r="BK101" s="88"/>
      <c r="BL101" s="88"/>
      <c r="BM101" s="88"/>
    </row>
    <row r="102" spans="2:65" ht="13.5" customHeight="1">
      <c r="B102" t="s">
        <v>111</v>
      </c>
      <c r="D102" s="16">
        <v>192</v>
      </c>
      <c r="E102" s="186">
        <v>1396</v>
      </c>
      <c r="F102" s="186">
        <v>1588</v>
      </c>
      <c r="H102" s="275">
        <f>2110-F102</f>
        <v>522</v>
      </c>
      <c r="I102" s="85">
        <f t="shared" si="4"/>
        <v>420</v>
      </c>
      <c r="J102" s="16">
        <f t="shared" si="5"/>
        <v>942</v>
      </c>
      <c r="K102" s="58"/>
      <c r="L102" s="58">
        <v>2530</v>
      </c>
      <c r="P102" s="112"/>
      <c r="Q102" s="112"/>
      <c r="R102" s="112"/>
      <c r="T102" s="112"/>
      <c r="U102" s="58"/>
      <c r="V102" s="112"/>
      <c r="W102" s="58"/>
      <c r="X102" s="58"/>
      <c r="Z102" s="112"/>
      <c r="AA102" s="112"/>
      <c r="AB102" s="112"/>
      <c r="AD102" s="74"/>
      <c r="AE102" s="58"/>
      <c r="AF102" s="112"/>
      <c r="AG102" s="88"/>
      <c r="AH102" s="88"/>
      <c r="AJ102" s="112"/>
      <c r="AK102" s="112"/>
      <c r="AL102" s="112"/>
      <c r="AN102" s="74"/>
      <c r="AO102" s="58"/>
      <c r="AP102" s="88"/>
      <c r="AQ102" s="88"/>
      <c r="AR102" s="88"/>
      <c r="AT102" s="112"/>
      <c r="AU102" s="112"/>
      <c r="AV102" s="112"/>
      <c r="AX102" s="97"/>
      <c r="AY102" s="58"/>
      <c r="AZ102" s="88"/>
      <c r="BA102" s="88"/>
      <c r="BB102" s="88"/>
      <c r="BE102" s="112"/>
      <c r="BF102" s="112"/>
      <c r="BG102" s="112"/>
      <c r="BI102" s="97"/>
      <c r="BJ102" s="58"/>
      <c r="BK102" s="88"/>
      <c r="BL102" s="88"/>
      <c r="BM102" s="88"/>
    </row>
    <row r="103" spans="2:65" ht="13.5" customHeight="1">
      <c r="B103" t="s">
        <v>112</v>
      </c>
      <c r="D103" s="16">
        <v>259</v>
      </c>
      <c r="E103" s="186">
        <v>258</v>
      </c>
      <c r="F103" s="186">
        <v>517</v>
      </c>
      <c r="H103" s="274">
        <f>775-F103</f>
        <v>258</v>
      </c>
      <c r="I103" s="58">
        <f t="shared" si="4"/>
        <v>140</v>
      </c>
      <c r="J103" s="58">
        <f t="shared" si="5"/>
        <v>398</v>
      </c>
      <c r="K103" s="58"/>
      <c r="L103" s="58">
        <v>915</v>
      </c>
      <c r="P103" s="112"/>
      <c r="Q103" s="112"/>
      <c r="R103" s="112"/>
      <c r="T103" s="74"/>
      <c r="U103" s="58"/>
      <c r="V103" s="58"/>
      <c r="W103" s="58"/>
      <c r="X103" s="58"/>
      <c r="Z103" s="112"/>
      <c r="AA103" s="112"/>
      <c r="AB103" s="112"/>
      <c r="AD103" s="74"/>
      <c r="AE103" s="58"/>
      <c r="AF103" s="88"/>
      <c r="AG103" s="88"/>
      <c r="AH103" s="88"/>
      <c r="AJ103" s="112"/>
      <c r="AK103" s="112"/>
      <c r="AL103" s="112"/>
      <c r="AN103" s="74"/>
      <c r="AO103" s="58"/>
      <c r="AP103" s="88"/>
      <c r="AQ103" s="88"/>
      <c r="AR103" s="88"/>
      <c r="AT103" s="112"/>
      <c r="AU103" s="112"/>
      <c r="AV103" s="112"/>
      <c r="AX103" s="97"/>
      <c r="AY103" s="58"/>
      <c r="AZ103" s="88"/>
      <c r="BA103" s="88"/>
      <c r="BB103" s="88"/>
      <c r="BE103" s="112"/>
      <c r="BF103" s="112"/>
      <c r="BG103" s="112"/>
      <c r="BI103" s="97"/>
      <c r="BJ103" s="58"/>
      <c r="BK103" s="88"/>
      <c r="BL103" s="88"/>
      <c r="BM103" s="88"/>
    </row>
    <row r="104" spans="2:65" ht="13.5" customHeight="1">
      <c r="B104" t="s">
        <v>118</v>
      </c>
      <c r="D104" s="16">
        <v>401</v>
      </c>
      <c r="E104" s="186">
        <v>320</v>
      </c>
      <c r="F104" s="186">
        <v>721</v>
      </c>
      <c r="H104" s="275">
        <f>803-F104</f>
        <v>82</v>
      </c>
      <c r="I104" s="58">
        <f t="shared" si="4"/>
        <v>8</v>
      </c>
      <c r="J104" s="58">
        <f t="shared" si="5"/>
        <v>90</v>
      </c>
      <c r="K104" s="58"/>
      <c r="L104" s="58">
        <v>811</v>
      </c>
      <c r="P104" s="112"/>
      <c r="Q104" s="112"/>
      <c r="R104" s="112"/>
      <c r="T104" s="74"/>
      <c r="U104" s="58"/>
      <c r="V104" s="58"/>
      <c r="W104" s="58"/>
      <c r="X104" s="58"/>
      <c r="Z104" s="112"/>
      <c r="AA104" s="112"/>
      <c r="AB104" s="112"/>
      <c r="AD104" s="74"/>
      <c r="AE104" s="58"/>
      <c r="AF104" s="88"/>
      <c r="AG104" s="88"/>
      <c r="AH104" s="88"/>
      <c r="AJ104" s="112"/>
      <c r="AK104" s="112"/>
      <c r="AL104" s="112"/>
      <c r="AN104" s="74"/>
      <c r="AO104" s="58"/>
      <c r="AP104" s="88"/>
      <c r="AQ104" s="88"/>
      <c r="AR104" s="88"/>
      <c r="AT104" s="112"/>
      <c r="AU104" s="112"/>
      <c r="AV104" s="112"/>
      <c r="AX104" s="97"/>
      <c r="AY104" s="58"/>
      <c r="AZ104" s="88"/>
      <c r="BA104" s="88"/>
      <c r="BB104" s="88"/>
      <c r="BE104" s="112"/>
      <c r="BF104" s="112"/>
      <c r="BG104" s="112"/>
      <c r="BI104" s="97"/>
      <c r="BJ104" s="58"/>
      <c r="BK104" s="88"/>
      <c r="BL104" s="88"/>
      <c r="BM104" s="88"/>
    </row>
    <row r="105" spans="2:65" ht="13.5" customHeight="1">
      <c r="B105" t="s">
        <v>119</v>
      </c>
      <c r="D105" s="16">
        <v>88</v>
      </c>
      <c r="E105" s="186">
        <v>1</v>
      </c>
      <c r="F105" s="186">
        <v>89</v>
      </c>
      <c r="H105" s="274">
        <f>175-F105</f>
        <v>86</v>
      </c>
      <c r="I105" s="58">
        <f t="shared" si="4"/>
        <v>218</v>
      </c>
      <c r="J105" s="58">
        <f t="shared" si="5"/>
        <v>304</v>
      </c>
      <c r="K105" s="58"/>
      <c r="L105" s="58">
        <v>393</v>
      </c>
      <c r="P105" s="112"/>
      <c r="Q105" s="112"/>
      <c r="R105" s="112"/>
      <c r="T105" s="74"/>
      <c r="U105" s="58"/>
      <c r="V105" s="58"/>
      <c r="W105" s="58"/>
      <c r="X105" s="58"/>
      <c r="Z105" s="112"/>
      <c r="AA105" s="112"/>
      <c r="AB105" s="112"/>
      <c r="AD105" s="74"/>
      <c r="AE105" s="58"/>
      <c r="AF105" s="88"/>
      <c r="AG105" s="88"/>
      <c r="AH105" s="88"/>
      <c r="AJ105" s="112"/>
      <c r="AK105" s="112"/>
      <c r="AL105" s="112"/>
      <c r="AN105" s="74"/>
      <c r="AO105" s="58"/>
      <c r="AP105" s="88"/>
      <c r="AQ105" s="88"/>
      <c r="AR105" s="88"/>
      <c r="AT105" s="112"/>
      <c r="AU105" s="112"/>
      <c r="AV105" s="112"/>
      <c r="AX105" s="97"/>
      <c r="AY105" s="58"/>
      <c r="AZ105" s="88"/>
      <c r="BA105" s="88"/>
      <c r="BB105" s="88"/>
      <c r="BE105" s="112"/>
      <c r="BF105" s="112"/>
      <c r="BG105" s="112"/>
      <c r="BI105" s="97"/>
      <c r="BJ105" s="58"/>
      <c r="BK105" s="88"/>
      <c r="BL105" s="88"/>
      <c r="BM105" s="88"/>
    </row>
    <row r="106" spans="2:65" ht="13.5" customHeight="1">
      <c r="D106" s="16"/>
      <c r="E106" s="186"/>
      <c r="F106" s="186"/>
      <c r="H106" s="148"/>
      <c r="I106" s="58"/>
      <c r="J106" s="58"/>
      <c r="K106" s="58"/>
      <c r="L106" s="112"/>
      <c r="P106" s="112"/>
      <c r="Q106" s="112"/>
      <c r="R106" s="112"/>
      <c r="T106" s="74"/>
      <c r="U106" s="58"/>
      <c r="V106" s="58"/>
      <c r="W106" s="58"/>
      <c r="X106" s="112"/>
      <c r="Z106" s="112"/>
      <c r="AA106" s="112"/>
      <c r="AB106" s="112"/>
      <c r="AD106" s="74"/>
      <c r="AE106" s="58"/>
      <c r="AF106" s="88"/>
      <c r="AG106" s="88"/>
      <c r="AH106" s="98"/>
      <c r="AJ106" s="112"/>
      <c r="AK106" s="112"/>
      <c r="AL106" s="112"/>
      <c r="AO106" s="58"/>
      <c r="AP106" s="88"/>
      <c r="AQ106" s="88"/>
      <c r="AR106" s="98"/>
      <c r="AT106" s="112"/>
      <c r="AU106" s="112"/>
      <c r="AV106" s="112"/>
      <c r="AY106" s="58"/>
      <c r="AZ106" s="88"/>
      <c r="BA106" s="88"/>
      <c r="BB106" s="98"/>
      <c r="BE106" s="112"/>
      <c r="BF106" s="112"/>
      <c r="BG106" s="112"/>
      <c r="BJ106" s="58"/>
      <c r="BK106" s="88"/>
      <c r="BL106" s="88"/>
      <c r="BM106" s="98"/>
    </row>
    <row r="107" spans="2:65" ht="13.5" customHeight="1" thickBot="1">
      <c r="B107" s="12" t="s">
        <v>153</v>
      </c>
      <c r="C107" s="12"/>
      <c r="D107" s="13">
        <v>-61</v>
      </c>
      <c r="E107" s="185">
        <v>-27</v>
      </c>
      <c r="F107" s="185">
        <v>-88</v>
      </c>
      <c r="G107" s="12"/>
      <c r="H107" s="276">
        <f>-145-F107</f>
        <v>-57</v>
      </c>
      <c r="I107" s="57">
        <f t="shared" si="4"/>
        <v>-23</v>
      </c>
      <c r="J107" s="57">
        <f t="shared" si="5"/>
        <v>-80</v>
      </c>
      <c r="K107" s="57"/>
      <c r="L107" s="58">
        <v>-168</v>
      </c>
      <c r="M107" s="12"/>
      <c r="P107" s="112"/>
      <c r="Q107" s="112"/>
      <c r="R107" s="112"/>
      <c r="T107" s="58"/>
      <c r="U107" s="58"/>
      <c r="V107" s="58"/>
      <c r="W107" s="58"/>
      <c r="X107" s="58"/>
      <c r="Z107" s="112"/>
      <c r="AA107" s="112"/>
      <c r="AB107" s="112"/>
      <c r="AD107" s="58"/>
      <c r="AE107" s="58"/>
      <c r="AF107" s="88"/>
      <c r="AG107" s="88"/>
      <c r="AH107" s="88"/>
      <c r="AJ107" s="112"/>
      <c r="AK107" s="112"/>
      <c r="AL107" s="112"/>
      <c r="AN107" s="58"/>
      <c r="AO107" s="58"/>
      <c r="AP107" s="88"/>
      <c r="AQ107" s="88"/>
      <c r="AR107" s="88"/>
      <c r="AT107" s="112"/>
      <c r="AU107" s="112"/>
      <c r="AV107" s="112"/>
      <c r="AX107" s="58"/>
      <c r="AY107" s="58"/>
      <c r="AZ107" s="88"/>
      <c r="BA107" s="88"/>
      <c r="BB107" s="88"/>
      <c r="BE107" s="112"/>
      <c r="BF107" s="112"/>
      <c r="BG107" s="112"/>
      <c r="BI107" s="58"/>
      <c r="BJ107" s="58"/>
      <c r="BK107" s="88"/>
      <c r="BL107" s="88"/>
      <c r="BM107" s="88"/>
    </row>
    <row r="108" spans="2:65" ht="13.5" customHeight="1">
      <c r="B108" t="s">
        <v>111</v>
      </c>
      <c r="D108" s="16">
        <v>-47</v>
      </c>
      <c r="E108" s="186">
        <v>-24</v>
      </c>
      <c r="F108" s="186">
        <v>-71</v>
      </c>
      <c r="H108" s="275">
        <f>-102-F108</f>
        <v>-31</v>
      </c>
      <c r="I108" s="85">
        <f t="shared" si="4"/>
        <v>-22</v>
      </c>
      <c r="J108" s="85">
        <f t="shared" si="5"/>
        <v>-53</v>
      </c>
      <c r="K108" s="58"/>
      <c r="L108" s="85">
        <v>-124</v>
      </c>
      <c r="P108" s="112"/>
      <c r="Q108" s="112"/>
      <c r="R108" s="112"/>
      <c r="T108" s="58"/>
      <c r="U108" s="58"/>
      <c r="V108" s="58"/>
      <c r="W108" s="58"/>
      <c r="X108" s="58"/>
      <c r="Z108" s="112"/>
      <c r="AA108" s="112"/>
      <c r="AB108" s="112"/>
      <c r="AD108" s="58"/>
      <c r="AE108" s="58"/>
      <c r="AF108" s="88"/>
      <c r="AG108" s="88"/>
      <c r="AH108" s="88"/>
      <c r="AJ108" s="112"/>
      <c r="AK108" s="112"/>
      <c r="AL108" s="112"/>
      <c r="AO108" s="58"/>
      <c r="AP108" s="88"/>
      <c r="AQ108" s="88"/>
      <c r="AR108" s="88"/>
      <c r="AT108" s="112"/>
      <c r="AU108" s="112"/>
      <c r="AV108" s="112"/>
      <c r="AX108" s="58"/>
      <c r="AY108" s="58"/>
      <c r="AZ108" s="88"/>
      <c r="BA108" s="88"/>
      <c r="BB108" s="88"/>
      <c r="BE108" s="112"/>
      <c r="BF108" s="112"/>
      <c r="BG108" s="112"/>
      <c r="BJ108" s="58"/>
      <c r="BK108" s="88"/>
      <c r="BL108" s="88"/>
      <c r="BM108" s="88"/>
    </row>
    <row r="109" spans="2:65" ht="13.5" customHeight="1">
      <c r="B109" t="s">
        <v>112</v>
      </c>
      <c r="D109" s="16">
        <v>-4</v>
      </c>
      <c r="E109" s="186">
        <v>10</v>
      </c>
      <c r="F109" s="186">
        <v>6</v>
      </c>
      <c r="H109" s="275">
        <f>-14-F109</f>
        <v>-20</v>
      </c>
      <c r="I109" s="58">
        <f t="shared" si="4"/>
        <v>21</v>
      </c>
      <c r="J109" s="58">
        <f t="shared" si="5"/>
        <v>1</v>
      </c>
      <c r="K109" s="58"/>
      <c r="L109" s="58">
        <v>7</v>
      </c>
      <c r="P109" s="112"/>
      <c r="Q109" s="112"/>
      <c r="R109" s="112"/>
      <c r="T109" s="112"/>
      <c r="U109" s="58"/>
      <c r="V109" s="58"/>
      <c r="W109" s="58"/>
      <c r="X109" s="58"/>
      <c r="Z109" s="112"/>
      <c r="AA109" s="112"/>
      <c r="AB109" s="112"/>
      <c r="AD109" s="112"/>
      <c r="AE109" s="58"/>
      <c r="AF109" s="88"/>
      <c r="AG109" s="88"/>
      <c r="AH109" s="88"/>
      <c r="AJ109" s="112"/>
      <c r="AK109" s="112"/>
      <c r="AL109" s="112"/>
      <c r="AN109" s="112"/>
      <c r="AO109" s="58"/>
      <c r="AP109" s="88"/>
      <c r="AQ109" s="88"/>
      <c r="AR109" s="88"/>
      <c r="AT109" s="112"/>
      <c r="AU109" s="112"/>
      <c r="AV109" s="112"/>
      <c r="AX109" s="58"/>
      <c r="AY109" s="58"/>
      <c r="AZ109" s="88"/>
      <c r="BA109" s="88"/>
      <c r="BB109" s="88"/>
      <c r="BE109" s="112"/>
      <c r="BF109" s="112"/>
      <c r="BG109" s="112"/>
      <c r="BJ109" s="58"/>
      <c r="BK109" s="88"/>
      <c r="BL109" s="88"/>
      <c r="BM109" s="88"/>
    </row>
    <row r="110" spans="2:65" ht="13.5" customHeight="1">
      <c r="B110" t="s">
        <v>74</v>
      </c>
      <c r="D110" s="16">
        <v>-15</v>
      </c>
      <c r="E110" s="186">
        <v>-16</v>
      </c>
      <c r="F110" s="186">
        <v>-31</v>
      </c>
      <c r="H110" s="275">
        <f>-40-F110</f>
        <v>-9</v>
      </c>
      <c r="I110" s="58">
        <f t="shared" si="4"/>
        <v>-26</v>
      </c>
      <c r="J110" s="58">
        <f t="shared" si="5"/>
        <v>-35</v>
      </c>
      <c r="K110" s="58"/>
      <c r="L110" s="58">
        <v>-66</v>
      </c>
      <c r="P110" s="112"/>
      <c r="Q110" s="112"/>
      <c r="R110" s="112"/>
      <c r="T110" s="178"/>
      <c r="U110" s="58"/>
      <c r="V110" s="58"/>
      <c r="W110" s="58"/>
      <c r="X110" s="58"/>
      <c r="Z110" s="112"/>
      <c r="AA110" s="112"/>
      <c r="AB110" s="112"/>
      <c r="AD110" s="178"/>
      <c r="AE110" s="58"/>
      <c r="AF110" s="88"/>
      <c r="AG110" s="88"/>
      <c r="AH110" s="88"/>
      <c r="AJ110" s="112"/>
      <c r="AK110" s="112"/>
      <c r="AL110" s="112"/>
      <c r="AO110" s="58"/>
      <c r="AP110" s="88"/>
      <c r="AQ110" s="88"/>
      <c r="AR110" s="88"/>
      <c r="AT110" s="112"/>
      <c r="AU110" s="112"/>
      <c r="AV110" s="112"/>
      <c r="AX110" s="58"/>
      <c r="AY110" s="58"/>
      <c r="AZ110" s="88"/>
      <c r="BA110" s="88"/>
      <c r="BB110" s="88"/>
      <c r="BE110" s="112"/>
      <c r="BF110" s="112"/>
      <c r="BG110" s="112"/>
      <c r="BJ110" s="58"/>
      <c r="BK110" s="88"/>
      <c r="BL110" s="88"/>
      <c r="BM110" s="88"/>
    </row>
    <row r="111" spans="2:65" ht="13.5" customHeight="1">
      <c r="B111" t="s">
        <v>119</v>
      </c>
      <c r="D111" s="16">
        <v>5</v>
      </c>
      <c r="E111" s="186">
        <v>3</v>
      </c>
      <c r="F111" s="186">
        <v>8</v>
      </c>
      <c r="H111" s="275">
        <f>11-F111</f>
        <v>3</v>
      </c>
      <c r="I111" s="58">
        <f t="shared" si="4"/>
        <v>4</v>
      </c>
      <c r="J111" s="58">
        <f t="shared" si="5"/>
        <v>7</v>
      </c>
      <c r="K111" s="58"/>
      <c r="L111" s="58">
        <v>15</v>
      </c>
      <c r="P111" s="112"/>
      <c r="Q111" s="112"/>
      <c r="R111" s="112"/>
      <c r="T111" s="178"/>
      <c r="U111" s="58"/>
      <c r="V111" s="58"/>
      <c r="W111" s="58"/>
      <c r="X111" s="58"/>
      <c r="Z111" s="112"/>
      <c r="AA111" s="112"/>
      <c r="AB111" s="112"/>
      <c r="AD111" s="178"/>
      <c r="AE111" s="58"/>
      <c r="AF111" s="88"/>
      <c r="AG111" s="88"/>
      <c r="AH111" s="88"/>
      <c r="AJ111" s="112"/>
      <c r="AK111" s="112"/>
      <c r="AL111" s="112"/>
      <c r="AO111" s="58"/>
      <c r="AP111" s="88"/>
      <c r="AQ111" s="88"/>
      <c r="AR111" s="88"/>
      <c r="AT111" s="112"/>
      <c r="AU111" s="112"/>
      <c r="AV111" s="112"/>
      <c r="AX111" s="58"/>
      <c r="AY111" s="58"/>
      <c r="AZ111" s="88"/>
      <c r="BA111" s="88"/>
      <c r="BB111" s="88"/>
      <c r="BE111" s="112"/>
      <c r="BF111" s="112"/>
      <c r="BG111" s="112"/>
      <c r="BJ111" s="58"/>
      <c r="BK111" s="88"/>
      <c r="BL111" s="88"/>
      <c r="BM111" s="88"/>
    </row>
    <row r="112" spans="2:65" ht="13.5" customHeight="1">
      <c r="D112" s="16"/>
      <c r="E112" s="186"/>
      <c r="F112" s="186"/>
      <c r="I112" s="58"/>
      <c r="J112" s="58"/>
      <c r="K112" s="58"/>
      <c r="L112" s="112"/>
      <c r="P112" s="112"/>
      <c r="Q112" s="112"/>
      <c r="R112" s="112"/>
      <c r="U112" s="58"/>
      <c r="V112" s="58"/>
      <c r="W112" s="58"/>
      <c r="X112" s="112"/>
      <c r="Z112" s="112"/>
      <c r="AA112" s="112"/>
      <c r="AB112" s="112"/>
      <c r="AE112" s="58"/>
      <c r="AF112" s="88"/>
      <c r="AG112" s="88"/>
      <c r="AH112" s="98"/>
      <c r="AJ112" s="112"/>
      <c r="AK112" s="112"/>
      <c r="AL112" s="112"/>
      <c r="AO112" s="58"/>
      <c r="AP112" s="88"/>
      <c r="AQ112" s="88"/>
      <c r="AR112" s="98"/>
      <c r="AT112" s="112"/>
      <c r="AU112" s="112"/>
      <c r="AV112" s="112"/>
      <c r="AY112" s="58"/>
      <c r="AZ112" s="88"/>
      <c r="BA112" s="88"/>
      <c r="BB112" s="98"/>
      <c r="BE112" s="112"/>
      <c r="BF112" s="112"/>
      <c r="BG112" s="112"/>
      <c r="BJ112" s="58"/>
      <c r="BK112" s="88"/>
      <c r="BL112" s="88"/>
      <c r="BM112" s="98"/>
    </row>
    <row r="113" spans="1:65" ht="13.5" customHeight="1" thickBot="1">
      <c r="B113" s="12" t="s">
        <v>166</v>
      </c>
      <c r="C113" s="12"/>
      <c r="D113" s="13">
        <v>458</v>
      </c>
      <c r="E113" s="185">
        <v>1259</v>
      </c>
      <c r="F113" s="185">
        <v>1717</v>
      </c>
      <c r="G113" s="12"/>
      <c r="H113" s="273">
        <f>2068-F113</f>
        <v>351</v>
      </c>
      <c r="I113" s="57">
        <f t="shared" si="4"/>
        <v>813</v>
      </c>
      <c r="J113" s="57">
        <f t="shared" si="5"/>
        <v>1164</v>
      </c>
      <c r="K113" s="57"/>
      <c r="L113" s="57">
        <v>2881</v>
      </c>
      <c r="M113" s="12"/>
      <c r="P113" s="112"/>
      <c r="Q113" s="112"/>
      <c r="R113" s="112"/>
      <c r="T113" s="58"/>
      <c r="U113" s="58"/>
      <c r="V113" s="58"/>
      <c r="W113" s="58"/>
      <c r="X113" s="58"/>
      <c r="Z113" s="112"/>
      <c r="AA113" s="112"/>
      <c r="AB113" s="112"/>
      <c r="AD113" s="58"/>
      <c r="AE113" s="58"/>
      <c r="AF113" s="88"/>
      <c r="AG113" s="88"/>
      <c r="AH113" s="88"/>
      <c r="AJ113" s="112"/>
      <c r="AK113" s="112"/>
      <c r="AL113" s="112"/>
      <c r="AN113" s="58"/>
      <c r="AO113" s="58"/>
      <c r="AP113" s="88"/>
      <c r="AQ113" s="88"/>
      <c r="AR113" s="88"/>
      <c r="AT113" s="112"/>
      <c r="AU113" s="112"/>
      <c r="AV113" s="112"/>
      <c r="AX113" s="58"/>
      <c r="AY113" s="58"/>
      <c r="AZ113" s="88"/>
      <c r="BA113" s="88"/>
      <c r="BB113" s="88"/>
      <c r="BE113" s="112"/>
      <c r="BF113" s="112"/>
      <c r="BG113" s="112"/>
      <c r="BI113" s="58"/>
      <c r="BJ113" s="58"/>
      <c r="BK113" s="88"/>
      <c r="BL113" s="88"/>
      <c r="BM113" s="88"/>
    </row>
    <row r="114" spans="1:65" ht="13.5" customHeight="1">
      <c r="B114" t="s">
        <v>111</v>
      </c>
      <c r="D114" s="16">
        <v>95</v>
      </c>
      <c r="E114" s="186">
        <v>953</v>
      </c>
      <c r="F114" s="186">
        <v>1048</v>
      </c>
      <c r="H114" s="275">
        <f>1363-F114</f>
        <v>315</v>
      </c>
      <c r="I114" s="85">
        <f t="shared" si="4"/>
        <v>100</v>
      </c>
      <c r="J114" s="85">
        <f t="shared" si="5"/>
        <v>415</v>
      </c>
      <c r="K114" s="58"/>
      <c r="L114" s="58">
        <v>1463</v>
      </c>
      <c r="P114" s="112"/>
      <c r="Q114" s="112"/>
      <c r="R114" s="112"/>
      <c r="T114" s="112"/>
      <c r="U114" s="58"/>
      <c r="V114" s="58"/>
      <c r="W114" s="58"/>
      <c r="X114" s="58"/>
      <c r="Z114" s="112"/>
      <c r="AA114" s="112"/>
      <c r="AB114" s="112"/>
      <c r="AD114" s="112"/>
      <c r="AE114" s="58"/>
      <c r="AF114" s="88"/>
      <c r="AG114" s="88"/>
      <c r="AH114" s="88"/>
      <c r="AJ114" s="112"/>
      <c r="AK114" s="112"/>
      <c r="AL114" s="112"/>
      <c r="AN114" s="112"/>
      <c r="AO114" s="58"/>
      <c r="AP114" s="88"/>
      <c r="AQ114" s="88"/>
      <c r="AR114" s="88"/>
      <c r="AT114" s="112"/>
      <c r="AU114" s="112"/>
      <c r="AV114" s="112"/>
      <c r="AX114" s="112"/>
      <c r="AY114" s="58"/>
      <c r="AZ114" s="88"/>
      <c r="BA114" s="88"/>
      <c r="BB114" s="88"/>
      <c r="BE114" s="112"/>
      <c r="BF114" s="112"/>
      <c r="BG114" s="112"/>
      <c r="BI114" s="112"/>
      <c r="BJ114" s="58"/>
      <c r="BK114" s="88"/>
      <c r="BL114" s="88"/>
      <c r="BM114" s="88"/>
    </row>
    <row r="115" spans="1:65" ht="13.5" customHeight="1">
      <c r="B115" t="s">
        <v>112</v>
      </c>
      <c r="D115" s="16">
        <v>111</v>
      </c>
      <c r="E115" s="186">
        <v>132</v>
      </c>
      <c r="F115" s="186">
        <v>243</v>
      </c>
      <c r="H115" s="274">
        <f>315-F115</f>
        <v>72</v>
      </c>
      <c r="I115" s="58">
        <f t="shared" si="4"/>
        <v>124</v>
      </c>
      <c r="J115" s="58">
        <f t="shared" si="5"/>
        <v>196</v>
      </c>
      <c r="K115" s="58"/>
      <c r="L115" s="58">
        <v>439</v>
      </c>
      <c r="P115" s="112"/>
      <c r="Q115" s="112"/>
      <c r="R115" s="112"/>
      <c r="T115" s="74"/>
      <c r="U115" s="58"/>
      <c r="V115" s="58"/>
      <c r="W115" s="58"/>
      <c r="X115" s="58"/>
      <c r="Z115" s="112"/>
      <c r="AA115" s="112"/>
      <c r="AB115" s="112"/>
      <c r="AD115" s="74"/>
      <c r="AE115" s="58"/>
      <c r="AF115" s="88"/>
      <c r="AG115" s="88"/>
      <c r="AH115" s="88"/>
      <c r="AJ115" s="112"/>
      <c r="AK115" s="112"/>
      <c r="AL115" s="112"/>
      <c r="AN115" s="74"/>
      <c r="AO115" s="58"/>
      <c r="AP115" s="88"/>
      <c r="AQ115" s="88"/>
      <c r="AR115" s="88"/>
      <c r="AT115" s="112"/>
      <c r="AU115" s="112"/>
      <c r="AV115" s="112"/>
      <c r="AX115" s="97"/>
      <c r="AY115" s="58"/>
      <c r="AZ115" s="88"/>
      <c r="BA115" s="88"/>
      <c r="BB115" s="88"/>
      <c r="BE115" s="112"/>
      <c r="BF115" s="112"/>
      <c r="BG115" s="112"/>
      <c r="BI115" s="97"/>
      <c r="BJ115" s="58"/>
      <c r="BK115" s="88"/>
      <c r="BL115" s="88"/>
      <c r="BM115" s="88"/>
    </row>
    <row r="116" spans="1:65" ht="13.5" customHeight="1">
      <c r="B116" t="s">
        <v>74</v>
      </c>
      <c r="D116" s="16">
        <v>243</v>
      </c>
      <c r="E116" s="186">
        <v>221</v>
      </c>
      <c r="F116" s="186">
        <v>464</v>
      </c>
      <c r="H116" s="275">
        <f>405-F116</f>
        <v>-59</v>
      </c>
      <c r="I116" s="58">
        <f t="shared" si="4"/>
        <v>590</v>
      </c>
      <c r="J116" s="58">
        <f t="shared" si="5"/>
        <v>531</v>
      </c>
      <c r="K116" s="58"/>
      <c r="L116" s="58">
        <v>995</v>
      </c>
      <c r="P116" s="112"/>
      <c r="Q116" s="112"/>
      <c r="R116" s="112"/>
      <c r="T116" s="74"/>
      <c r="U116" s="58"/>
      <c r="V116" s="58"/>
      <c r="W116" s="58"/>
      <c r="X116" s="58"/>
      <c r="Z116" s="112"/>
      <c r="AA116" s="112"/>
      <c r="AB116" s="112"/>
      <c r="AD116" s="74"/>
      <c r="AE116" s="58"/>
      <c r="AF116" s="88"/>
      <c r="AG116" s="88"/>
      <c r="AH116" s="88"/>
      <c r="AJ116" s="112"/>
      <c r="AK116" s="112"/>
      <c r="AL116" s="112"/>
      <c r="AN116" s="74"/>
      <c r="AO116" s="58"/>
      <c r="AP116" s="88"/>
      <c r="AQ116" s="88"/>
      <c r="AR116" s="88"/>
      <c r="AT116" s="112"/>
      <c r="AU116" s="112"/>
      <c r="AV116" s="112"/>
      <c r="AX116" s="97"/>
      <c r="AY116" s="58"/>
      <c r="AZ116" s="88"/>
      <c r="BA116" s="88"/>
      <c r="BB116" s="88"/>
      <c r="BE116" s="112"/>
      <c r="BF116" s="112"/>
      <c r="BG116" s="112"/>
      <c r="BI116" s="97"/>
      <c r="BJ116" s="58"/>
      <c r="BK116" s="88"/>
      <c r="BL116" s="88"/>
      <c r="BM116" s="88"/>
    </row>
    <row r="117" spans="1:65" ht="13.5" customHeight="1">
      <c r="B117" t="s">
        <v>119</v>
      </c>
      <c r="D117" s="16">
        <v>9</v>
      </c>
      <c r="E117" s="186">
        <v>-47</v>
      </c>
      <c r="F117" s="186">
        <v>-38</v>
      </c>
      <c r="H117" s="275">
        <f>-15-F117</f>
        <v>23</v>
      </c>
      <c r="I117" s="58">
        <f t="shared" si="4"/>
        <v>-1</v>
      </c>
      <c r="J117" s="58">
        <f t="shared" si="5"/>
        <v>22</v>
      </c>
      <c r="K117" s="58"/>
      <c r="L117" s="58">
        <v>-16</v>
      </c>
      <c r="P117" s="112"/>
      <c r="Q117" s="112"/>
      <c r="R117" s="112"/>
      <c r="T117" s="74"/>
      <c r="U117" s="58"/>
      <c r="V117" s="58"/>
      <c r="W117" s="58"/>
      <c r="X117" s="58"/>
      <c r="Z117" s="112"/>
      <c r="AA117" s="112"/>
      <c r="AB117" s="112"/>
      <c r="AD117" s="74"/>
      <c r="AE117" s="58"/>
      <c r="AF117" s="88"/>
      <c r="AG117" s="88"/>
      <c r="AH117" s="88"/>
      <c r="AJ117" s="112"/>
      <c r="AK117" s="112"/>
      <c r="AL117" s="112"/>
      <c r="AN117" s="74"/>
      <c r="AO117" s="58"/>
      <c r="AP117" s="88"/>
      <c r="AQ117" s="88"/>
      <c r="AR117" s="88"/>
      <c r="AT117" s="112"/>
      <c r="AU117" s="112"/>
      <c r="AV117" s="112"/>
      <c r="AX117" s="97"/>
      <c r="AY117" s="58"/>
      <c r="AZ117" s="88"/>
      <c r="BA117" s="88"/>
      <c r="BB117" s="88"/>
      <c r="BE117" s="112"/>
      <c r="BF117" s="112"/>
      <c r="BG117" s="112"/>
      <c r="BI117" s="97"/>
      <c r="BJ117" s="58"/>
      <c r="BK117" s="88"/>
      <c r="BL117" s="88"/>
      <c r="BM117" s="88"/>
    </row>
    <row r="119" spans="1:65" ht="13.8" thickBot="1">
      <c r="B119" s="305" t="s">
        <v>192</v>
      </c>
      <c r="C119" s="304"/>
      <c r="D119" s="304">
        <v>674</v>
      </c>
      <c r="E119" s="304">
        <v>886</v>
      </c>
      <c r="F119" s="311">
        <v>1560</v>
      </c>
      <c r="G119" s="304"/>
      <c r="H119" s="304">
        <f>1713-F119</f>
        <v>153</v>
      </c>
      <c r="I119" s="304">
        <f t="shared" si="4"/>
        <v>666</v>
      </c>
      <c r="J119" s="304">
        <f t="shared" si="5"/>
        <v>819</v>
      </c>
      <c r="K119" s="304"/>
      <c r="L119" s="304">
        <v>2379</v>
      </c>
      <c r="M119" s="304"/>
    </row>
    <row r="121" spans="1:65">
      <c r="A121" s="251"/>
      <c r="B121" s="252" t="s">
        <v>156</v>
      </c>
    </row>
    <row r="122" spans="1:65">
      <c r="B122" t="s">
        <v>1</v>
      </c>
      <c r="D122" s="244" t="str">
        <f>D5</f>
        <v>2023年度　（2023年4月-2024年3月）</v>
      </c>
      <c r="E122" s="244"/>
      <c r="F122" s="244"/>
      <c r="G122" s="244"/>
      <c r="H122" s="244"/>
      <c r="I122" s="244"/>
      <c r="J122" s="244"/>
      <c r="K122" s="244"/>
      <c r="L122" s="244"/>
      <c r="P122" s="5"/>
      <c r="Q122" s="5"/>
      <c r="R122" s="5"/>
      <c r="S122" s="5"/>
      <c r="T122" s="5"/>
      <c r="U122" s="5"/>
      <c r="V122" s="5"/>
      <c r="W122" s="5"/>
      <c r="X122" s="5"/>
      <c r="Z122" s="5"/>
      <c r="AA122" s="5"/>
      <c r="AB122" s="5"/>
      <c r="AC122" s="5"/>
      <c r="AD122" s="5"/>
      <c r="AE122" s="5"/>
      <c r="AF122" s="5"/>
      <c r="AG122" s="5"/>
      <c r="AH122" s="5"/>
      <c r="AJ122" s="5"/>
      <c r="AK122" s="5"/>
      <c r="AL122" s="5"/>
      <c r="AM122" s="5"/>
      <c r="AN122" s="5"/>
      <c r="AO122" s="5"/>
      <c r="AP122" s="5"/>
      <c r="AQ122" s="5"/>
      <c r="AR122" s="5"/>
      <c r="AT122" s="5"/>
      <c r="AU122" s="5"/>
      <c r="AV122" s="5"/>
      <c r="AW122" s="5"/>
      <c r="AX122" s="5"/>
      <c r="AY122" s="5"/>
      <c r="AZ122" s="5"/>
      <c r="BA122" s="5"/>
      <c r="BB122" s="5"/>
      <c r="BE122" s="5"/>
      <c r="BF122" s="5"/>
      <c r="BG122" s="5"/>
      <c r="BH122" s="5"/>
      <c r="BI122" s="5"/>
      <c r="BJ122" s="5"/>
      <c r="BK122" s="5"/>
      <c r="BL122" s="5"/>
      <c r="BM122" s="5"/>
    </row>
    <row r="123" spans="1:65" ht="3.75" customHeight="1">
      <c r="D123" s="5"/>
      <c r="E123" s="5"/>
      <c r="F123" s="5"/>
      <c r="G123" s="5"/>
      <c r="H123" s="5"/>
      <c r="I123" s="5"/>
      <c r="J123" s="5"/>
      <c r="K123" s="5"/>
      <c r="L123" s="244"/>
      <c r="P123" s="5"/>
      <c r="Q123" s="5"/>
      <c r="R123" s="5"/>
      <c r="S123" s="5"/>
      <c r="T123" s="5"/>
      <c r="U123" s="5"/>
      <c r="V123" s="5"/>
      <c r="W123" s="5"/>
      <c r="X123" s="5"/>
      <c r="Z123" s="5"/>
      <c r="AA123" s="5"/>
      <c r="AB123" s="5"/>
      <c r="AC123" s="5"/>
      <c r="AD123" s="5"/>
      <c r="AE123" s="5"/>
      <c r="AF123" s="5"/>
      <c r="AG123" s="5"/>
      <c r="AH123" s="5"/>
      <c r="AJ123" s="5"/>
      <c r="AK123" s="5"/>
      <c r="AL123" s="5"/>
      <c r="AM123" s="5"/>
      <c r="AN123" s="5"/>
      <c r="AO123" s="5"/>
      <c r="AP123" s="5"/>
      <c r="AQ123" s="5"/>
      <c r="AR123" s="5"/>
      <c r="AT123" s="5"/>
      <c r="AU123" s="5"/>
      <c r="AV123" s="5"/>
      <c r="AW123" s="5"/>
      <c r="AX123" s="5"/>
      <c r="AY123" s="5"/>
      <c r="AZ123" s="5"/>
      <c r="BA123" s="5"/>
      <c r="BB123" s="5"/>
      <c r="BE123" s="5"/>
      <c r="BF123" s="5"/>
      <c r="BG123" s="5"/>
      <c r="BH123" s="5"/>
      <c r="BI123" s="5"/>
      <c r="BJ123" s="5"/>
      <c r="BK123" s="5"/>
      <c r="BL123" s="5"/>
      <c r="BM123" s="5"/>
    </row>
    <row r="124" spans="1:65">
      <c r="D124" s="6"/>
      <c r="E124" s="6"/>
      <c r="F124" s="7" t="s">
        <v>28</v>
      </c>
      <c r="H124" s="7"/>
      <c r="I124" s="7"/>
      <c r="J124" s="7" t="s">
        <v>29</v>
      </c>
      <c r="L124" s="245" t="s">
        <v>30</v>
      </c>
      <c r="R124" s="8"/>
      <c r="T124" s="8"/>
      <c r="U124" s="8"/>
      <c r="V124" s="8"/>
      <c r="X124" s="8"/>
      <c r="AB124" s="8"/>
      <c r="AD124" s="8"/>
      <c r="AE124" s="8"/>
      <c r="AF124" s="8"/>
      <c r="AH124" s="8"/>
      <c r="AL124" s="8"/>
      <c r="AN124" s="8"/>
      <c r="AO124" s="8"/>
      <c r="AP124" s="8"/>
      <c r="AR124" s="8"/>
      <c r="AV124" s="8"/>
      <c r="AX124" s="8"/>
      <c r="AY124" s="8"/>
      <c r="AZ124" s="8"/>
      <c r="BB124" s="8"/>
      <c r="BG124" s="8"/>
      <c r="BI124" s="8"/>
      <c r="BJ124" s="8"/>
      <c r="BK124" s="8"/>
      <c r="BM124" s="8"/>
    </row>
    <row r="125" spans="1:65" s="9" customFormat="1" ht="10.8">
      <c r="D125" s="9" t="s">
        <v>31</v>
      </c>
      <c r="E125" s="9" t="s">
        <v>32</v>
      </c>
      <c r="F125" s="10" t="s">
        <v>33</v>
      </c>
      <c r="H125" s="9" t="s">
        <v>7</v>
      </c>
      <c r="I125" s="9" t="s">
        <v>8</v>
      </c>
      <c r="J125" s="10"/>
      <c r="L125" s="246"/>
      <c r="R125" s="11"/>
      <c r="V125" s="11"/>
      <c r="X125" s="11"/>
      <c r="AB125" s="11"/>
      <c r="AF125" s="11"/>
      <c r="AH125" s="11"/>
      <c r="AL125" s="11"/>
      <c r="AP125" s="11"/>
      <c r="AR125" s="11"/>
      <c r="AV125" s="11"/>
      <c r="AZ125" s="11"/>
      <c r="BB125" s="11"/>
      <c r="BG125" s="11"/>
      <c r="BK125" s="11"/>
      <c r="BM125" s="11"/>
    </row>
    <row r="126" spans="1:65" s="9" customFormat="1" ht="10.8">
      <c r="D126" s="9" t="s">
        <v>34</v>
      </c>
      <c r="E126" s="9" t="s">
        <v>35</v>
      </c>
      <c r="F126" s="10" t="s">
        <v>36</v>
      </c>
      <c r="H126" s="9" t="s">
        <v>12</v>
      </c>
      <c r="I126" s="9" t="s">
        <v>13</v>
      </c>
      <c r="J126" s="10" t="s">
        <v>37</v>
      </c>
      <c r="L126" s="246" t="s">
        <v>38</v>
      </c>
      <c r="R126" s="11"/>
      <c r="V126" s="11"/>
      <c r="X126" s="11"/>
      <c r="AB126" s="11"/>
      <c r="AF126" s="11"/>
      <c r="AH126" s="11"/>
      <c r="AL126" s="11"/>
      <c r="AP126" s="11"/>
      <c r="AR126" s="11"/>
      <c r="AV126" s="11"/>
      <c r="AZ126" s="11"/>
      <c r="BB126" s="11"/>
      <c r="BG126" s="11"/>
      <c r="BK126" s="11"/>
      <c r="BM126" s="11"/>
    </row>
    <row r="127" spans="1:65" ht="5.0999999999999996" customHeight="1"/>
    <row r="128" spans="1:65" ht="13.5" customHeight="1" thickBot="1">
      <c r="B128" s="12" t="s">
        <v>154</v>
      </c>
      <c r="C128" s="12"/>
      <c r="D128" s="57">
        <v>940</v>
      </c>
      <c r="E128" s="200">
        <v>1975</v>
      </c>
      <c r="F128" s="57">
        <v>2915</v>
      </c>
      <c r="G128" s="57"/>
      <c r="H128" s="273">
        <f>3863-F128</f>
        <v>948</v>
      </c>
      <c r="I128" s="57">
        <f t="shared" ref="I128:I142" si="6">J128-H128</f>
        <v>786</v>
      </c>
      <c r="J128" s="57">
        <f t="shared" ref="J128:J142" si="7">L128-F128</f>
        <v>1734</v>
      </c>
      <c r="K128" s="57"/>
      <c r="L128" s="57">
        <v>4649</v>
      </c>
      <c r="M128" s="12"/>
      <c r="P128" s="58"/>
      <c r="Q128" s="58"/>
      <c r="R128" s="58"/>
      <c r="S128" s="58"/>
      <c r="T128" s="58"/>
      <c r="U128" s="58"/>
      <c r="V128" s="58"/>
      <c r="W128" s="58"/>
      <c r="X128" s="58"/>
      <c r="Z128" s="58"/>
      <c r="AA128" s="58"/>
      <c r="AB128" s="58"/>
      <c r="AC128" s="58"/>
      <c r="AD128" s="58"/>
      <c r="AE128" s="58"/>
      <c r="AF128" s="58"/>
      <c r="AG128" s="58"/>
      <c r="AH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row>
    <row r="129" spans="2:65" ht="13.5" customHeight="1" thickBot="1">
      <c r="B129" t="s">
        <v>155</v>
      </c>
      <c r="D129" s="58">
        <v>1249</v>
      </c>
      <c r="E129" s="181">
        <v>1442</v>
      </c>
      <c r="F129" s="181">
        <v>2691</v>
      </c>
      <c r="G129" s="58"/>
      <c r="H129" s="277">
        <f>3356-F129</f>
        <v>665</v>
      </c>
      <c r="I129" s="58">
        <f t="shared" si="6"/>
        <v>576</v>
      </c>
      <c r="J129" s="58">
        <f t="shared" si="7"/>
        <v>1241</v>
      </c>
      <c r="K129" s="58"/>
      <c r="L129" s="58">
        <v>3932</v>
      </c>
      <c r="P129" s="58"/>
      <c r="Q129" s="58"/>
      <c r="R129" s="58"/>
      <c r="S129" s="58"/>
      <c r="T129" s="58"/>
      <c r="U129" s="58"/>
      <c r="V129" s="58"/>
      <c r="W129" s="58"/>
      <c r="X129" s="58"/>
      <c r="Z129" s="58"/>
      <c r="AA129" s="58"/>
      <c r="AB129" s="58"/>
      <c r="AC129" s="58"/>
      <c r="AD129" s="58"/>
      <c r="AE129" s="58"/>
      <c r="AF129" s="58"/>
      <c r="AG129" s="58"/>
      <c r="AH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row>
    <row r="130" spans="2:65" ht="13.5" customHeight="1">
      <c r="B130" s="59" t="s">
        <v>113</v>
      </c>
      <c r="C130" s="60"/>
      <c r="D130" s="61">
        <v>192</v>
      </c>
      <c r="E130" s="261">
        <v>1396</v>
      </c>
      <c r="F130" s="261">
        <v>1588</v>
      </c>
      <c r="G130" s="61"/>
      <c r="H130" s="278">
        <f>2110-F130</f>
        <v>522</v>
      </c>
      <c r="I130" s="61">
        <f t="shared" si="6"/>
        <v>420</v>
      </c>
      <c r="J130" s="61">
        <f t="shared" si="7"/>
        <v>942</v>
      </c>
      <c r="K130" s="61"/>
      <c r="L130" s="61">
        <v>2530</v>
      </c>
      <c r="M130" s="60"/>
      <c r="P130" s="58"/>
      <c r="Q130" s="58"/>
      <c r="R130" s="58"/>
      <c r="S130" s="58"/>
      <c r="T130" s="58"/>
      <c r="U130" s="58"/>
      <c r="V130" s="58"/>
      <c r="W130" s="58"/>
      <c r="X130" s="58"/>
      <c r="Z130" s="58"/>
      <c r="AA130" s="58"/>
      <c r="AB130" s="58"/>
      <c r="AC130" s="58"/>
      <c r="AD130" s="58"/>
      <c r="AE130" s="58"/>
      <c r="AF130" s="58"/>
      <c r="AG130" s="58"/>
      <c r="AH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row>
    <row r="131" spans="2:65" ht="13.5" customHeight="1">
      <c r="B131" t="s">
        <v>184</v>
      </c>
      <c r="D131" s="58">
        <v>415</v>
      </c>
      <c r="E131" s="181">
        <v>832</v>
      </c>
      <c r="F131" s="181">
        <v>1247</v>
      </c>
      <c r="G131" s="58"/>
      <c r="H131" s="277">
        <f>1551-F131</f>
        <v>304</v>
      </c>
      <c r="I131" s="58">
        <f t="shared" si="6"/>
        <v>338</v>
      </c>
      <c r="J131" s="58">
        <f t="shared" si="7"/>
        <v>642</v>
      </c>
      <c r="K131" s="58"/>
      <c r="L131" s="58">
        <v>1889</v>
      </c>
      <c r="P131" s="58"/>
      <c r="Q131" s="58"/>
      <c r="R131" s="58"/>
      <c r="S131" s="58"/>
      <c r="T131" s="58"/>
      <c r="U131" s="58"/>
      <c r="V131" s="58"/>
      <c r="W131" s="58"/>
      <c r="X131" s="58"/>
      <c r="Z131" s="58"/>
      <c r="AA131" s="58"/>
      <c r="AB131" s="58"/>
      <c r="AC131" s="58"/>
      <c r="AD131" s="58"/>
      <c r="AE131" s="58"/>
      <c r="AF131" s="58"/>
      <c r="AG131" s="58"/>
      <c r="AH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row>
    <row r="132" spans="2:65" ht="13.5" customHeight="1">
      <c r="B132" t="s">
        <v>222</v>
      </c>
      <c r="D132" s="58">
        <v>26</v>
      </c>
      <c r="E132" s="181">
        <v>-1</v>
      </c>
      <c r="F132" s="181">
        <v>25</v>
      </c>
      <c r="G132" s="58"/>
      <c r="H132" s="277">
        <f>54-F132</f>
        <v>29</v>
      </c>
      <c r="I132" s="58">
        <f t="shared" si="6"/>
        <v>19</v>
      </c>
      <c r="J132" s="58">
        <f t="shared" si="7"/>
        <v>48</v>
      </c>
      <c r="K132" s="58"/>
      <c r="L132" s="58">
        <v>73</v>
      </c>
      <c r="P132" s="58"/>
      <c r="Q132" s="58"/>
      <c r="R132" s="58"/>
      <c r="S132" s="58"/>
      <c r="T132" s="58"/>
      <c r="U132" s="58"/>
      <c r="V132" s="58"/>
      <c r="W132" s="58"/>
      <c r="X132" s="58"/>
      <c r="Z132" s="58"/>
      <c r="AA132" s="58"/>
      <c r="AB132" s="58"/>
      <c r="AC132" s="58"/>
      <c r="AD132" s="58"/>
      <c r="AE132" s="58"/>
      <c r="AF132" s="58"/>
      <c r="AG132" s="58"/>
      <c r="AH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row>
    <row r="133" spans="2:65" ht="13.5" customHeight="1">
      <c r="B133" t="s">
        <v>223</v>
      </c>
      <c r="D133" s="58">
        <v>48</v>
      </c>
      <c r="E133" s="181">
        <v>1</v>
      </c>
      <c r="F133" s="181">
        <v>49</v>
      </c>
      <c r="G133" s="58"/>
      <c r="H133" s="277">
        <f>24-F133</f>
        <v>-25</v>
      </c>
      <c r="I133" s="58">
        <f t="shared" si="6"/>
        <v>-77</v>
      </c>
      <c r="J133" s="58">
        <f t="shared" si="7"/>
        <v>-102</v>
      </c>
      <c r="K133" s="58"/>
      <c r="L133" s="58">
        <v>-53</v>
      </c>
      <c r="P133" s="58"/>
      <c r="Q133" s="58"/>
      <c r="R133" s="58"/>
      <c r="S133" s="58"/>
      <c r="T133" s="58"/>
      <c r="U133" s="58"/>
      <c r="V133" s="58"/>
      <c r="W133" s="58"/>
      <c r="X133" s="58"/>
      <c r="Z133" s="58"/>
      <c r="AA133" s="58"/>
      <c r="AB133" s="58"/>
      <c r="AC133" s="58"/>
      <c r="AD133" s="58"/>
      <c r="AE133" s="58"/>
      <c r="AF133" s="58"/>
      <c r="AG133" s="58"/>
      <c r="AH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row>
    <row r="134" spans="2:65" ht="13.5" customHeight="1">
      <c r="B134" t="s">
        <v>224</v>
      </c>
      <c r="D134" s="58">
        <v>12</v>
      </c>
      <c r="E134" s="181">
        <v>31</v>
      </c>
      <c r="F134" s="181">
        <v>43</v>
      </c>
      <c r="G134" s="58"/>
      <c r="H134" s="277">
        <f>-26-F134</f>
        <v>-69</v>
      </c>
      <c r="I134" s="58">
        <f t="shared" si="6"/>
        <v>-70</v>
      </c>
      <c r="J134" s="58">
        <f t="shared" si="7"/>
        <v>-139</v>
      </c>
      <c r="K134" s="58"/>
      <c r="L134" s="58">
        <v>-96</v>
      </c>
      <c r="P134" s="58"/>
      <c r="Q134" s="58"/>
      <c r="R134" s="58"/>
      <c r="S134" s="58"/>
      <c r="T134" s="58"/>
      <c r="U134" s="58"/>
      <c r="V134" s="58"/>
      <c r="W134" s="58"/>
      <c r="X134" s="58"/>
      <c r="Z134" s="58"/>
      <c r="AA134" s="58"/>
      <c r="AB134" s="58"/>
      <c r="AC134" s="58"/>
      <c r="AD134" s="58"/>
      <c r="AE134" s="58"/>
      <c r="AF134" s="58"/>
      <c r="AG134" s="58"/>
      <c r="AH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row>
    <row r="135" spans="2:65" ht="13.5" customHeight="1">
      <c r="B135" t="s">
        <v>83</v>
      </c>
      <c r="D135" s="58">
        <v>-309</v>
      </c>
      <c r="E135" s="181">
        <v>533</v>
      </c>
      <c r="F135" s="181">
        <v>224</v>
      </c>
      <c r="G135" s="58"/>
      <c r="H135" s="277">
        <f>507-F135</f>
        <v>283</v>
      </c>
      <c r="I135" s="58">
        <f t="shared" si="6"/>
        <v>210</v>
      </c>
      <c r="J135" s="58">
        <f t="shared" si="7"/>
        <v>493</v>
      </c>
      <c r="K135" s="58"/>
      <c r="L135" s="58">
        <v>717</v>
      </c>
      <c r="P135" s="58"/>
      <c r="Q135" s="58"/>
      <c r="R135" s="58"/>
      <c r="S135" s="58"/>
      <c r="T135" s="58"/>
      <c r="U135" s="58"/>
      <c r="V135" s="58"/>
      <c r="W135" s="58"/>
      <c r="X135" s="58"/>
      <c r="Z135" s="58"/>
      <c r="AA135" s="58"/>
      <c r="AB135" s="58"/>
      <c r="AC135" s="58"/>
      <c r="AD135" s="58"/>
      <c r="AE135" s="58"/>
      <c r="AF135" s="58"/>
      <c r="AG135" s="58"/>
      <c r="AH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row>
    <row r="136" spans="2:65" ht="13.5" customHeight="1">
      <c r="B136" s="62" t="s">
        <v>114</v>
      </c>
      <c r="C136" s="34"/>
      <c r="D136" s="63">
        <v>259</v>
      </c>
      <c r="E136" s="262">
        <v>258</v>
      </c>
      <c r="F136" s="262">
        <v>517</v>
      </c>
      <c r="G136" s="63"/>
      <c r="H136" s="279">
        <f>775-F136</f>
        <v>258</v>
      </c>
      <c r="I136" s="63">
        <f t="shared" si="6"/>
        <v>140</v>
      </c>
      <c r="J136" s="63">
        <f t="shared" si="7"/>
        <v>398</v>
      </c>
      <c r="K136" s="63"/>
      <c r="L136" s="63">
        <v>915</v>
      </c>
      <c r="M136" s="34"/>
      <c r="P136" s="58"/>
      <c r="Q136" s="58"/>
      <c r="R136" s="58"/>
      <c r="S136" s="58"/>
      <c r="T136" s="58"/>
      <c r="U136" s="58"/>
      <c r="V136" s="58"/>
      <c r="W136" s="58"/>
      <c r="X136" s="58"/>
      <c r="Z136" s="58"/>
      <c r="AA136" s="58"/>
      <c r="AB136" s="58"/>
      <c r="AC136" s="58"/>
      <c r="AD136" s="58"/>
      <c r="AE136" s="58"/>
      <c r="AF136" s="58"/>
      <c r="AG136" s="58"/>
      <c r="AH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row>
    <row r="137" spans="2:65" ht="13.5" customHeight="1">
      <c r="B137" s="64" t="s">
        <v>84</v>
      </c>
      <c r="C137" s="27"/>
      <c r="D137" s="65">
        <v>401</v>
      </c>
      <c r="E137" s="263">
        <v>320</v>
      </c>
      <c r="F137" s="263">
        <v>721</v>
      </c>
      <c r="G137" s="65"/>
      <c r="H137" s="280">
        <f>803-F137</f>
        <v>82</v>
      </c>
      <c r="I137" s="65">
        <f t="shared" si="6"/>
        <v>8</v>
      </c>
      <c r="J137" s="65">
        <f t="shared" si="7"/>
        <v>90</v>
      </c>
      <c r="K137" s="65"/>
      <c r="L137" s="65">
        <v>811</v>
      </c>
      <c r="M137" s="27"/>
      <c r="P137" s="58"/>
      <c r="Q137" s="58"/>
      <c r="R137" s="58"/>
      <c r="S137" s="58"/>
      <c r="T137" s="58"/>
      <c r="U137" s="58"/>
      <c r="V137" s="58"/>
      <c r="W137" s="58"/>
      <c r="X137" s="58"/>
      <c r="Z137" s="58"/>
      <c r="AA137" s="58"/>
      <c r="AB137" s="58"/>
      <c r="AC137" s="58"/>
      <c r="AD137" s="58"/>
      <c r="AE137" s="58"/>
      <c r="AF137" s="58"/>
      <c r="AG137" s="58"/>
      <c r="AH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row>
    <row r="138" spans="2:65" ht="13.5" customHeight="1">
      <c r="B138" t="s">
        <v>194</v>
      </c>
      <c r="D138" s="58">
        <v>46</v>
      </c>
      <c r="E138" s="181">
        <v>60</v>
      </c>
      <c r="F138" s="181">
        <v>106</v>
      </c>
      <c r="G138" s="58"/>
      <c r="H138" s="277">
        <f>196-F138</f>
        <v>90</v>
      </c>
      <c r="I138" s="58">
        <f t="shared" si="6"/>
        <v>71</v>
      </c>
      <c r="J138" s="58">
        <f t="shared" si="7"/>
        <v>161</v>
      </c>
      <c r="K138" s="58"/>
      <c r="L138" s="58">
        <v>267</v>
      </c>
      <c r="P138" s="58"/>
      <c r="Q138" s="58"/>
      <c r="R138" s="58"/>
      <c r="S138" s="58"/>
      <c r="T138" s="58"/>
      <c r="U138" s="58"/>
      <c r="V138" s="58"/>
      <c r="W138" s="58"/>
      <c r="X138" s="58"/>
      <c r="Z138" s="58"/>
      <c r="AA138" s="58"/>
      <c r="AB138" s="58"/>
      <c r="AC138" s="58"/>
      <c r="AD138" s="58"/>
      <c r="AE138" s="58"/>
      <c r="AF138" s="58"/>
      <c r="AG138" s="58"/>
      <c r="AH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row>
    <row r="139" spans="2:65" ht="13.5" customHeight="1">
      <c r="B139" t="s">
        <v>193</v>
      </c>
      <c r="D139" s="58">
        <v>26</v>
      </c>
      <c r="E139" s="181">
        <v>-24</v>
      </c>
      <c r="F139" s="181">
        <v>3</v>
      </c>
      <c r="G139" s="58"/>
      <c r="H139" s="277">
        <f>2-F139</f>
        <v>-1</v>
      </c>
      <c r="I139" s="58">
        <f t="shared" si="6"/>
        <v>16</v>
      </c>
      <c r="J139" s="58">
        <f t="shared" si="7"/>
        <v>15</v>
      </c>
      <c r="K139" s="58"/>
      <c r="L139" s="58">
        <v>18</v>
      </c>
      <c r="P139" s="58"/>
      <c r="Q139" s="58"/>
      <c r="R139" s="58"/>
      <c r="S139" s="58"/>
      <c r="T139" s="58"/>
      <c r="U139" s="58"/>
      <c r="V139" s="58"/>
      <c r="W139" s="58"/>
      <c r="X139" s="58"/>
      <c r="Z139" s="58"/>
      <c r="AA139" s="58"/>
      <c r="AB139" s="58"/>
      <c r="AC139" s="58"/>
      <c r="AD139" s="58"/>
      <c r="AE139" s="58"/>
      <c r="AF139" s="58"/>
      <c r="AG139" s="58"/>
      <c r="AH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row>
    <row r="140" spans="2:65" ht="13.5" customHeight="1">
      <c r="B140" t="s">
        <v>195</v>
      </c>
      <c r="D140" s="58">
        <v>339</v>
      </c>
      <c r="E140" s="181">
        <v>320</v>
      </c>
      <c r="F140" s="181">
        <v>659</v>
      </c>
      <c r="G140" s="58"/>
      <c r="H140" s="277">
        <f>665-F140</f>
        <v>6</v>
      </c>
      <c r="I140" s="58">
        <f t="shared" si="6"/>
        <v>48</v>
      </c>
      <c r="J140" s="58">
        <f t="shared" si="7"/>
        <v>54</v>
      </c>
      <c r="K140" s="58"/>
      <c r="L140" s="58">
        <v>713</v>
      </c>
      <c r="P140" s="58"/>
      <c r="Q140" s="58"/>
      <c r="R140" s="58"/>
      <c r="S140" s="58"/>
      <c r="T140" s="58"/>
      <c r="U140" s="58"/>
      <c r="V140" s="58"/>
      <c r="W140" s="58"/>
      <c r="X140" s="58"/>
      <c r="Z140" s="58"/>
      <c r="AA140" s="58"/>
      <c r="AB140" s="58"/>
      <c r="AC140" s="58"/>
      <c r="AD140" s="58"/>
      <c r="AE140" s="58"/>
      <c r="AF140" s="58"/>
      <c r="AG140" s="58"/>
      <c r="AH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row>
    <row r="141" spans="2:65" ht="13.5" customHeight="1">
      <c r="B141" t="s">
        <v>183</v>
      </c>
      <c r="D141" s="58">
        <v>-10</v>
      </c>
      <c r="E141" s="181">
        <v>-36</v>
      </c>
      <c r="F141" s="181">
        <v>-47</v>
      </c>
      <c r="G141" s="58"/>
      <c r="H141" s="277">
        <f>-60-F141</f>
        <v>-13</v>
      </c>
      <c r="I141" s="58">
        <f t="shared" si="6"/>
        <v>-127</v>
      </c>
      <c r="J141" s="58">
        <f t="shared" si="7"/>
        <v>-140</v>
      </c>
      <c r="K141" s="58"/>
      <c r="L141" s="58">
        <v>-187</v>
      </c>
      <c r="P141" s="58"/>
      <c r="Q141" s="58"/>
      <c r="R141" s="58"/>
      <c r="S141" s="58"/>
      <c r="T141" s="58"/>
      <c r="U141" s="58"/>
      <c r="V141" s="58"/>
      <c r="W141" s="58"/>
      <c r="X141" s="58"/>
      <c r="Z141" s="58"/>
      <c r="AA141" s="58"/>
      <c r="AB141" s="58"/>
      <c r="AC141" s="58"/>
      <c r="AD141" s="58"/>
      <c r="AE141" s="58"/>
      <c r="AF141" s="58"/>
      <c r="AG141" s="58"/>
      <c r="AH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row>
    <row r="142" spans="2:65" ht="13.5" customHeight="1">
      <c r="B142" s="66" t="s">
        <v>115</v>
      </c>
      <c r="C142" s="34"/>
      <c r="D142" s="63">
        <v>88</v>
      </c>
      <c r="E142" s="262">
        <v>1</v>
      </c>
      <c r="F142" s="262">
        <v>89</v>
      </c>
      <c r="G142" s="63"/>
      <c r="H142" s="279">
        <f>175-F142</f>
        <v>86</v>
      </c>
      <c r="I142" s="161">
        <f t="shared" si="6"/>
        <v>218</v>
      </c>
      <c r="J142" s="161">
        <f t="shared" si="7"/>
        <v>304</v>
      </c>
      <c r="K142" s="161"/>
      <c r="L142" s="161">
        <v>393</v>
      </c>
      <c r="M142" s="34"/>
      <c r="P142" s="58"/>
      <c r="Q142" s="58"/>
      <c r="R142" s="58"/>
      <c r="S142" s="58"/>
      <c r="T142" s="58"/>
      <c r="U142" s="58"/>
      <c r="V142" s="58"/>
      <c r="W142" s="58"/>
      <c r="X142" s="58"/>
      <c r="Z142" s="58"/>
      <c r="AA142" s="58"/>
      <c r="AB142" s="58"/>
      <c r="AC142" s="58"/>
      <c r="AD142" s="58"/>
      <c r="AE142" s="58"/>
      <c r="AF142" s="58"/>
      <c r="AG142" s="58"/>
      <c r="AH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row>
    <row r="143" spans="2:65" ht="6.75" customHeight="1">
      <c r="P143" s="58"/>
      <c r="Q143" s="58"/>
      <c r="R143" s="58"/>
      <c r="S143" s="58"/>
      <c r="T143" s="58"/>
      <c r="U143" s="58"/>
      <c r="V143" s="58"/>
      <c r="W143" s="58"/>
      <c r="X143" s="58"/>
      <c r="Z143" s="58"/>
      <c r="AA143" s="58"/>
      <c r="AB143" s="58"/>
      <c r="AC143" s="58"/>
      <c r="AD143" s="58"/>
      <c r="AE143" s="58"/>
      <c r="AF143" s="58"/>
      <c r="AG143" s="58"/>
      <c r="AH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row>
    <row r="144" spans="2:65">
      <c r="P144" s="58"/>
      <c r="Q144" s="58"/>
      <c r="R144" s="58"/>
      <c r="S144" s="58"/>
      <c r="T144" s="58"/>
      <c r="U144" s="58"/>
      <c r="V144" s="58"/>
      <c r="W144" s="58"/>
      <c r="X144" s="58"/>
      <c r="Z144" s="58"/>
      <c r="AA144" s="58"/>
      <c r="AB144" s="58"/>
      <c r="AC144" s="58"/>
      <c r="AD144" s="58"/>
      <c r="AE144" s="58"/>
      <c r="AF144" s="58"/>
      <c r="AG144" s="58"/>
      <c r="AH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row>
    <row r="145" spans="1:65">
      <c r="B145" s="252" t="s">
        <v>89</v>
      </c>
    </row>
    <row r="146" spans="1:65">
      <c r="B146" t="s">
        <v>1</v>
      </c>
      <c r="D146" s="244" t="str">
        <f>D5</f>
        <v>2023年度　（2023年4月-2024年3月）</v>
      </c>
      <c r="E146" s="244"/>
      <c r="F146" s="244"/>
      <c r="G146" s="244"/>
      <c r="H146" s="244"/>
      <c r="I146" s="244"/>
      <c r="J146" s="244"/>
      <c r="K146" s="244"/>
      <c r="L146" s="244"/>
      <c r="P146" s="5"/>
      <c r="Q146" s="5"/>
      <c r="R146" s="5"/>
      <c r="S146" s="5"/>
      <c r="T146" s="5"/>
      <c r="U146" s="5"/>
      <c r="V146" s="5"/>
      <c r="W146" s="5"/>
      <c r="X146" s="5"/>
      <c r="Z146" s="5"/>
      <c r="AA146" s="5"/>
      <c r="AB146" s="5"/>
      <c r="AC146" s="5"/>
      <c r="AD146" s="5"/>
      <c r="AE146" s="5"/>
      <c r="AF146" s="5"/>
      <c r="AG146" s="5"/>
      <c r="AH146" s="5"/>
      <c r="AJ146" s="5"/>
      <c r="AK146" s="5"/>
      <c r="AL146" s="5"/>
      <c r="AM146" s="5"/>
      <c r="AN146" s="5"/>
      <c r="AO146" s="5"/>
      <c r="AP146" s="5"/>
      <c r="AQ146" s="5"/>
      <c r="AR146" s="5"/>
      <c r="AT146" s="5"/>
      <c r="AU146" s="5"/>
      <c r="AV146" s="5"/>
      <c r="AW146" s="5"/>
      <c r="AX146" s="5"/>
      <c r="AY146" s="5"/>
      <c r="AZ146" s="5"/>
      <c r="BA146" s="5"/>
      <c r="BB146" s="5"/>
      <c r="BE146" s="5"/>
      <c r="BF146" s="5"/>
      <c r="BG146" s="5"/>
      <c r="BH146" s="5"/>
      <c r="BI146" s="5"/>
      <c r="BJ146" s="5"/>
      <c r="BK146" s="5"/>
      <c r="BL146" s="5"/>
      <c r="BM146" s="5"/>
    </row>
    <row r="147" spans="1:65" ht="3.75" customHeight="1">
      <c r="D147" s="5"/>
      <c r="E147" s="5"/>
      <c r="F147" s="5"/>
      <c r="G147" s="5"/>
      <c r="H147" s="5"/>
      <c r="I147" s="5"/>
      <c r="J147" s="5"/>
      <c r="K147" s="5"/>
      <c r="L147" s="244"/>
      <c r="P147" s="5"/>
      <c r="Q147" s="5"/>
      <c r="R147" s="5"/>
      <c r="S147" s="5"/>
      <c r="T147" s="5"/>
      <c r="U147" s="5"/>
      <c r="V147" s="5"/>
      <c r="W147" s="5"/>
      <c r="X147" s="5"/>
      <c r="Z147" s="5"/>
      <c r="AA147" s="5"/>
      <c r="AB147" s="5"/>
      <c r="AC147" s="5"/>
      <c r="AD147" s="5"/>
      <c r="AE147" s="5"/>
      <c r="AF147" s="5"/>
      <c r="AG147" s="5"/>
      <c r="AH147" s="5"/>
      <c r="AJ147" s="5"/>
      <c r="AK147" s="5"/>
      <c r="AL147" s="5"/>
      <c r="AM147" s="5"/>
      <c r="AN147" s="5"/>
      <c r="AO147" s="5"/>
      <c r="AP147" s="5"/>
      <c r="AQ147" s="5"/>
      <c r="AR147" s="5"/>
      <c r="AT147" s="5"/>
      <c r="AU147" s="5"/>
      <c r="AV147" s="5"/>
      <c r="AW147" s="5"/>
      <c r="AX147" s="5"/>
      <c r="AY147" s="5"/>
      <c r="AZ147" s="5"/>
      <c r="BA147" s="5"/>
      <c r="BB147" s="5"/>
      <c r="BE147" s="5"/>
      <c r="BF147" s="5"/>
      <c r="BG147" s="5"/>
      <c r="BH147" s="5"/>
      <c r="BI147" s="5"/>
      <c r="BJ147" s="5"/>
      <c r="BK147" s="5"/>
      <c r="BL147" s="5"/>
      <c r="BM147" s="5"/>
    </row>
    <row r="148" spans="1:65">
      <c r="D148" s="6"/>
      <c r="E148" s="6"/>
      <c r="F148" s="7" t="s">
        <v>28</v>
      </c>
      <c r="H148" s="7"/>
      <c r="I148" s="7"/>
      <c r="J148" s="7" t="s">
        <v>29</v>
      </c>
      <c r="L148" s="245" t="s">
        <v>30</v>
      </c>
      <c r="R148" s="8"/>
      <c r="T148" s="8"/>
      <c r="U148" s="8"/>
      <c r="V148" s="8"/>
      <c r="X148" s="8"/>
      <c r="AB148" s="8"/>
      <c r="AD148" s="8"/>
      <c r="AE148" s="8"/>
      <c r="AF148" s="8"/>
      <c r="AH148" s="8"/>
      <c r="AL148" s="8"/>
      <c r="AN148" s="8"/>
      <c r="AO148" s="8"/>
      <c r="AP148" s="8"/>
      <c r="AR148" s="8"/>
      <c r="AV148" s="8"/>
      <c r="AX148" s="8"/>
      <c r="AY148" s="8"/>
      <c r="AZ148" s="8"/>
      <c r="BB148" s="8"/>
      <c r="BG148" s="8"/>
      <c r="BI148" s="8"/>
      <c r="BJ148" s="8"/>
      <c r="BK148" s="8"/>
      <c r="BM148" s="8"/>
    </row>
    <row r="149" spans="1:65" s="9" customFormat="1" ht="10.8">
      <c r="D149" s="9" t="s">
        <v>31</v>
      </c>
      <c r="E149" s="220"/>
      <c r="F149" s="10" t="s">
        <v>33</v>
      </c>
      <c r="H149" s="9" t="s">
        <v>171</v>
      </c>
      <c r="I149" s="220"/>
      <c r="J149" s="225"/>
      <c r="L149" s="246"/>
      <c r="R149" s="11"/>
      <c r="V149" s="11"/>
      <c r="X149" s="11"/>
      <c r="AB149" s="11"/>
      <c r="AF149" s="11"/>
      <c r="AH149" s="11"/>
      <c r="AL149" s="11"/>
      <c r="AP149" s="11"/>
      <c r="AR149" s="11"/>
      <c r="AV149" s="11"/>
      <c r="AZ149" s="11"/>
      <c r="BB149" s="11"/>
      <c r="BG149" s="11"/>
      <c r="BK149" s="11"/>
      <c r="BM149" s="11"/>
    </row>
    <row r="150" spans="1:65" s="9" customFormat="1" ht="10.8">
      <c r="E150" s="220"/>
      <c r="F150" s="10"/>
      <c r="I150" s="220"/>
      <c r="J150" s="225"/>
      <c r="L150" s="246"/>
      <c r="R150" s="11"/>
      <c r="V150" s="11"/>
      <c r="X150" s="11"/>
      <c r="AB150" s="11"/>
      <c r="AF150" s="11"/>
      <c r="AH150" s="11"/>
      <c r="AL150" s="11"/>
      <c r="AP150" s="11"/>
      <c r="AR150" s="11"/>
      <c r="AV150" s="11"/>
      <c r="AZ150" s="11"/>
      <c r="BB150" s="11"/>
      <c r="BG150" s="11"/>
      <c r="BK150" s="11"/>
      <c r="BM150" s="11"/>
    </row>
    <row r="151" spans="1:65" ht="5.0999999999999996" customHeight="1"/>
    <row r="152" spans="1:65" ht="13.5" customHeight="1">
      <c r="B152" s="67" t="s">
        <v>90</v>
      </c>
      <c r="C152" s="34"/>
      <c r="D152" s="34"/>
      <c r="E152" s="221"/>
      <c r="F152" s="264"/>
      <c r="G152" s="34"/>
      <c r="H152" s="34"/>
      <c r="I152" s="226"/>
      <c r="J152" s="226"/>
      <c r="M152" s="34"/>
    </row>
    <row r="153" spans="1:65" ht="13.5" customHeight="1">
      <c r="B153" s="254" t="s">
        <v>91</v>
      </c>
      <c r="D153" s="16">
        <v>137</v>
      </c>
      <c r="E153" s="138"/>
      <c r="F153" s="186">
        <v>141</v>
      </c>
      <c r="G153" s="16"/>
      <c r="H153" s="275">
        <v>143</v>
      </c>
      <c r="I153" s="227"/>
      <c r="J153" s="227"/>
      <c r="K153" s="203"/>
      <c r="L153" s="166">
        <v>145</v>
      </c>
      <c r="P153" s="112"/>
      <c r="Q153" s="112"/>
      <c r="R153" s="112"/>
      <c r="S153" s="112"/>
      <c r="T153" s="112"/>
      <c r="U153" s="112"/>
      <c r="V153" s="112"/>
      <c r="W153" s="112"/>
      <c r="X153" s="112"/>
      <c r="Z153" s="112"/>
      <c r="AA153" s="112"/>
      <c r="AB153" s="112"/>
      <c r="AC153" s="112"/>
      <c r="AD153" s="112"/>
      <c r="AE153" s="112"/>
      <c r="AF153" s="112"/>
      <c r="AG153" s="112"/>
      <c r="AH153" s="112"/>
      <c r="AJ153" s="112"/>
      <c r="AK153" s="112"/>
      <c r="AL153" s="112"/>
      <c r="AM153" s="112"/>
      <c r="AN153" s="112"/>
      <c r="AO153" s="112"/>
      <c r="AP153" s="112"/>
      <c r="AQ153" s="112"/>
      <c r="AR153" s="112"/>
      <c r="AS153" s="112"/>
      <c r="AT153" s="112"/>
      <c r="AU153" s="112"/>
      <c r="AV153" s="112"/>
      <c r="AW153" s="112"/>
      <c r="AX153" s="112"/>
      <c r="AY153" s="112"/>
      <c r="AZ153" s="112"/>
      <c r="BA153" s="112"/>
      <c r="BB153" s="112"/>
      <c r="BE153" s="112"/>
      <c r="BF153" s="112"/>
      <c r="BG153" s="112"/>
      <c r="BH153" s="112"/>
      <c r="BI153" s="112"/>
      <c r="BJ153" s="112"/>
      <c r="BK153" s="112"/>
      <c r="BL153" s="112"/>
      <c r="BM153" s="112"/>
    </row>
    <row r="154" spans="1:65" ht="13.5" customHeight="1">
      <c r="B154" s="69" t="s">
        <v>113</v>
      </c>
      <c r="C154" s="34"/>
      <c r="D154" s="109"/>
      <c r="E154" s="222"/>
      <c r="F154" s="204"/>
      <c r="G154" s="109"/>
      <c r="H154" s="109"/>
      <c r="I154" s="222"/>
      <c r="J154" s="222"/>
      <c r="K154" s="204"/>
      <c r="L154" s="109"/>
      <c r="M154" s="34"/>
      <c r="P154" s="112"/>
      <c r="Q154" s="112"/>
      <c r="R154" s="112"/>
      <c r="S154" s="112"/>
      <c r="T154" s="112"/>
      <c r="U154" s="112"/>
      <c r="V154" s="112"/>
      <c r="W154" s="112"/>
      <c r="X154" s="112"/>
      <c r="Z154" s="112"/>
      <c r="AA154" s="112"/>
      <c r="AB154" s="112"/>
      <c r="AC154" s="112"/>
      <c r="AD154" s="112"/>
      <c r="AE154" s="112"/>
      <c r="AF154" s="112"/>
      <c r="AG154" s="112"/>
      <c r="AH154" s="112"/>
      <c r="AJ154" s="112"/>
      <c r="AK154" s="112"/>
      <c r="AL154" s="112"/>
      <c r="AM154" s="112"/>
      <c r="AN154" s="112"/>
      <c r="AO154" s="112"/>
      <c r="AP154" s="112"/>
      <c r="AQ154" s="112"/>
      <c r="AR154" s="112"/>
      <c r="AS154" s="112"/>
      <c r="AT154" s="112"/>
      <c r="AU154" s="112"/>
      <c r="AV154" s="112"/>
      <c r="AW154" s="112"/>
      <c r="AX154" s="112"/>
      <c r="AY154" s="112"/>
      <c r="AZ154" s="112"/>
      <c r="BA154" s="112"/>
      <c r="BB154" s="112"/>
      <c r="BE154" s="112"/>
      <c r="BF154" s="112"/>
      <c r="BG154" s="112"/>
      <c r="BH154" s="112"/>
      <c r="BI154" s="112"/>
      <c r="BJ154" s="112"/>
      <c r="BK154" s="112"/>
      <c r="BL154" s="112"/>
      <c r="BM154" s="112"/>
    </row>
    <row r="155" spans="1:65" ht="13.5" customHeight="1">
      <c r="A155" s="21"/>
      <c r="B155" s="31" t="s">
        <v>175</v>
      </c>
      <c r="D155" s="16">
        <v>78</v>
      </c>
      <c r="E155" s="223"/>
      <c r="F155" s="186">
        <v>82</v>
      </c>
      <c r="G155" s="16"/>
      <c r="H155" s="275">
        <v>83</v>
      </c>
      <c r="I155" s="228"/>
      <c r="J155" s="228"/>
      <c r="K155" s="201"/>
      <c r="L155" s="112">
        <v>82</v>
      </c>
      <c r="P155" s="112"/>
      <c r="Q155" s="25"/>
      <c r="R155" s="112"/>
      <c r="S155" s="112"/>
      <c r="T155" s="112"/>
      <c r="U155" s="112"/>
      <c r="V155" s="112"/>
      <c r="W155" s="112"/>
      <c r="X155" s="112"/>
      <c r="Z155" s="112"/>
      <c r="AA155" s="112"/>
      <c r="AB155" s="112"/>
      <c r="AC155" s="112"/>
      <c r="AD155" s="112"/>
      <c r="AE155" s="112"/>
      <c r="AF155" s="112"/>
      <c r="AG155" s="112"/>
      <c r="AH155" s="112"/>
      <c r="AJ155" s="112"/>
      <c r="AK155" s="112"/>
      <c r="AL155" s="112"/>
      <c r="AM155" s="112"/>
      <c r="AN155" s="112"/>
      <c r="AO155" s="112"/>
      <c r="AP155" s="112"/>
      <c r="AQ155" s="112"/>
      <c r="AR155" s="112"/>
      <c r="AS155" s="112"/>
      <c r="AT155" s="112"/>
      <c r="AU155" s="112"/>
      <c r="AV155" s="112"/>
      <c r="AW155" s="112"/>
      <c r="AX155" s="112"/>
      <c r="AY155" s="112"/>
      <c r="AZ155" s="112"/>
      <c r="BA155" s="112"/>
      <c r="BB155" s="112"/>
      <c r="BE155" s="112"/>
      <c r="BF155" s="112"/>
      <c r="BG155" s="112"/>
      <c r="BH155" s="112"/>
      <c r="BI155" s="112"/>
      <c r="BJ155" s="112"/>
      <c r="BK155" s="112"/>
      <c r="BL155" s="112"/>
      <c r="BM155" s="112"/>
    </row>
    <row r="156" spans="1:65" ht="13.5" customHeight="1">
      <c r="B156" s="62" t="s">
        <v>114</v>
      </c>
      <c r="C156" s="34"/>
      <c r="D156" s="109"/>
      <c r="E156" s="222"/>
      <c r="F156" s="204"/>
      <c r="G156" s="109"/>
      <c r="H156" s="109"/>
      <c r="I156" s="222"/>
      <c r="J156" s="222"/>
      <c r="K156" s="204"/>
      <c r="L156" s="109"/>
      <c r="M156" s="34"/>
      <c r="P156" s="112"/>
      <c r="Q156" s="112"/>
      <c r="R156" s="112"/>
      <c r="S156" s="112"/>
      <c r="T156" s="112"/>
      <c r="U156" s="112"/>
      <c r="V156" s="112"/>
      <c r="W156" s="112"/>
      <c r="X156" s="112"/>
      <c r="Z156" s="112"/>
      <c r="AA156" s="112"/>
      <c r="AB156" s="112"/>
      <c r="AC156" s="112"/>
      <c r="AD156" s="112"/>
      <c r="AE156" s="112"/>
      <c r="AF156" s="112"/>
      <c r="AG156" s="112"/>
      <c r="AH156" s="112"/>
      <c r="AJ156" s="112"/>
      <c r="AK156" s="112"/>
      <c r="AL156" s="112"/>
      <c r="AM156" s="112"/>
      <c r="AN156" s="112"/>
      <c r="AO156" s="112"/>
      <c r="AP156" s="112"/>
      <c r="AQ156" s="112"/>
      <c r="AR156" s="112"/>
      <c r="AS156" s="112"/>
      <c r="AT156" s="112"/>
      <c r="AU156" s="112"/>
      <c r="AV156" s="112"/>
      <c r="AW156" s="112"/>
      <c r="AX156" s="112"/>
      <c r="AY156" s="112"/>
      <c r="AZ156" s="112"/>
      <c r="BA156" s="112"/>
      <c r="BB156" s="112"/>
      <c r="BE156" s="112"/>
      <c r="BF156" s="112"/>
      <c r="BG156" s="112"/>
      <c r="BH156" s="112"/>
      <c r="BI156" s="112"/>
      <c r="BJ156" s="112"/>
      <c r="BK156" s="112"/>
      <c r="BL156" s="112"/>
      <c r="BM156" s="112"/>
    </row>
    <row r="157" spans="1:65" ht="13.5" customHeight="1">
      <c r="B157" s="31" t="s">
        <v>176</v>
      </c>
      <c r="D157" s="16">
        <v>82</v>
      </c>
      <c r="E157" s="138"/>
      <c r="F157" s="186">
        <v>86</v>
      </c>
      <c r="G157" s="16"/>
      <c r="H157" s="275">
        <v>88</v>
      </c>
      <c r="I157" s="228"/>
      <c r="J157" s="228"/>
      <c r="K157" s="201"/>
      <c r="L157" s="112">
        <v>88</v>
      </c>
      <c r="P157" s="112"/>
      <c r="Q157" s="112"/>
      <c r="R157" s="112"/>
      <c r="S157" s="112"/>
      <c r="T157" s="112"/>
      <c r="U157" s="112"/>
      <c r="V157" s="112"/>
      <c r="W157" s="112"/>
      <c r="X157" s="112"/>
      <c r="Z157" s="112"/>
      <c r="AA157" s="112"/>
      <c r="AB157" s="112"/>
      <c r="AC157" s="112"/>
      <c r="AD157" s="112"/>
      <c r="AE157" s="112"/>
      <c r="AF157" s="112"/>
      <c r="AG157" s="112"/>
      <c r="AH157" s="112"/>
      <c r="AJ157" s="112"/>
      <c r="AK157" s="112"/>
      <c r="AL157" s="112"/>
      <c r="AM157" s="112"/>
      <c r="AN157" s="112"/>
      <c r="AO157" s="112"/>
      <c r="AP157" s="112"/>
      <c r="AQ157" s="112"/>
      <c r="AR157" s="112"/>
      <c r="AS157" s="112"/>
      <c r="AT157" s="112"/>
      <c r="AU157" s="112"/>
      <c r="AV157" s="112"/>
      <c r="AW157" s="112"/>
      <c r="AX157" s="112"/>
      <c r="AY157" s="112"/>
      <c r="AZ157" s="112"/>
      <c r="BA157" s="112"/>
      <c r="BB157" s="112"/>
      <c r="BE157" s="112"/>
      <c r="BF157" s="112"/>
      <c r="BG157" s="112"/>
      <c r="BH157" s="112"/>
      <c r="BI157" s="112"/>
      <c r="BJ157" s="112"/>
      <c r="BK157" s="112"/>
      <c r="BL157" s="112"/>
      <c r="BM157" s="112"/>
    </row>
    <row r="158" spans="1:65" ht="13.5" customHeight="1">
      <c r="B158" s="31" t="s">
        <v>164</v>
      </c>
      <c r="D158" s="16">
        <v>78</v>
      </c>
      <c r="E158" s="223"/>
      <c r="F158" s="186">
        <v>82</v>
      </c>
      <c r="G158" s="110"/>
      <c r="H158" s="275">
        <v>82</v>
      </c>
      <c r="I158" s="229"/>
      <c r="J158" s="229"/>
      <c r="K158" s="205"/>
      <c r="L158" s="154">
        <v>82</v>
      </c>
      <c r="P158" s="112"/>
      <c r="Q158" s="25"/>
      <c r="R158" s="112"/>
      <c r="S158" s="153"/>
      <c r="T158" s="112"/>
      <c r="U158" s="154"/>
      <c r="V158" s="154"/>
      <c r="W158" s="154"/>
      <c r="X158" s="154"/>
      <c r="Z158" s="112"/>
      <c r="AA158" s="112"/>
      <c r="AB158" s="112"/>
      <c r="AC158" s="153"/>
      <c r="AD158" s="112"/>
      <c r="AE158" s="154"/>
      <c r="AF158" s="154"/>
      <c r="AG158" s="154"/>
      <c r="AH158" s="154"/>
      <c r="AJ158" s="112"/>
      <c r="AK158" s="112"/>
      <c r="AL158" s="112"/>
      <c r="AM158" s="153"/>
      <c r="AN158" s="112"/>
      <c r="AO158" s="154"/>
      <c r="AP158" s="154"/>
      <c r="AQ158" s="154"/>
      <c r="AR158" s="154"/>
      <c r="AS158" s="154"/>
      <c r="AT158" s="154"/>
      <c r="AU158" s="154"/>
      <c r="AV158" s="154"/>
      <c r="AW158" s="154"/>
      <c r="AX158" s="214"/>
      <c r="AY158" s="154"/>
      <c r="AZ158" s="154"/>
      <c r="BA158" s="154"/>
      <c r="BB158" s="154"/>
      <c r="BC158" s="97"/>
      <c r="BD158" s="97"/>
      <c r="BE158" s="154"/>
      <c r="BF158" s="154"/>
      <c r="BG158" s="154"/>
      <c r="BH158" s="154"/>
      <c r="BI158" s="154"/>
      <c r="BJ158" s="154"/>
      <c r="BK158" s="154"/>
      <c r="BL158" s="154"/>
      <c r="BM158" s="154"/>
    </row>
    <row r="159" spans="1:65" ht="13.5" customHeight="1">
      <c r="B159" s="72" t="s">
        <v>84</v>
      </c>
      <c r="C159" s="34"/>
      <c r="D159" s="109"/>
      <c r="E159" s="222"/>
      <c r="F159" s="204"/>
      <c r="G159" s="109"/>
      <c r="H159" s="109"/>
      <c r="I159" s="222"/>
      <c r="J159" s="222"/>
      <c r="K159" s="204"/>
      <c r="L159" s="109"/>
      <c r="M159" s="34"/>
      <c r="P159" s="112"/>
      <c r="Q159" s="112"/>
      <c r="R159" s="112"/>
      <c r="S159" s="112"/>
      <c r="T159" s="112"/>
      <c r="U159" s="112"/>
      <c r="V159" s="112"/>
      <c r="W159" s="112"/>
      <c r="X159" s="112"/>
      <c r="Z159" s="112"/>
      <c r="AA159" s="112"/>
      <c r="AB159" s="112"/>
      <c r="AC159" s="112"/>
      <c r="AD159" s="112"/>
      <c r="AE159" s="112"/>
      <c r="AF159" s="112"/>
      <c r="AG159" s="112"/>
      <c r="AH159" s="112"/>
      <c r="AJ159" s="112"/>
      <c r="AK159" s="112"/>
      <c r="AL159" s="112"/>
      <c r="AM159" s="112"/>
      <c r="AN159" s="112"/>
      <c r="AO159" s="112"/>
      <c r="AP159" s="112"/>
      <c r="AQ159" s="112"/>
      <c r="AR159" s="112"/>
      <c r="AS159" s="112"/>
      <c r="AT159" s="112"/>
      <c r="AU159" s="112"/>
      <c r="AV159" s="112"/>
      <c r="AW159" s="112"/>
      <c r="AX159" s="112"/>
      <c r="AY159" s="112"/>
      <c r="AZ159" s="112"/>
      <c r="BA159" s="112"/>
      <c r="BB159" s="112"/>
      <c r="BE159" s="112"/>
      <c r="BF159" s="112"/>
      <c r="BG159" s="112"/>
      <c r="BH159" s="112"/>
      <c r="BI159" s="112"/>
      <c r="BJ159" s="112"/>
      <c r="BK159" s="112"/>
      <c r="BL159" s="112"/>
      <c r="BM159" s="112"/>
    </row>
    <row r="160" spans="1:65" ht="13.5" customHeight="1">
      <c r="B160" s="31" t="s">
        <v>165</v>
      </c>
      <c r="D160" s="16">
        <v>385</v>
      </c>
      <c r="E160" s="138"/>
      <c r="F160" s="186">
        <v>382</v>
      </c>
      <c r="G160" s="16"/>
      <c r="H160" s="275">
        <v>378</v>
      </c>
      <c r="I160" s="228"/>
      <c r="J160" s="228"/>
      <c r="K160" s="201"/>
      <c r="L160" s="112">
        <v>379</v>
      </c>
      <c r="P160" s="112"/>
      <c r="Q160" s="112"/>
      <c r="R160" s="112"/>
      <c r="S160" s="112"/>
      <c r="T160" s="112"/>
      <c r="U160" s="112"/>
      <c r="V160" s="112"/>
      <c r="W160" s="112"/>
      <c r="X160" s="112"/>
      <c r="Z160" s="112"/>
      <c r="AA160" s="112"/>
      <c r="AB160" s="112"/>
      <c r="AC160" s="112"/>
      <c r="AD160" s="112"/>
      <c r="AE160" s="112"/>
      <c r="AF160" s="112"/>
      <c r="AG160" s="112"/>
      <c r="AH160" s="112"/>
      <c r="AJ160" s="112"/>
      <c r="AK160" s="112"/>
      <c r="AL160" s="112"/>
      <c r="AM160" s="112"/>
      <c r="AN160" s="112"/>
      <c r="AO160" s="112"/>
      <c r="AP160" s="112"/>
      <c r="AQ160" s="112"/>
      <c r="AR160" s="112"/>
      <c r="AS160" s="112"/>
      <c r="AT160" s="112"/>
      <c r="AU160" s="112"/>
      <c r="AV160" s="112"/>
      <c r="AW160" s="112"/>
      <c r="AX160" s="112"/>
      <c r="AY160" s="112"/>
      <c r="AZ160" s="112"/>
      <c r="BA160" s="112"/>
      <c r="BB160" s="112"/>
      <c r="BE160" s="112"/>
      <c r="BF160" s="112"/>
      <c r="BG160" s="112"/>
      <c r="BH160" s="112"/>
      <c r="BI160" s="112"/>
      <c r="BJ160" s="112"/>
      <c r="BK160" s="112"/>
      <c r="BL160" s="112"/>
      <c r="BM160" s="112"/>
    </row>
    <row r="161" spans="1:65" ht="13.5" customHeight="1">
      <c r="B161" s="31" t="s">
        <v>110</v>
      </c>
      <c r="D161" s="16">
        <v>56</v>
      </c>
      <c r="E161" s="138"/>
      <c r="F161" s="186">
        <v>95</v>
      </c>
      <c r="G161" s="16"/>
      <c r="H161" s="275">
        <v>135</v>
      </c>
      <c r="I161" s="228"/>
      <c r="J161" s="228"/>
      <c r="K161" s="201"/>
      <c r="L161" s="112">
        <v>169</v>
      </c>
      <c r="P161" s="112"/>
      <c r="Q161" s="112"/>
      <c r="R161" s="112"/>
      <c r="S161" s="112"/>
      <c r="T161" s="112"/>
      <c r="U161" s="112"/>
      <c r="V161" s="112"/>
      <c r="W161" s="112"/>
      <c r="X161" s="112"/>
      <c r="Z161" s="112"/>
      <c r="AA161" s="112"/>
      <c r="AB161" s="112"/>
      <c r="AC161" s="112"/>
      <c r="AD161" s="112"/>
      <c r="AE161" s="112"/>
      <c r="AF161" s="112"/>
      <c r="AG161" s="112"/>
      <c r="AH161" s="112"/>
      <c r="AJ161" s="112"/>
      <c r="AK161" s="112"/>
      <c r="AL161" s="112"/>
      <c r="AM161" s="112"/>
      <c r="AN161" s="112"/>
      <c r="AO161" s="112"/>
      <c r="AP161" s="112"/>
      <c r="AQ161" s="112"/>
      <c r="AR161" s="112"/>
      <c r="AS161" s="112"/>
      <c r="AT161" s="112"/>
      <c r="AU161" s="112"/>
      <c r="AV161" s="112"/>
      <c r="AW161" s="112"/>
      <c r="AX161" s="112"/>
      <c r="AY161" s="112"/>
      <c r="AZ161" s="112"/>
      <c r="BA161" s="112"/>
      <c r="BB161" s="112"/>
      <c r="BE161" s="112"/>
      <c r="BF161" s="112"/>
      <c r="BG161" s="112"/>
      <c r="BH161" s="112"/>
      <c r="BI161" s="112"/>
      <c r="BJ161" s="112"/>
      <c r="BK161" s="112"/>
      <c r="BL161" s="112"/>
      <c r="BM161" s="112"/>
    </row>
    <row r="162" spans="1:65" ht="13.5" customHeight="1">
      <c r="B162" s="31" t="s">
        <v>93</v>
      </c>
      <c r="D162" s="16">
        <v>156</v>
      </c>
      <c r="E162" s="138"/>
      <c r="F162" s="186">
        <v>324</v>
      </c>
      <c r="G162" s="16"/>
      <c r="H162" s="275">
        <v>474</v>
      </c>
      <c r="I162" s="228"/>
      <c r="J162" s="228"/>
      <c r="K162" s="201"/>
      <c r="L162" s="112">
        <v>628</v>
      </c>
      <c r="P162" s="112"/>
      <c r="Q162" s="112"/>
      <c r="R162" s="112"/>
      <c r="S162" s="112"/>
      <c r="T162" s="112"/>
      <c r="U162" s="112"/>
      <c r="V162" s="112"/>
      <c r="W162" s="112"/>
      <c r="X162" s="112"/>
      <c r="Z162" s="112"/>
      <c r="AA162" s="112"/>
      <c r="AB162" s="112"/>
      <c r="AC162" s="112"/>
      <c r="AD162" s="112"/>
      <c r="AE162" s="112"/>
      <c r="AF162" s="112"/>
      <c r="AG162" s="112"/>
      <c r="AH162" s="112"/>
      <c r="AJ162" s="112"/>
      <c r="AK162" s="112"/>
      <c r="AL162" s="112"/>
      <c r="AM162" s="112"/>
      <c r="AN162" s="112"/>
      <c r="AO162" s="112"/>
      <c r="AP162" s="112"/>
      <c r="AQ162" s="112"/>
      <c r="AR162" s="112"/>
      <c r="AS162" s="112"/>
      <c r="AT162" s="112"/>
      <c r="AU162" s="112"/>
      <c r="AV162" s="112"/>
      <c r="AW162" s="112"/>
      <c r="AX162" s="112"/>
      <c r="AY162" s="112"/>
      <c r="AZ162" s="112"/>
      <c r="BA162" s="112"/>
      <c r="BB162" s="112"/>
      <c r="BE162" s="112"/>
      <c r="BF162" s="112"/>
      <c r="BG162" s="112"/>
      <c r="BH162" s="112"/>
      <c r="BI162" s="112"/>
      <c r="BJ162" s="112"/>
      <c r="BK162" s="112"/>
      <c r="BL162" s="112"/>
      <c r="BM162" s="112"/>
    </row>
    <row r="163" spans="1:65" s="179" customFormat="1" ht="13.5" customHeight="1">
      <c r="B163" s="180" t="s">
        <v>95</v>
      </c>
      <c r="D163" s="110">
        <v>2.2000000000000002</v>
      </c>
      <c r="E163" s="224"/>
      <c r="F163" s="265">
        <v>2.2999999999999998</v>
      </c>
      <c r="G163" s="110"/>
      <c r="H163" s="281">
        <v>2.2999999999999998</v>
      </c>
      <c r="I163" s="230"/>
      <c r="J163" s="230"/>
      <c r="K163" s="206"/>
      <c r="L163" s="153">
        <v>2.2999999999999998</v>
      </c>
      <c r="P163" s="153"/>
      <c r="Q163" s="153"/>
      <c r="R163" s="153"/>
      <c r="S163" s="153"/>
      <c r="T163" s="153"/>
      <c r="U163" s="153"/>
      <c r="V163" s="153"/>
      <c r="W163" s="153"/>
      <c r="X163" s="153"/>
      <c r="Z163" s="153"/>
      <c r="AA163" s="153"/>
      <c r="AB163" s="153"/>
      <c r="AC163" s="153"/>
      <c r="AD163" s="153"/>
      <c r="AE163" s="153"/>
      <c r="AF163" s="153"/>
      <c r="AG163" s="153"/>
      <c r="AH163" s="153"/>
      <c r="AJ163" s="153"/>
      <c r="AK163" s="153"/>
      <c r="AL163" s="153"/>
      <c r="AM163" s="153"/>
      <c r="AN163" s="153"/>
      <c r="AO163" s="153"/>
      <c r="AP163" s="153"/>
      <c r="AQ163" s="153"/>
      <c r="AR163" s="153"/>
      <c r="AS163" s="153"/>
      <c r="AT163" s="153"/>
      <c r="AU163" s="153"/>
      <c r="AV163" s="153"/>
      <c r="AW163" s="153"/>
      <c r="AX163" s="153"/>
      <c r="AY163" s="153"/>
      <c r="AZ163" s="153"/>
      <c r="BA163" s="153"/>
      <c r="BB163" s="153"/>
      <c r="BE163" s="153"/>
      <c r="BF163" s="153"/>
      <c r="BG163" s="153"/>
      <c r="BH163" s="153"/>
      <c r="BI163" s="153"/>
      <c r="BJ163" s="153"/>
      <c r="BK163" s="153"/>
      <c r="BL163" s="153"/>
      <c r="BM163" s="153"/>
    </row>
    <row r="165" spans="1:65">
      <c r="A165" s="4"/>
      <c r="B165" s="31" t="s">
        <v>177</v>
      </c>
    </row>
  </sheetData>
  <phoneticPr fontId="3"/>
  <pageMargins left="0.23622047244094491" right="0.23622047244094491" top="0.74803149606299213" bottom="0.74803149606299213" header="0.31496062992125984" footer="0.31496062992125984"/>
  <pageSetup paperSize="8" scale="72" fitToHeight="2" orientation="landscape" r:id="rId1"/>
  <headerFooter alignWithMargins="0">
    <oddHeader>&amp;R&amp;"Calibri"&amp;14&amp;K000000 【社内限り】&amp;1#_x000D_</oddHeader>
    <oddFooter>&amp;L（C)JX Holdings, Inc.</oddFooter>
  </headerFooter>
  <rowBreaks count="1" manualBreakCount="1">
    <brk id="86" max="1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0E43-0FCD-4590-891B-24E143111F15}">
  <sheetPr>
    <tabColor theme="5" tint="0.79998168889431442"/>
  </sheetPr>
  <dimension ref="A1:CG164"/>
  <sheetViews>
    <sheetView showGridLines="0" view="pageBreakPreview" zoomScale="115" zoomScaleNormal="100" zoomScaleSheetLayoutView="115" workbookViewId="0">
      <pane xSplit="3" ySplit="2" topLeftCell="D43" activePane="bottomRight" state="frozen"/>
      <selection activeCell="F86" sqref="F86"/>
      <selection pane="topRight" activeCell="F86" sqref="F86"/>
      <selection pane="bottomLeft" activeCell="F86" sqref="F86"/>
      <selection pane="bottomRight" activeCell="I60" sqref="I60"/>
    </sheetView>
  </sheetViews>
  <sheetFormatPr defaultRowHeight="13.2"/>
  <cols>
    <col min="1" max="1" width="2" customWidth="1"/>
    <col min="2" max="2" width="48" customWidth="1"/>
    <col min="3" max="3" width="0.88671875" customWidth="1"/>
    <col min="4" max="6" width="10.44140625" customWidth="1"/>
    <col min="7" max="7" width="1.21875" customWidth="1"/>
    <col min="8" max="10" width="10.77734375" customWidth="1"/>
    <col min="11" max="11" width="1.33203125" customWidth="1"/>
    <col min="12" max="12" width="10.44140625" customWidth="1"/>
    <col min="13" max="13" width="0.88671875" customWidth="1"/>
    <col min="14" max="14" width="10.77734375" customWidth="1"/>
    <col min="15" max="16" width="10.6640625" customWidth="1"/>
    <col min="17" max="17" width="0.88671875" customWidth="1"/>
    <col min="18" max="20" width="10.6640625" customWidth="1"/>
    <col min="21" max="21" width="0.88671875" customWidth="1"/>
    <col min="22" max="22" width="10.6640625" customWidth="1"/>
    <col min="23" max="23" width="0.88671875" customWidth="1"/>
    <col min="24" max="26" width="10.6640625" customWidth="1"/>
    <col min="27" max="27" width="0.88671875" customWidth="1"/>
    <col min="28" max="30" width="10.6640625" customWidth="1"/>
    <col min="31" max="31" width="0.88671875" customWidth="1"/>
    <col min="32" max="32" width="10.6640625" customWidth="1"/>
    <col min="33" max="34" width="0.88671875" customWidth="1"/>
    <col min="35" max="37" width="10.6640625" customWidth="1"/>
    <col min="38" max="38" width="0.88671875" customWidth="1"/>
    <col min="39" max="41" width="10.6640625" customWidth="1"/>
    <col min="42" max="42" width="0.88671875" customWidth="1"/>
    <col min="43" max="43" width="10.6640625" customWidth="1"/>
    <col min="44" max="44" width="0.88671875" customWidth="1"/>
    <col min="45" max="47" width="10.6640625" customWidth="1"/>
    <col min="48" max="48" width="0.88671875" customWidth="1"/>
    <col min="49" max="51" width="10.6640625" customWidth="1"/>
    <col min="52" max="52" width="0.88671875" customWidth="1"/>
    <col min="53" max="53" width="10.6640625" customWidth="1"/>
    <col min="54" max="54" width="0.88671875" customWidth="1"/>
    <col min="55" max="57" width="10.6640625" customWidth="1"/>
    <col min="58" max="58" width="0.88671875" customWidth="1"/>
    <col min="59" max="61" width="10.6640625" customWidth="1"/>
    <col min="62" max="62" width="0.88671875" customWidth="1"/>
    <col min="63" max="63" width="10.6640625" customWidth="1"/>
    <col min="64" max="64" width="0.88671875" customWidth="1"/>
    <col min="65" max="67" width="10.6640625" customWidth="1"/>
    <col min="68" max="68" width="0.88671875" customWidth="1"/>
    <col min="69" max="71" width="10.6640625" customWidth="1"/>
    <col min="72" max="72" width="0.88671875" customWidth="1"/>
    <col min="73" max="73" width="10.6640625" customWidth="1"/>
    <col min="74" max="74" width="0" hidden="1" customWidth="1"/>
    <col min="75" max="75" width="0.88671875" customWidth="1"/>
    <col min="76" max="78" width="10.6640625" customWidth="1"/>
    <col min="79" max="79" width="0.88671875" customWidth="1"/>
    <col min="80" max="82" width="10.6640625" customWidth="1"/>
    <col min="83" max="83" width="0.88671875" customWidth="1"/>
    <col min="84" max="84" width="10.6640625" customWidth="1"/>
  </cols>
  <sheetData>
    <row r="1" spans="1:84" ht="16.5" customHeight="1"/>
    <row r="2" spans="1:84" s="3" customFormat="1" ht="19.5" customHeight="1">
      <c r="A2" s="2"/>
      <c r="B2" s="247" t="s">
        <v>179</v>
      </c>
      <c r="C2" s="248"/>
      <c r="D2" s="248"/>
      <c r="E2" s="248"/>
      <c r="F2" s="248"/>
      <c r="G2" s="248"/>
      <c r="H2" s="248"/>
      <c r="I2" s="248"/>
      <c r="J2" s="248"/>
      <c r="K2" s="248"/>
      <c r="L2" s="248"/>
      <c r="M2" s="248"/>
      <c r="N2" s="248"/>
      <c r="O2" s="248"/>
      <c r="P2" s="248"/>
      <c r="Q2" s="249"/>
      <c r="R2" s="249"/>
      <c r="S2" s="249"/>
      <c r="T2" s="249"/>
      <c r="U2" s="249"/>
      <c r="V2" s="249"/>
      <c r="W2" s="248"/>
      <c r="X2" s="248"/>
      <c r="Y2" s="248"/>
      <c r="Z2" s="248"/>
      <c r="AA2" s="249"/>
      <c r="AB2" s="249"/>
      <c r="AC2" s="249"/>
      <c r="AD2" s="249"/>
      <c r="AE2" s="249"/>
      <c r="AF2" s="249"/>
      <c r="AG2" s="248"/>
      <c r="AH2"/>
      <c r="AI2"/>
      <c r="AJ2"/>
      <c r="AK2"/>
      <c r="AR2"/>
      <c r="AS2"/>
      <c r="AT2"/>
      <c r="AU2"/>
      <c r="BB2"/>
      <c r="BC2"/>
      <c r="BD2"/>
      <c r="BE2"/>
      <c r="BX2"/>
      <c r="BY2"/>
      <c r="BZ2"/>
    </row>
    <row r="3" spans="1:84" s="3" customFormat="1" ht="6.75" customHeight="1">
      <c r="A3" s="2"/>
    </row>
    <row r="4" spans="1:84" s="3" customFormat="1" ht="16.2">
      <c r="A4" s="250" t="s">
        <v>0</v>
      </c>
    </row>
    <row r="5" spans="1:84">
      <c r="B5" t="s">
        <v>1</v>
      </c>
      <c r="D5" s="244" t="s">
        <v>189</v>
      </c>
      <c r="E5" s="244"/>
      <c r="F5" s="244"/>
      <c r="G5" s="244"/>
      <c r="H5" s="244"/>
      <c r="I5" s="244"/>
      <c r="J5" s="244"/>
      <c r="K5" s="244"/>
      <c r="L5" s="244"/>
      <c r="N5" s="244" t="s">
        <v>188</v>
      </c>
      <c r="O5" s="244"/>
      <c r="P5" s="244"/>
      <c r="Q5" s="244"/>
      <c r="R5" s="244"/>
      <c r="S5" s="244"/>
      <c r="T5" s="244"/>
      <c r="U5" s="244"/>
      <c r="V5" s="244"/>
      <c r="X5" s="244" t="s">
        <v>178</v>
      </c>
      <c r="Y5" s="244"/>
      <c r="Z5" s="244"/>
      <c r="AA5" s="244"/>
      <c r="AB5" s="244"/>
      <c r="AC5" s="244"/>
      <c r="AD5" s="244"/>
      <c r="AE5" s="244"/>
      <c r="AF5" s="244"/>
      <c r="AI5" s="5"/>
      <c r="AJ5" s="5"/>
      <c r="AK5" s="5"/>
      <c r="AL5" s="5"/>
      <c r="AM5" s="5"/>
      <c r="AN5" s="5"/>
      <c r="AO5" s="5"/>
      <c r="AP5" s="5"/>
      <c r="AQ5" s="5"/>
      <c r="AS5" s="5"/>
      <c r="AT5" s="5"/>
      <c r="AU5" s="5"/>
      <c r="AV5" s="5"/>
      <c r="AW5" s="5"/>
      <c r="AX5" s="5"/>
      <c r="AY5" s="5"/>
      <c r="AZ5" s="5"/>
      <c r="BA5" s="5"/>
      <c r="BC5" s="5"/>
      <c r="BD5" s="5"/>
      <c r="BE5" s="5"/>
      <c r="BF5" s="5"/>
      <c r="BG5" s="5"/>
      <c r="BH5" s="5"/>
      <c r="BI5" s="5"/>
      <c r="BJ5" s="5"/>
      <c r="BK5" s="5"/>
      <c r="BM5" s="5"/>
      <c r="BN5" s="5"/>
      <c r="BO5" s="5"/>
      <c r="BP5" s="5"/>
      <c r="BQ5" s="5"/>
      <c r="BR5" s="5"/>
      <c r="BS5" s="5"/>
      <c r="BT5" s="5"/>
      <c r="BU5" s="5"/>
      <c r="BX5" s="5"/>
      <c r="BY5" s="5"/>
      <c r="BZ5" s="5"/>
      <c r="CA5" s="5"/>
      <c r="CB5" s="5"/>
      <c r="CC5" s="5"/>
      <c r="CD5" s="5"/>
      <c r="CE5" s="5"/>
      <c r="CF5" s="5"/>
    </row>
    <row r="6" spans="1:84" ht="3.75" customHeight="1">
      <c r="D6" s="5"/>
      <c r="E6" s="5"/>
      <c r="F6" s="5"/>
      <c r="G6" s="5"/>
      <c r="H6" s="5"/>
      <c r="I6" s="5"/>
      <c r="J6" s="5"/>
      <c r="K6" s="5"/>
      <c r="L6" s="244"/>
      <c r="N6" s="5"/>
      <c r="O6" s="5"/>
      <c r="P6" s="5"/>
      <c r="Q6" s="5"/>
      <c r="R6" s="5"/>
      <c r="S6" s="5"/>
      <c r="T6" s="5"/>
      <c r="U6" s="5"/>
      <c r="V6" s="244"/>
      <c r="X6" s="5"/>
      <c r="Y6" s="5"/>
      <c r="Z6" s="5"/>
      <c r="AA6" s="5"/>
      <c r="AB6" s="5"/>
      <c r="AC6" s="5"/>
      <c r="AD6" s="5"/>
      <c r="AE6" s="5"/>
      <c r="AF6" s="244"/>
      <c r="AI6" s="5"/>
      <c r="AJ6" s="5"/>
      <c r="AK6" s="5"/>
      <c r="AL6" s="5"/>
      <c r="AM6" s="5"/>
      <c r="AN6" s="5"/>
      <c r="AO6" s="5"/>
      <c r="AP6" s="5"/>
      <c r="AQ6" s="5"/>
      <c r="AS6" s="5"/>
      <c r="AT6" s="5"/>
      <c r="AU6" s="5"/>
      <c r="AV6" s="5"/>
      <c r="AW6" s="5"/>
      <c r="AX6" s="5"/>
      <c r="AY6" s="5"/>
      <c r="AZ6" s="5"/>
      <c r="BA6" s="5"/>
      <c r="BC6" s="5"/>
      <c r="BD6" s="5"/>
      <c r="BE6" s="5"/>
      <c r="BF6" s="5"/>
      <c r="BG6" s="5"/>
      <c r="BH6" s="5"/>
      <c r="BI6" s="5"/>
      <c r="BJ6" s="5"/>
      <c r="BK6" s="5"/>
      <c r="BM6" s="5"/>
      <c r="BN6" s="5"/>
      <c r="BO6" s="5"/>
      <c r="BP6" s="5"/>
      <c r="BQ6" s="5"/>
      <c r="BR6" s="5"/>
      <c r="BS6" s="5"/>
      <c r="BT6" s="5"/>
      <c r="BU6" s="5"/>
      <c r="BX6" s="5"/>
      <c r="BY6" s="5"/>
      <c r="BZ6" s="5"/>
      <c r="CA6" s="5"/>
      <c r="CB6" s="5"/>
      <c r="CC6" s="5"/>
      <c r="CD6" s="5"/>
      <c r="CE6" s="5"/>
      <c r="CF6" s="5"/>
    </row>
    <row r="7" spans="1:84">
      <c r="D7" s="6"/>
      <c r="E7" s="6"/>
      <c r="F7" s="7" t="s">
        <v>2</v>
      </c>
      <c r="H7" s="7"/>
      <c r="I7" s="7"/>
      <c r="J7" s="7" t="s">
        <v>3</v>
      </c>
      <c r="L7" s="245" t="s">
        <v>4</v>
      </c>
      <c r="N7" s="6"/>
      <c r="O7" s="6"/>
      <c r="P7" s="7" t="s">
        <v>2</v>
      </c>
      <c r="R7" s="7"/>
      <c r="S7" s="7"/>
      <c r="T7" s="7" t="s">
        <v>3</v>
      </c>
      <c r="V7" s="245" t="s">
        <v>4</v>
      </c>
      <c r="X7" s="6"/>
      <c r="Y7" s="6"/>
      <c r="Z7" s="7" t="s">
        <v>2</v>
      </c>
      <c r="AB7" s="7"/>
      <c r="AC7" s="7"/>
      <c r="AD7" s="7" t="s">
        <v>3</v>
      </c>
      <c r="AF7" s="245" t="s">
        <v>4</v>
      </c>
      <c r="AK7" s="8"/>
      <c r="AM7" s="8"/>
      <c r="AN7" s="8"/>
      <c r="AO7" s="8"/>
      <c r="AQ7" s="8"/>
      <c r="AU7" s="8"/>
      <c r="AW7" s="8"/>
      <c r="AX7" s="8"/>
      <c r="AY7" s="8"/>
      <c r="BA7" s="8"/>
      <c r="BE7" s="8"/>
      <c r="BG7" s="8"/>
      <c r="BH7" s="8"/>
      <c r="BI7" s="8"/>
      <c r="BK7" s="8"/>
      <c r="BO7" s="8"/>
      <c r="BQ7" s="8"/>
      <c r="BR7" s="8"/>
      <c r="BS7" s="8"/>
      <c r="BU7" s="8"/>
      <c r="BZ7" s="8"/>
      <c r="CB7" s="8"/>
      <c r="CC7" s="8"/>
      <c r="CD7" s="8"/>
      <c r="CF7" s="8"/>
    </row>
    <row r="8" spans="1:84" s="9" customFormat="1" ht="10.8">
      <c r="D8" s="9" t="s">
        <v>5</v>
      </c>
      <c r="E8" s="9" t="s">
        <v>6</v>
      </c>
      <c r="F8" s="10" t="s">
        <v>6</v>
      </c>
      <c r="H8" s="9" t="s">
        <v>7</v>
      </c>
      <c r="I8" s="9" t="s">
        <v>8</v>
      </c>
      <c r="J8" s="10" t="s">
        <v>9</v>
      </c>
      <c r="L8" s="246"/>
      <c r="N8" s="9" t="s">
        <v>5</v>
      </c>
      <c r="O8" s="9" t="s">
        <v>6</v>
      </c>
      <c r="P8" s="10" t="s">
        <v>6</v>
      </c>
      <c r="R8" s="9" t="s">
        <v>7</v>
      </c>
      <c r="S8" s="9" t="s">
        <v>8</v>
      </c>
      <c r="T8" s="10" t="s">
        <v>9</v>
      </c>
      <c r="V8" s="246"/>
      <c r="X8" s="9" t="s">
        <v>5</v>
      </c>
      <c r="Y8" s="9" t="s">
        <v>6</v>
      </c>
      <c r="Z8" s="10" t="s">
        <v>6</v>
      </c>
      <c r="AB8" s="9" t="s">
        <v>7</v>
      </c>
      <c r="AC8" s="9" t="s">
        <v>8</v>
      </c>
      <c r="AD8" s="10" t="s">
        <v>9</v>
      </c>
      <c r="AF8" s="246"/>
      <c r="AK8" s="11"/>
      <c r="AO8" s="11"/>
      <c r="AQ8" s="11"/>
      <c r="AU8" s="11"/>
      <c r="AY8" s="11"/>
      <c r="BA8" s="11"/>
      <c r="BE8" s="11"/>
      <c r="BI8" s="11"/>
      <c r="BK8" s="11"/>
      <c r="BO8" s="11"/>
      <c r="BS8" s="11"/>
      <c r="BU8" s="11"/>
      <c r="BZ8" s="11"/>
      <c r="CD8" s="11"/>
      <c r="CF8" s="11"/>
    </row>
    <row r="9" spans="1:84" s="9" customFormat="1" ht="10.8">
      <c r="D9" s="9" t="s">
        <v>10</v>
      </c>
      <c r="E9" s="9" t="s">
        <v>11</v>
      </c>
      <c r="F9" s="10" t="s">
        <v>11</v>
      </c>
      <c r="H9" s="9" t="s">
        <v>98</v>
      </c>
      <c r="I9" s="9" t="s">
        <v>99</v>
      </c>
      <c r="J9" s="10" t="s">
        <v>14</v>
      </c>
      <c r="L9" s="246" t="s">
        <v>15</v>
      </c>
      <c r="N9" s="9" t="s">
        <v>10</v>
      </c>
      <c r="O9" s="9" t="s">
        <v>11</v>
      </c>
      <c r="P9" s="10" t="s">
        <v>11</v>
      </c>
      <c r="R9" s="9" t="s">
        <v>98</v>
      </c>
      <c r="S9" s="9" t="s">
        <v>99</v>
      </c>
      <c r="T9" s="10" t="s">
        <v>14</v>
      </c>
      <c r="V9" s="246" t="s">
        <v>15</v>
      </c>
      <c r="X9" s="9" t="s">
        <v>10</v>
      </c>
      <c r="Y9" s="9" t="s">
        <v>11</v>
      </c>
      <c r="Z9" s="10" t="s">
        <v>11</v>
      </c>
      <c r="AB9" s="9" t="s">
        <v>98</v>
      </c>
      <c r="AC9" s="9" t="s">
        <v>99</v>
      </c>
      <c r="AD9" s="10" t="s">
        <v>14</v>
      </c>
      <c r="AF9" s="246" t="s">
        <v>15</v>
      </c>
      <c r="AK9" s="11"/>
      <c r="AO9" s="11"/>
      <c r="AQ9" s="11"/>
      <c r="AU9" s="11"/>
      <c r="AY9" s="11"/>
      <c r="BA9" s="11"/>
      <c r="BE9" s="11"/>
      <c r="BI9" s="11"/>
      <c r="BK9" s="11"/>
      <c r="BO9" s="11"/>
      <c r="BS9" s="11"/>
      <c r="BU9" s="11"/>
      <c r="BZ9" s="11"/>
      <c r="CD9" s="11"/>
      <c r="CF9" s="11"/>
    </row>
    <row r="10" spans="1:84" s="3" customFormat="1" ht="5.0999999999999996" customHeight="1">
      <c r="A10" s="2"/>
    </row>
    <row r="11" spans="1:84" ht="13.5" customHeight="1" thickBot="1">
      <c r="B11" s="12" t="s">
        <v>138</v>
      </c>
      <c r="C11" s="12"/>
      <c r="D11" s="253">
        <v>107504</v>
      </c>
      <c r="E11" s="137"/>
      <c r="F11" s="185">
        <v>108240</v>
      </c>
      <c r="G11" s="113"/>
      <c r="H11" s="285">
        <v>106871</v>
      </c>
      <c r="I11" s="286"/>
      <c r="J11" s="144"/>
      <c r="K11" s="155"/>
      <c r="L11" s="155">
        <v>99545</v>
      </c>
      <c r="M11" s="12"/>
      <c r="N11" s="253">
        <v>83409.09</v>
      </c>
      <c r="O11" s="137"/>
      <c r="P11" s="185">
        <v>85792</v>
      </c>
      <c r="Q11" s="113"/>
      <c r="R11" s="285">
        <v>92113.68</v>
      </c>
      <c r="S11" s="286"/>
      <c r="T11" s="144"/>
      <c r="U11" s="155"/>
      <c r="V11" s="155">
        <v>96482</v>
      </c>
      <c r="X11" s="253">
        <v>76949</v>
      </c>
      <c r="Y11" s="137"/>
      <c r="Z11" s="185">
        <v>77637</v>
      </c>
      <c r="AA11" s="113"/>
      <c r="AB11" s="285">
        <v>80243</v>
      </c>
      <c r="AC11" s="286"/>
      <c r="AD11" s="144"/>
      <c r="AE11" s="155"/>
      <c r="AF11" s="155">
        <v>80588.179999999993</v>
      </c>
      <c r="AI11" s="112"/>
      <c r="AJ11" s="112"/>
      <c r="AK11" s="112"/>
      <c r="AL11" s="136"/>
      <c r="AM11" s="112"/>
      <c r="AN11" s="136"/>
      <c r="AO11" s="136"/>
      <c r="AP11" s="154"/>
      <c r="AQ11" s="154"/>
      <c r="AS11" s="112"/>
      <c r="AT11" s="112"/>
      <c r="AU11" s="112"/>
      <c r="AV11" s="136"/>
      <c r="AW11" s="112"/>
      <c r="AX11" s="136"/>
      <c r="AY11" s="136"/>
      <c r="AZ11" s="154"/>
      <c r="BA11" s="154"/>
      <c r="BC11" s="112"/>
      <c r="BD11" s="112"/>
      <c r="BE11" s="112"/>
      <c r="BF11" s="136"/>
      <c r="BG11" s="112"/>
      <c r="BH11" s="136"/>
      <c r="BI11" s="136"/>
      <c r="BJ11" s="154"/>
      <c r="BK11" s="154"/>
      <c r="BM11" s="112"/>
      <c r="BN11" s="112"/>
      <c r="BO11" s="112"/>
      <c r="BP11" s="136"/>
      <c r="BQ11" s="112"/>
      <c r="BR11" s="136"/>
      <c r="BS11" s="136"/>
      <c r="BT11" s="154"/>
      <c r="BU11" s="210"/>
      <c r="BX11" s="112"/>
      <c r="BY11" s="112"/>
      <c r="BZ11" s="112"/>
      <c r="CA11" s="136"/>
      <c r="CB11" s="112"/>
      <c r="CC11" s="136"/>
      <c r="CD11" s="136"/>
      <c r="CE11" s="154"/>
      <c r="CF11" s="154"/>
    </row>
    <row r="12" spans="1:84" ht="13.5" customHeight="1">
      <c r="B12" t="s">
        <v>17</v>
      </c>
      <c r="D12" s="16">
        <v>53414</v>
      </c>
      <c r="E12" s="138"/>
      <c r="F12" s="186">
        <v>53527</v>
      </c>
      <c r="G12" s="20"/>
      <c r="H12" s="287">
        <v>53263</v>
      </c>
      <c r="I12" s="288"/>
      <c r="J12" s="145"/>
      <c r="K12" s="94"/>
      <c r="L12" s="94">
        <v>48877</v>
      </c>
      <c r="N12" s="16">
        <v>33052.69</v>
      </c>
      <c r="O12" s="138"/>
      <c r="P12" s="186">
        <v>35308</v>
      </c>
      <c r="Q12" s="20"/>
      <c r="R12" s="287">
        <v>43796.160000000003</v>
      </c>
      <c r="S12" s="288"/>
      <c r="T12" s="145"/>
      <c r="U12" s="94"/>
      <c r="V12" s="94">
        <v>43086</v>
      </c>
      <c r="X12" s="16">
        <v>25744</v>
      </c>
      <c r="Y12" s="138"/>
      <c r="Z12" s="186">
        <v>27203</v>
      </c>
      <c r="AA12" s="20"/>
      <c r="AB12" s="287">
        <v>30368</v>
      </c>
      <c r="AC12" s="288"/>
      <c r="AD12" s="145"/>
      <c r="AE12" s="94"/>
      <c r="AF12" s="94">
        <v>30396.04</v>
      </c>
      <c r="AI12" s="112"/>
      <c r="AJ12" s="112"/>
      <c r="AK12" s="112"/>
      <c r="AL12" s="136"/>
      <c r="AM12" s="112"/>
      <c r="AN12" s="136"/>
      <c r="AO12" s="136"/>
      <c r="AP12" s="154"/>
      <c r="AQ12" s="154"/>
      <c r="AS12" s="112"/>
      <c r="AT12" s="112"/>
      <c r="AU12" s="112"/>
      <c r="AV12" s="136"/>
      <c r="AW12" s="112"/>
      <c r="AX12" s="136"/>
      <c r="AY12" s="136"/>
      <c r="AZ12" s="154"/>
      <c r="BA12" s="154"/>
      <c r="BC12" s="112"/>
      <c r="BD12" s="112"/>
      <c r="BE12" s="112"/>
      <c r="BF12" s="136"/>
      <c r="BG12" s="112"/>
      <c r="BH12" s="136"/>
      <c r="BI12" s="136"/>
      <c r="BJ12" s="154"/>
      <c r="BK12" s="154"/>
      <c r="BM12" s="112"/>
      <c r="BN12" s="112"/>
      <c r="BO12" s="112"/>
      <c r="BP12" s="136"/>
      <c r="BQ12" s="112"/>
      <c r="BR12" s="136"/>
      <c r="BS12" s="136"/>
      <c r="BT12" s="154"/>
      <c r="BU12" s="210"/>
      <c r="BX12" s="112"/>
      <c r="BY12" s="112"/>
      <c r="BZ12" s="112"/>
      <c r="CA12" s="136"/>
      <c r="CB12" s="112"/>
      <c r="CC12" s="136"/>
      <c r="CD12" s="136"/>
      <c r="CE12" s="154"/>
      <c r="CF12" s="154"/>
    </row>
    <row r="13" spans="1:84" ht="13.5" customHeight="1">
      <c r="B13" t="s">
        <v>139</v>
      </c>
      <c r="D13" s="16">
        <v>54090</v>
      </c>
      <c r="E13" s="138"/>
      <c r="F13" s="186">
        <v>54713</v>
      </c>
      <c r="G13" s="20"/>
      <c r="H13" s="287">
        <v>53608</v>
      </c>
      <c r="I13" s="288"/>
      <c r="J13" s="145"/>
      <c r="K13" s="94"/>
      <c r="L13" s="94">
        <v>50668</v>
      </c>
      <c r="N13" s="16">
        <v>50356.4</v>
      </c>
      <c r="O13" s="138"/>
      <c r="P13" s="186">
        <v>50484</v>
      </c>
      <c r="Q13" s="20"/>
      <c r="R13" s="287">
        <v>48317.52</v>
      </c>
      <c r="S13" s="288"/>
      <c r="T13" s="145"/>
      <c r="U13" s="94"/>
      <c r="V13" s="94">
        <v>53396</v>
      </c>
      <c r="X13" s="16">
        <v>51205</v>
      </c>
      <c r="Y13" s="138"/>
      <c r="Z13" s="186">
        <v>50434</v>
      </c>
      <c r="AA13" s="20"/>
      <c r="AB13" s="287">
        <v>49875</v>
      </c>
      <c r="AC13" s="288"/>
      <c r="AD13" s="145"/>
      <c r="AE13" s="94"/>
      <c r="AF13" s="94">
        <v>50192.14</v>
      </c>
      <c r="AI13" s="112"/>
      <c r="AJ13" s="112"/>
      <c r="AK13" s="112"/>
      <c r="AL13" s="136"/>
      <c r="AM13" s="112"/>
      <c r="AN13" s="136"/>
      <c r="AO13" s="136"/>
      <c r="AP13" s="154"/>
      <c r="AQ13" s="154"/>
      <c r="AS13" s="112"/>
      <c r="AT13" s="112"/>
      <c r="AU13" s="112"/>
      <c r="AV13" s="136"/>
      <c r="AW13" s="112"/>
      <c r="AX13" s="136"/>
      <c r="AY13" s="136"/>
      <c r="AZ13" s="154"/>
      <c r="BA13" s="154"/>
      <c r="BC13" s="112"/>
      <c r="BD13" s="112"/>
      <c r="BE13" s="112"/>
      <c r="BF13" s="136"/>
      <c r="BG13" s="112"/>
      <c r="BH13" s="136"/>
      <c r="BI13" s="136"/>
      <c r="BJ13" s="154"/>
      <c r="BK13" s="154"/>
      <c r="BM13" s="112"/>
      <c r="BN13" s="112"/>
      <c r="BO13" s="112"/>
      <c r="BP13" s="136"/>
      <c r="BQ13" s="112"/>
      <c r="BR13" s="136"/>
      <c r="BS13" s="136"/>
      <c r="BT13" s="154"/>
      <c r="BU13" s="210"/>
      <c r="BX13" s="112"/>
      <c r="BY13" s="112"/>
      <c r="BZ13" s="112"/>
      <c r="CA13" s="136"/>
      <c r="CB13" s="112"/>
      <c r="CC13" s="136"/>
      <c r="CD13" s="136"/>
      <c r="CE13" s="154"/>
      <c r="CF13" s="154"/>
    </row>
    <row r="14" spans="1:84" ht="13.5" customHeight="1">
      <c r="B14" t="s">
        <v>19</v>
      </c>
      <c r="D14" s="16">
        <v>36704</v>
      </c>
      <c r="E14" s="138"/>
      <c r="F14" s="186">
        <v>37610</v>
      </c>
      <c r="G14" s="20"/>
      <c r="H14" s="287">
        <v>36927</v>
      </c>
      <c r="I14" s="288"/>
      <c r="J14" s="145"/>
      <c r="K14" s="94"/>
      <c r="L14" s="94">
        <v>34314</v>
      </c>
      <c r="N14" s="16">
        <v>35414.120000000003</v>
      </c>
      <c r="O14" s="138"/>
      <c r="P14" s="186">
        <v>35321.440000000002</v>
      </c>
      <c r="Q14" s="20"/>
      <c r="R14" s="287">
        <v>33517.199999999997</v>
      </c>
      <c r="S14" s="288"/>
      <c r="T14" s="145"/>
      <c r="U14" s="94"/>
      <c r="V14" s="94">
        <v>35431</v>
      </c>
      <c r="X14" s="16">
        <v>37079</v>
      </c>
      <c r="Y14" s="138"/>
      <c r="Z14" s="186">
        <v>36156</v>
      </c>
      <c r="AA14" s="20"/>
      <c r="AB14" s="287">
        <v>35464</v>
      </c>
      <c r="AC14" s="288"/>
      <c r="AD14" s="145"/>
      <c r="AE14" s="94"/>
      <c r="AF14" s="94">
        <v>35510.699999999997</v>
      </c>
      <c r="AI14" s="112"/>
      <c r="AJ14" s="112"/>
      <c r="AK14" s="112"/>
      <c r="AL14" s="136"/>
      <c r="AM14" s="112"/>
      <c r="AN14" s="136"/>
      <c r="AO14" s="136"/>
      <c r="AP14" s="154"/>
      <c r="AQ14" s="154"/>
      <c r="AS14" s="112"/>
      <c r="AT14" s="112"/>
      <c r="AU14" s="112"/>
      <c r="AV14" s="136"/>
      <c r="AW14" s="112"/>
      <c r="AX14" s="136"/>
      <c r="AY14" s="136"/>
      <c r="AZ14" s="154"/>
      <c r="BA14" s="154"/>
      <c r="BC14" s="112"/>
      <c r="BD14" s="112"/>
      <c r="BE14" s="112"/>
      <c r="BF14" s="136"/>
      <c r="BG14" s="112"/>
      <c r="BH14" s="136"/>
      <c r="BI14" s="136"/>
      <c r="BJ14" s="154"/>
      <c r="BK14" s="154"/>
      <c r="BM14" s="112"/>
      <c r="BN14" s="112"/>
      <c r="BO14" s="112"/>
      <c r="BP14" s="136"/>
      <c r="BQ14" s="112"/>
      <c r="BR14" s="136"/>
      <c r="BS14" s="136"/>
      <c r="BT14" s="154"/>
      <c r="BU14" s="210"/>
      <c r="BX14" s="112"/>
      <c r="BY14" s="112"/>
      <c r="BZ14" s="112"/>
      <c r="CA14" s="136"/>
      <c r="CB14" s="112"/>
      <c r="CC14" s="136"/>
      <c r="CD14" s="136"/>
      <c r="CE14" s="154"/>
      <c r="CF14" s="154"/>
    </row>
    <row r="15" spans="1:84" ht="13.5" customHeight="1">
      <c r="B15" t="s">
        <v>140</v>
      </c>
      <c r="D15" s="16">
        <v>2525</v>
      </c>
      <c r="E15" s="138"/>
      <c r="F15" s="186">
        <v>2590</v>
      </c>
      <c r="G15" s="20"/>
      <c r="H15" s="287">
        <v>2591</v>
      </c>
      <c r="I15" s="288"/>
      <c r="J15" s="145"/>
      <c r="K15" s="94"/>
      <c r="L15" s="94">
        <v>2565</v>
      </c>
      <c r="N15" s="16">
        <v>1816.34</v>
      </c>
      <c r="O15" s="138"/>
      <c r="P15" s="186">
        <v>1817.13</v>
      </c>
      <c r="Q15" s="20"/>
      <c r="R15" s="287">
        <v>1816.37</v>
      </c>
      <c r="S15" s="288"/>
      <c r="T15" s="145"/>
      <c r="U15" s="94"/>
      <c r="V15" s="94">
        <v>2512</v>
      </c>
      <c r="X15" s="16">
        <v>1855</v>
      </c>
      <c r="Y15" s="138"/>
      <c r="Z15" s="186">
        <v>1856</v>
      </c>
      <c r="AA15" s="20"/>
      <c r="AB15" s="287">
        <v>1859</v>
      </c>
      <c r="AC15" s="288"/>
      <c r="AD15" s="145"/>
      <c r="AE15" s="94"/>
      <c r="AF15" s="94">
        <v>1815.07</v>
      </c>
      <c r="AI15" s="112"/>
      <c r="AJ15" s="112"/>
      <c r="AK15" s="112"/>
      <c r="AL15" s="136"/>
      <c r="AM15" s="112"/>
      <c r="AN15" s="136"/>
      <c r="AO15" s="136"/>
      <c r="AP15" s="154"/>
      <c r="AQ15" s="154"/>
      <c r="AS15" s="112"/>
      <c r="AT15" s="112"/>
      <c r="AU15" s="112"/>
      <c r="AV15" s="136"/>
      <c r="AW15" s="112"/>
      <c r="AX15" s="136"/>
      <c r="AY15" s="136"/>
      <c r="AZ15" s="154"/>
      <c r="BA15" s="154"/>
      <c r="BC15" s="112"/>
      <c r="BD15" s="112"/>
      <c r="BE15" s="112"/>
      <c r="BF15" s="136"/>
      <c r="BG15" s="112"/>
      <c r="BH15" s="136"/>
      <c r="BI15" s="136"/>
      <c r="BJ15" s="154"/>
      <c r="BK15" s="154"/>
      <c r="BM15" s="112"/>
      <c r="BN15" s="112"/>
      <c r="BO15" s="112"/>
      <c r="BP15" s="136"/>
      <c r="BQ15" s="112"/>
      <c r="BR15" s="136"/>
      <c r="BS15" s="136"/>
      <c r="BT15" s="154"/>
      <c r="BU15" s="210"/>
      <c r="BX15" s="112"/>
      <c r="BY15" s="112"/>
      <c r="BZ15" s="112"/>
      <c r="CA15" s="136"/>
      <c r="CB15" s="112"/>
      <c r="CC15" s="136"/>
      <c r="CD15" s="136"/>
      <c r="CE15" s="154"/>
      <c r="CF15" s="154"/>
    </row>
    <row r="16" spans="1:84" ht="13.5" customHeight="1">
      <c r="B16" t="s">
        <v>141</v>
      </c>
      <c r="D16" s="16">
        <v>5209</v>
      </c>
      <c r="E16" s="138"/>
      <c r="F16" s="186">
        <v>5300</v>
      </c>
      <c r="G16" s="20"/>
      <c r="H16" s="287">
        <v>5253</v>
      </c>
      <c r="I16" s="288"/>
      <c r="J16" s="145"/>
      <c r="K16" s="94"/>
      <c r="L16" s="94">
        <v>5169</v>
      </c>
      <c r="N16" s="16">
        <v>3414.5</v>
      </c>
      <c r="O16" s="138"/>
      <c r="P16" s="186">
        <v>3373.75</v>
      </c>
      <c r="Q16" s="20"/>
      <c r="R16" s="287">
        <v>3410.2</v>
      </c>
      <c r="S16" s="288"/>
      <c r="T16" s="145"/>
      <c r="U16" s="94"/>
      <c r="V16" s="94">
        <v>5190</v>
      </c>
      <c r="X16" s="16">
        <v>3412</v>
      </c>
      <c r="Y16" s="138"/>
      <c r="Z16" s="186">
        <v>3407</v>
      </c>
      <c r="AA16" s="20"/>
      <c r="AB16" s="287">
        <v>3396</v>
      </c>
      <c r="AC16" s="288"/>
      <c r="AD16" s="145"/>
      <c r="AE16" s="94"/>
      <c r="AF16" s="94">
        <v>3423.91</v>
      </c>
      <c r="AI16" s="112"/>
      <c r="AJ16" s="112"/>
      <c r="AK16" s="112"/>
      <c r="AL16" s="136"/>
      <c r="AM16" s="112"/>
      <c r="AN16" s="136"/>
      <c r="AO16" s="136"/>
      <c r="AP16" s="154"/>
      <c r="AQ16" s="154"/>
      <c r="AS16" s="112"/>
      <c r="AT16" s="112"/>
      <c r="AU16" s="112"/>
      <c r="AV16" s="136"/>
      <c r="AW16" s="112"/>
      <c r="AX16" s="136"/>
      <c r="AY16" s="136"/>
      <c r="AZ16" s="154"/>
      <c r="BA16" s="154"/>
      <c r="BC16" s="112"/>
      <c r="BD16" s="112"/>
      <c r="BE16" s="112"/>
      <c r="BF16" s="136"/>
      <c r="BG16" s="112"/>
      <c r="BH16" s="136"/>
      <c r="BI16" s="136"/>
      <c r="BJ16" s="154"/>
      <c r="BK16" s="154"/>
      <c r="BM16" s="112"/>
      <c r="BN16" s="112"/>
      <c r="BO16" s="112"/>
      <c r="BP16" s="136"/>
      <c r="BQ16" s="112"/>
      <c r="BR16" s="136"/>
      <c r="BS16" s="136"/>
      <c r="BT16" s="154"/>
      <c r="BU16" s="210"/>
      <c r="BX16" s="112"/>
      <c r="BY16" s="112"/>
      <c r="BZ16" s="112"/>
      <c r="CA16" s="136"/>
      <c r="CB16" s="112"/>
      <c r="CC16" s="136"/>
      <c r="CD16" s="136"/>
      <c r="CE16" s="154"/>
      <c r="CF16" s="154"/>
    </row>
    <row r="17" spans="1:85" ht="13.5" customHeight="1">
      <c r="B17" t="s">
        <v>142</v>
      </c>
      <c r="D17" s="16">
        <f>+D13-D14-D15-D16</f>
        <v>9652</v>
      </c>
      <c r="E17" s="138"/>
      <c r="F17" s="186">
        <v>9213</v>
      </c>
      <c r="G17" s="20"/>
      <c r="H17" s="287">
        <v>8837</v>
      </c>
      <c r="I17" s="288"/>
      <c r="J17" s="145"/>
      <c r="K17" s="94"/>
      <c r="L17" s="94">
        <v>8620</v>
      </c>
      <c r="N17" s="16">
        <f>+N13-N14-N15-N16</f>
        <v>9711.4399999999987</v>
      </c>
      <c r="O17" s="138"/>
      <c r="P17" s="186">
        <f>P13-(P14+P15+P16)</f>
        <v>9971.68</v>
      </c>
      <c r="Q17" s="20"/>
      <c r="R17" s="287">
        <f>R13-(R14+R15+R16)</f>
        <v>9573.75</v>
      </c>
      <c r="S17" s="288"/>
      <c r="T17" s="145"/>
      <c r="U17" s="94"/>
      <c r="V17" s="94">
        <f>+V13-V14-V15-V16</f>
        <v>10263</v>
      </c>
      <c r="X17" s="16">
        <f>+X13-X14-X15-X16</f>
        <v>8859</v>
      </c>
      <c r="Y17" s="138"/>
      <c r="Z17" s="186">
        <f>+Z13-Z14-Z15-Z16</f>
        <v>9015</v>
      </c>
      <c r="AA17" s="20"/>
      <c r="AB17" s="287">
        <v>9156</v>
      </c>
      <c r="AC17" s="288"/>
      <c r="AD17" s="145"/>
      <c r="AE17" s="94"/>
      <c r="AF17" s="94">
        <f>AF13-AF14-AF15-AF16</f>
        <v>9442.4600000000028</v>
      </c>
      <c r="AI17" s="112"/>
      <c r="AJ17" s="112"/>
      <c r="AK17" s="112"/>
      <c r="AL17" s="136"/>
      <c r="AM17" s="112"/>
      <c r="AN17" s="136"/>
      <c r="AO17" s="136"/>
      <c r="AP17" s="154"/>
      <c r="AQ17" s="154"/>
      <c r="AS17" s="112"/>
      <c r="AT17" s="112"/>
      <c r="AU17" s="112"/>
      <c r="AV17" s="136"/>
      <c r="AW17" s="112"/>
      <c r="AX17" s="136"/>
      <c r="AY17" s="136"/>
      <c r="AZ17" s="154"/>
      <c r="BA17" s="154"/>
      <c r="BC17" s="112"/>
      <c r="BD17" s="112"/>
      <c r="BE17" s="112"/>
      <c r="BF17" s="136"/>
      <c r="BG17" s="112"/>
      <c r="BH17" s="136"/>
      <c r="BI17" s="136"/>
      <c r="BJ17" s="154"/>
      <c r="BK17" s="154"/>
      <c r="BM17" s="112"/>
      <c r="BN17" s="112"/>
      <c r="BO17" s="112"/>
      <c r="BP17" s="136"/>
      <c r="BQ17" s="112"/>
      <c r="BR17" s="136"/>
      <c r="BS17" s="136"/>
      <c r="BT17" s="154"/>
      <c r="BU17" s="210"/>
      <c r="BX17" s="112"/>
      <c r="BY17" s="112"/>
      <c r="BZ17" s="112"/>
      <c r="CA17" s="136"/>
      <c r="CB17" s="112"/>
      <c r="CC17" s="136"/>
      <c r="CD17" s="136"/>
      <c r="CE17" s="154"/>
      <c r="CF17" s="154"/>
    </row>
    <row r="18" spans="1:85" ht="13.5" customHeight="1" thickBot="1">
      <c r="B18" s="12" t="s">
        <v>22</v>
      </c>
      <c r="C18" s="12"/>
      <c r="D18" s="13">
        <v>73023</v>
      </c>
      <c r="E18" s="137"/>
      <c r="F18" s="185">
        <v>73520</v>
      </c>
      <c r="G18" s="113"/>
      <c r="H18" s="285">
        <v>74621</v>
      </c>
      <c r="I18" s="286"/>
      <c r="J18" s="144"/>
      <c r="K18" s="155"/>
      <c r="L18" s="155">
        <v>66669</v>
      </c>
      <c r="M18" s="12"/>
      <c r="N18" s="13">
        <v>55071.98</v>
      </c>
      <c r="O18" s="137"/>
      <c r="P18" s="185">
        <v>56081</v>
      </c>
      <c r="Q18" s="113"/>
      <c r="R18" s="285">
        <v>62650.66</v>
      </c>
      <c r="S18" s="286"/>
      <c r="T18" s="144"/>
      <c r="U18" s="155"/>
      <c r="V18" s="155">
        <v>64141.4</v>
      </c>
      <c r="X18" s="13">
        <v>50640</v>
      </c>
      <c r="Y18" s="137"/>
      <c r="Z18" s="185">
        <v>50883</v>
      </c>
      <c r="AA18" s="113"/>
      <c r="AB18" s="285">
        <v>53715</v>
      </c>
      <c r="AC18" s="286"/>
      <c r="AD18" s="144"/>
      <c r="AE18" s="155"/>
      <c r="AF18" s="155">
        <v>53062.5</v>
      </c>
      <c r="AI18" s="112"/>
      <c r="AJ18" s="112"/>
      <c r="AK18" s="112"/>
      <c r="AL18" s="136"/>
      <c r="AM18" s="112"/>
      <c r="AN18" s="136"/>
      <c r="AO18" s="136"/>
      <c r="AP18" s="154"/>
      <c r="AQ18" s="154"/>
      <c r="AS18" s="112"/>
      <c r="AT18" s="112"/>
      <c r="AU18" s="112"/>
      <c r="AV18" s="136"/>
      <c r="AW18" s="112"/>
      <c r="AX18" s="136"/>
      <c r="AY18" s="136"/>
      <c r="AZ18" s="154"/>
      <c r="BA18" s="154"/>
      <c r="BC18" s="112"/>
      <c r="BD18" s="112"/>
      <c r="BE18" s="112"/>
      <c r="BF18" s="136"/>
      <c r="BG18" s="112"/>
      <c r="BH18" s="136"/>
      <c r="BI18" s="136"/>
      <c r="BJ18" s="154"/>
      <c r="BK18" s="154"/>
      <c r="BM18" s="112"/>
      <c r="BN18" s="112"/>
      <c r="BO18" s="112"/>
      <c r="BP18" s="136"/>
      <c r="BQ18" s="112"/>
      <c r="BR18" s="136"/>
      <c r="BS18" s="136"/>
      <c r="BT18" s="154"/>
      <c r="BU18" s="210"/>
      <c r="BX18" s="112"/>
      <c r="BY18" s="112"/>
      <c r="BZ18" s="112"/>
      <c r="CA18" s="136"/>
      <c r="CB18" s="112"/>
      <c r="CC18" s="136"/>
      <c r="CD18" s="136"/>
      <c r="CE18" s="154"/>
      <c r="CF18" s="154"/>
    </row>
    <row r="19" spans="1:85" ht="13.5" customHeight="1">
      <c r="B19" t="s">
        <v>143</v>
      </c>
      <c r="D19" s="16">
        <v>32221</v>
      </c>
      <c r="E19" s="138"/>
      <c r="F19" s="186">
        <v>33518</v>
      </c>
      <c r="G19" s="20"/>
      <c r="H19" s="287">
        <v>36123</v>
      </c>
      <c r="I19" s="288"/>
      <c r="J19" s="145"/>
      <c r="K19" s="94"/>
      <c r="L19" s="94">
        <v>31094</v>
      </c>
      <c r="N19" s="16">
        <v>23616.86</v>
      </c>
      <c r="O19" s="138"/>
      <c r="P19" s="186">
        <v>22813</v>
      </c>
      <c r="Q19" s="20"/>
      <c r="R19" s="287">
        <v>26624.68</v>
      </c>
      <c r="S19" s="288"/>
      <c r="T19" s="145"/>
      <c r="U19" s="94"/>
      <c r="V19" s="94">
        <v>27355</v>
      </c>
      <c r="X19" s="16">
        <v>23186</v>
      </c>
      <c r="Y19" s="138"/>
      <c r="Z19" s="186">
        <v>21973</v>
      </c>
      <c r="AA19" s="20"/>
      <c r="AB19" s="287">
        <v>21821</v>
      </c>
      <c r="AC19" s="288"/>
      <c r="AD19" s="145"/>
      <c r="AE19" s="94"/>
      <c r="AF19" s="94">
        <v>20369</v>
      </c>
      <c r="AI19" s="112"/>
      <c r="AJ19" s="112"/>
      <c r="AK19" s="112"/>
      <c r="AL19" s="136"/>
      <c r="AM19" s="112"/>
      <c r="AN19" s="136"/>
      <c r="AO19" s="136"/>
      <c r="AP19" s="154"/>
      <c r="AQ19" s="154"/>
      <c r="AS19" s="112"/>
      <c r="AT19" s="112"/>
      <c r="AU19" s="112"/>
      <c r="AV19" s="136"/>
      <c r="AW19" s="112"/>
      <c r="AX19" s="136"/>
      <c r="AY19" s="136"/>
      <c r="AZ19" s="154"/>
      <c r="BA19" s="154"/>
      <c r="BC19" s="112"/>
      <c r="BD19" s="112"/>
      <c r="BE19" s="112"/>
      <c r="BF19" s="136"/>
      <c r="BG19" s="112"/>
      <c r="BH19" s="136"/>
      <c r="BI19" s="136"/>
      <c r="BJ19" s="154"/>
      <c r="BK19" s="154"/>
      <c r="BM19" s="112"/>
      <c r="BN19" s="112"/>
      <c r="BO19" s="112"/>
      <c r="BP19" s="136"/>
      <c r="BQ19" s="112"/>
      <c r="BR19" s="136"/>
      <c r="BS19" s="136"/>
      <c r="BT19" s="154"/>
      <c r="BU19" s="210"/>
      <c r="BX19" s="112"/>
      <c r="BY19" s="112"/>
      <c r="BZ19" s="112"/>
      <c r="CA19" s="136"/>
      <c r="CB19" s="112"/>
      <c r="CC19" s="136"/>
      <c r="CD19" s="136"/>
      <c r="CE19" s="154"/>
      <c r="CF19" s="154"/>
    </row>
    <row r="20" spans="1:85" ht="13.5" customHeight="1">
      <c r="B20" t="s">
        <v>144</v>
      </c>
      <c r="D20" s="16">
        <f>+D18-D19</f>
        <v>40802</v>
      </c>
      <c r="E20" s="138"/>
      <c r="F20" s="186">
        <v>40002</v>
      </c>
      <c r="G20" s="20"/>
      <c r="H20" s="287">
        <v>38498</v>
      </c>
      <c r="I20" s="288"/>
      <c r="J20" s="145"/>
      <c r="K20" s="94"/>
      <c r="L20" s="94">
        <v>35575</v>
      </c>
      <c r="N20" s="16">
        <f>+N18-N19</f>
        <v>31455.120000000003</v>
      </c>
      <c r="O20" s="138"/>
      <c r="P20" s="186">
        <f>P18-P19</f>
        <v>33268</v>
      </c>
      <c r="Q20" s="20"/>
      <c r="R20" s="287">
        <f>R18-R19</f>
        <v>36025.980000000003</v>
      </c>
      <c r="S20" s="288"/>
      <c r="T20" s="145"/>
      <c r="U20" s="94"/>
      <c r="V20" s="94">
        <f>+V18-V19</f>
        <v>36786.400000000001</v>
      </c>
      <c r="X20" s="16">
        <f>+X18-X19</f>
        <v>27454</v>
      </c>
      <c r="Y20" s="138"/>
      <c r="Z20" s="186">
        <f>+Z18-Z19</f>
        <v>28910</v>
      </c>
      <c r="AA20" s="20"/>
      <c r="AB20" s="287">
        <v>31894</v>
      </c>
      <c r="AC20" s="288"/>
      <c r="AD20" s="145"/>
      <c r="AE20" s="94"/>
      <c r="AF20" s="94">
        <v>32694</v>
      </c>
      <c r="AI20" s="112"/>
      <c r="AJ20" s="112"/>
      <c r="AK20" s="112"/>
      <c r="AL20" s="136"/>
      <c r="AM20" s="112"/>
      <c r="AN20" s="136"/>
      <c r="AO20" s="136"/>
      <c r="AP20" s="154"/>
      <c r="AQ20" s="154"/>
      <c r="AS20" s="112"/>
      <c r="AT20" s="112"/>
      <c r="AU20" s="112"/>
      <c r="AV20" s="136"/>
      <c r="AW20" s="112"/>
      <c r="AX20" s="136"/>
      <c r="AY20" s="136"/>
      <c r="AZ20" s="154"/>
      <c r="BA20" s="154"/>
      <c r="BC20" s="112"/>
      <c r="BD20" s="112"/>
      <c r="BE20" s="112"/>
      <c r="BF20" s="136"/>
      <c r="BG20" s="112"/>
      <c r="BH20" s="136"/>
      <c r="BI20" s="136"/>
      <c r="BJ20" s="154"/>
      <c r="BK20" s="154"/>
      <c r="BM20" s="112"/>
      <c r="BN20" s="112"/>
      <c r="BO20" s="112"/>
      <c r="BP20" s="136"/>
      <c r="BQ20" s="112"/>
      <c r="BR20" s="136"/>
      <c r="BS20" s="136"/>
      <c r="BT20" s="154"/>
      <c r="BU20" s="210"/>
      <c r="BX20" s="112"/>
      <c r="BY20" s="112"/>
      <c r="BZ20" s="112"/>
      <c r="CA20" s="136"/>
      <c r="CB20" s="112"/>
      <c r="CC20" s="136"/>
      <c r="CD20" s="136"/>
      <c r="CE20" s="154"/>
      <c r="CF20" s="154"/>
    </row>
    <row r="21" spans="1:85" ht="13.5" customHeight="1" thickBot="1">
      <c r="B21" s="12" t="s">
        <v>145</v>
      </c>
      <c r="C21" s="12"/>
      <c r="D21" s="13">
        <v>34481</v>
      </c>
      <c r="E21" s="137"/>
      <c r="F21" s="185">
        <v>34720</v>
      </c>
      <c r="G21" s="113"/>
      <c r="H21" s="285">
        <v>32250</v>
      </c>
      <c r="I21" s="286"/>
      <c r="J21" s="144"/>
      <c r="K21" s="155"/>
      <c r="L21" s="155">
        <v>32876</v>
      </c>
      <c r="M21" s="12"/>
      <c r="N21" s="13">
        <v>28337.11</v>
      </c>
      <c r="O21" s="137"/>
      <c r="P21" s="185">
        <v>29711</v>
      </c>
      <c r="Q21" s="113"/>
      <c r="R21" s="285">
        <v>29463.02</v>
      </c>
      <c r="S21" s="286"/>
      <c r="T21" s="144"/>
      <c r="U21" s="155"/>
      <c r="V21" s="155">
        <v>32340.79</v>
      </c>
      <c r="X21" s="13">
        <v>26309</v>
      </c>
      <c r="Y21" s="137"/>
      <c r="Z21" s="185">
        <v>26754</v>
      </c>
      <c r="AA21" s="113"/>
      <c r="AB21" s="285">
        <v>26528</v>
      </c>
      <c r="AC21" s="286"/>
      <c r="AD21" s="144"/>
      <c r="AE21" s="155"/>
      <c r="AF21" s="155">
        <v>27525</v>
      </c>
      <c r="AI21" s="112"/>
      <c r="AJ21" s="112"/>
      <c r="AK21" s="112"/>
      <c r="AL21" s="136"/>
      <c r="AM21" s="112"/>
      <c r="AN21" s="136"/>
      <c r="AO21" s="136"/>
      <c r="AP21" s="154"/>
      <c r="AQ21" s="154"/>
      <c r="AS21" s="112"/>
      <c r="AT21" s="112"/>
      <c r="AU21" s="112"/>
      <c r="AV21" s="136"/>
      <c r="AW21" s="112"/>
      <c r="AX21" s="136"/>
      <c r="AY21" s="136"/>
      <c r="AZ21" s="154"/>
      <c r="BA21" s="154"/>
      <c r="BC21" s="112"/>
      <c r="BD21" s="112"/>
      <c r="BE21" s="112"/>
      <c r="BF21" s="136"/>
      <c r="BG21" s="112"/>
      <c r="BH21" s="136"/>
      <c r="BI21" s="136"/>
      <c r="BJ21" s="154"/>
      <c r="BK21" s="154"/>
      <c r="BM21" s="112"/>
      <c r="BN21" s="112"/>
      <c r="BO21" s="112"/>
      <c r="BP21" s="136"/>
      <c r="BQ21" s="112"/>
      <c r="BR21" s="136"/>
      <c r="BS21" s="136"/>
      <c r="BT21" s="154"/>
      <c r="BU21" s="210"/>
      <c r="BX21" s="112"/>
      <c r="BY21" s="112"/>
      <c r="BZ21" s="112"/>
      <c r="CA21" s="136"/>
      <c r="CB21" s="112"/>
      <c r="CC21" s="136"/>
      <c r="CD21" s="136"/>
      <c r="CE21" s="154"/>
      <c r="CF21" s="154"/>
    </row>
    <row r="22" spans="1:85" ht="13.5" customHeight="1">
      <c r="B22" t="s">
        <v>146</v>
      </c>
      <c r="D22" s="16">
        <v>30576</v>
      </c>
      <c r="E22" s="138"/>
      <c r="F22" s="186">
        <v>30664</v>
      </c>
      <c r="G22" s="20"/>
      <c r="H22" s="287">
        <v>28079</v>
      </c>
      <c r="I22" s="288"/>
      <c r="J22" s="145"/>
      <c r="K22" s="94"/>
      <c r="L22" s="94">
        <v>28598</v>
      </c>
      <c r="N22" s="16">
        <v>23996.31</v>
      </c>
      <c r="O22" s="138"/>
      <c r="P22" s="186">
        <v>25308</v>
      </c>
      <c r="Q22" s="20"/>
      <c r="R22" s="287">
        <v>26183.98</v>
      </c>
      <c r="S22" s="288"/>
      <c r="T22" s="145"/>
      <c r="U22" s="94"/>
      <c r="V22" s="94">
        <v>28607.97</v>
      </c>
      <c r="X22" s="16">
        <v>22359</v>
      </c>
      <c r="Y22" s="138"/>
      <c r="Z22" s="186">
        <v>22786</v>
      </c>
      <c r="AA22" s="20"/>
      <c r="AB22" s="287">
        <v>22811</v>
      </c>
      <c r="AC22" s="288"/>
      <c r="AD22" s="145"/>
      <c r="AE22" s="94"/>
      <c r="AF22" s="94">
        <v>23250</v>
      </c>
      <c r="AI22" s="112"/>
      <c r="AJ22" s="112"/>
      <c r="AK22" s="112"/>
      <c r="AL22" s="136"/>
      <c r="AM22" s="112"/>
      <c r="AN22" s="136"/>
      <c r="AO22" s="136"/>
      <c r="AP22" s="154"/>
      <c r="AQ22" s="154"/>
      <c r="AS22" s="112"/>
      <c r="AT22" s="112"/>
      <c r="AU22" s="112"/>
      <c r="AV22" s="136"/>
      <c r="AW22" s="112"/>
      <c r="AX22" s="136"/>
      <c r="AY22" s="136"/>
      <c r="AZ22" s="154"/>
      <c r="BA22" s="154"/>
      <c r="BC22" s="112"/>
      <c r="BD22" s="112"/>
      <c r="BE22" s="112"/>
      <c r="BF22" s="136"/>
      <c r="BG22" s="112"/>
      <c r="BH22" s="136"/>
      <c r="BI22" s="136"/>
      <c r="BJ22" s="154"/>
      <c r="BK22" s="154"/>
      <c r="BM22" s="112"/>
      <c r="BN22" s="112"/>
      <c r="BO22" s="112"/>
      <c r="BP22" s="136"/>
      <c r="BQ22" s="112"/>
      <c r="BR22" s="136"/>
      <c r="BS22" s="136"/>
      <c r="BT22" s="154"/>
      <c r="BU22" s="210"/>
      <c r="BX22" s="112"/>
      <c r="BY22" s="112"/>
      <c r="BZ22" s="112"/>
      <c r="CA22" s="136"/>
      <c r="CB22" s="112"/>
      <c r="CC22" s="136"/>
      <c r="CD22" s="136"/>
      <c r="CE22" s="154"/>
      <c r="CF22" s="154"/>
    </row>
    <row r="23" spans="1:85" ht="13.5" customHeight="1">
      <c r="B23" t="s">
        <v>147</v>
      </c>
      <c r="D23" s="16">
        <v>3905</v>
      </c>
      <c r="E23" s="138"/>
      <c r="F23" s="186">
        <v>4056</v>
      </c>
      <c r="G23" s="20"/>
      <c r="H23" s="287">
        <v>4171</v>
      </c>
      <c r="I23" s="288"/>
      <c r="J23" s="145"/>
      <c r="K23" s="94"/>
      <c r="L23" s="94">
        <v>4278</v>
      </c>
      <c r="N23" s="16">
        <v>4340.8</v>
      </c>
      <c r="O23" s="138"/>
      <c r="P23" s="186">
        <v>4403.26</v>
      </c>
      <c r="Q23" s="20"/>
      <c r="R23" s="287">
        <v>3279.04</v>
      </c>
      <c r="S23" s="288"/>
      <c r="T23" s="145"/>
      <c r="U23" s="94"/>
      <c r="V23" s="94">
        <f>V21-V22</f>
        <v>3732.8199999999997</v>
      </c>
      <c r="X23" s="16">
        <v>3950</v>
      </c>
      <c r="Y23" s="138"/>
      <c r="Z23" s="186">
        <v>3968</v>
      </c>
      <c r="AA23" s="20"/>
      <c r="AB23" s="287">
        <v>3717</v>
      </c>
      <c r="AC23" s="288"/>
      <c r="AD23" s="145"/>
      <c r="AE23" s="94"/>
      <c r="AF23" s="94">
        <v>4275</v>
      </c>
      <c r="AI23" s="112"/>
      <c r="AJ23" s="112"/>
      <c r="AK23" s="112"/>
      <c r="AL23" s="136"/>
      <c r="AM23" s="112"/>
      <c r="AN23" s="136"/>
      <c r="AO23" s="136"/>
      <c r="AP23" s="211"/>
      <c r="AQ23" s="112"/>
      <c r="AS23" s="112"/>
      <c r="AT23" s="112"/>
      <c r="AU23" s="112"/>
      <c r="AV23" s="136"/>
      <c r="AW23" s="112"/>
      <c r="AX23" s="136"/>
      <c r="AY23" s="136"/>
      <c r="AZ23" s="211"/>
      <c r="BA23" s="112"/>
      <c r="BC23" s="112"/>
      <c r="BD23" s="112"/>
      <c r="BE23" s="112"/>
      <c r="BF23" s="136"/>
      <c r="BG23" s="112"/>
      <c r="BH23" s="136"/>
      <c r="BI23" s="136"/>
      <c r="BJ23" s="211"/>
      <c r="BK23" s="112"/>
      <c r="BM23" s="112"/>
      <c r="BN23" s="112"/>
      <c r="BO23" s="112"/>
      <c r="BP23" s="136"/>
      <c r="BQ23" s="112"/>
      <c r="BR23" s="136"/>
      <c r="BS23" s="136"/>
      <c r="BT23" s="211"/>
      <c r="BU23" s="112"/>
      <c r="BX23" s="112"/>
      <c r="BY23" s="112"/>
      <c r="BZ23" s="112"/>
      <c r="CA23" s="136"/>
      <c r="CB23" s="112"/>
      <c r="CC23" s="136"/>
      <c r="CD23" s="136"/>
      <c r="CE23" s="211"/>
      <c r="CF23" s="112"/>
    </row>
    <row r="24" spans="1:85" s="207" customFormat="1" ht="13.5" customHeight="1">
      <c r="D24" s="16"/>
      <c r="E24" s="16"/>
      <c r="F24" s="16"/>
      <c r="G24" s="20"/>
      <c r="H24" s="16"/>
      <c r="I24" s="20"/>
      <c r="J24" s="20"/>
      <c r="K24" s="94"/>
      <c r="L24" s="154"/>
      <c r="N24" s="16"/>
      <c r="O24" s="16"/>
      <c r="P24" s="16"/>
      <c r="Q24" s="20"/>
      <c r="R24" s="16"/>
      <c r="S24" s="20"/>
      <c r="T24" s="20"/>
      <c r="U24" s="94"/>
      <c r="V24" s="154"/>
      <c r="W24"/>
      <c r="X24" s="16"/>
      <c r="Y24" s="16"/>
      <c r="Z24" s="16"/>
      <c r="AA24" s="20"/>
      <c r="AB24" s="16"/>
      <c r="AC24" s="20"/>
      <c r="AD24" s="20"/>
      <c r="AE24" s="94"/>
      <c r="AF24" s="154"/>
      <c r="AG24"/>
      <c r="AH24"/>
      <c r="AI24" s="112"/>
      <c r="AJ24" s="112"/>
      <c r="AK24" s="112"/>
      <c r="AL24" s="136"/>
      <c r="AM24" s="112"/>
      <c r="AN24" s="136"/>
      <c r="AO24" s="136"/>
      <c r="AP24" s="154"/>
      <c r="AQ24" s="154"/>
      <c r="AR24"/>
      <c r="AS24" s="112"/>
      <c r="AT24" s="112"/>
      <c r="AU24" s="112"/>
      <c r="AV24" s="136"/>
      <c r="AW24" s="112"/>
      <c r="AX24" s="136"/>
      <c r="AY24" s="136"/>
      <c r="AZ24" s="154"/>
      <c r="BA24" s="154"/>
      <c r="BB24"/>
      <c r="BC24" s="112"/>
      <c r="BD24" s="112"/>
      <c r="BE24" s="112"/>
      <c r="BF24" s="136"/>
      <c r="BG24" s="112"/>
      <c r="BH24" s="136"/>
      <c r="BI24" s="136"/>
      <c r="BJ24" s="154"/>
      <c r="BK24" s="154"/>
      <c r="BL24"/>
      <c r="BM24" s="112"/>
      <c r="BN24" s="112"/>
      <c r="BO24" s="112"/>
      <c r="BP24" s="136"/>
      <c r="BQ24" s="112"/>
      <c r="BR24" s="136"/>
      <c r="BS24" s="136"/>
      <c r="BT24" s="154"/>
      <c r="BU24" s="210"/>
      <c r="BV24"/>
      <c r="BW24"/>
      <c r="BX24" s="112"/>
      <c r="BY24" s="112"/>
      <c r="BZ24" s="112"/>
      <c r="CA24" s="136"/>
      <c r="CB24" s="112"/>
      <c r="CC24" s="136"/>
      <c r="CD24" s="136"/>
      <c r="CE24" s="154"/>
      <c r="CF24" s="154"/>
      <c r="CG24"/>
    </row>
    <row r="25" spans="1:85">
      <c r="D25" s="20"/>
      <c r="E25" s="20"/>
      <c r="F25" s="20"/>
      <c r="G25" s="20"/>
      <c r="H25" s="20"/>
      <c r="I25" s="20"/>
      <c r="J25" s="20"/>
      <c r="K25" s="184"/>
      <c r="L25" s="184"/>
      <c r="N25" s="20"/>
      <c r="O25" s="20"/>
      <c r="P25" s="20"/>
      <c r="Q25" s="20"/>
      <c r="R25" s="20"/>
      <c r="S25" s="20"/>
      <c r="T25" s="20"/>
      <c r="U25" s="184"/>
      <c r="V25" s="184"/>
      <c r="X25" s="20"/>
      <c r="Y25" s="20"/>
      <c r="Z25" s="20"/>
      <c r="AA25" s="20"/>
      <c r="AB25" s="20"/>
      <c r="AC25" s="20"/>
      <c r="AD25" s="20"/>
      <c r="AE25" s="184"/>
      <c r="AF25" s="184"/>
      <c r="AI25" s="136"/>
      <c r="AJ25" s="136"/>
      <c r="AK25" s="136"/>
      <c r="AL25" s="136"/>
      <c r="AM25" s="136"/>
      <c r="AN25" s="136"/>
      <c r="AO25" s="136"/>
      <c r="AP25" s="211"/>
      <c r="AQ25" s="211"/>
      <c r="AS25" s="136"/>
      <c r="AT25" s="136"/>
      <c r="AU25" s="136"/>
      <c r="AV25" s="136"/>
      <c r="AW25" s="136"/>
      <c r="AX25" s="136"/>
      <c r="AY25" s="136"/>
      <c r="AZ25" s="211"/>
      <c r="BA25" s="211"/>
      <c r="BC25" s="136"/>
      <c r="BD25" s="136"/>
      <c r="BE25" s="136"/>
      <c r="BF25" s="136"/>
      <c r="BG25" s="136"/>
      <c r="BH25" s="136"/>
      <c r="BI25" s="136"/>
      <c r="BJ25" s="211"/>
      <c r="BK25" s="211"/>
      <c r="BM25" s="136"/>
      <c r="BN25" s="136"/>
      <c r="BO25" s="136"/>
      <c r="BP25" s="136"/>
      <c r="BQ25" s="136"/>
      <c r="BR25" s="136"/>
      <c r="BS25" s="136"/>
      <c r="BT25" s="211"/>
      <c r="BU25" s="211"/>
      <c r="BX25" s="136"/>
      <c r="BY25" s="136"/>
      <c r="BZ25" s="136"/>
      <c r="CA25" s="136"/>
      <c r="CB25" s="136"/>
      <c r="CC25" s="136"/>
      <c r="CD25" s="136"/>
      <c r="CE25" s="211"/>
      <c r="CF25" s="211"/>
    </row>
    <row r="26" spans="1:85" s="3" customFormat="1" ht="16.2">
      <c r="A26" s="250" t="s">
        <v>27</v>
      </c>
    </row>
    <row r="27" spans="1:85">
      <c r="B27" t="s">
        <v>1</v>
      </c>
      <c r="D27" s="244" t="str">
        <f>D5</f>
        <v>2022年度　（2022年4月-2023年3月）</v>
      </c>
      <c r="E27" s="244"/>
      <c r="F27" s="244"/>
      <c r="G27" s="244"/>
      <c r="H27" s="244"/>
      <c r="I27" s="244"/>
      <c r="J27" s="244"/>
      <c r="K27" s="244"/>
      <c r="L27" s="244"/>
      <c r="N27" s="244" t="str">
        <f>N5</f>
        <v>2021年度　（2021年4月-2022年3月）</v>
      </c>
      <c r="O27" s="244"/>
      <c r="P27" s="244"/>
      <c r="Q27" s="244"/>
      <c r="R27" s="244"/>
      <c r="S27" s="244"/>
      <c r="T27" s="244"/>
      <c r="U27" s="244"/>
      <c r="V27" s="244"/>
      <c r="X27" s="244" t="str">
        <f>X5</f>
        <v>2020年度　（2020年4月-2021年3月）</v>
      </c>
      <c r="Y27" s="244"/>
      <c r="Z27" s="244"/>
      <c r="AA27" s="244"/>
      <c r="AB27" s="244"/>
      <c r="AC27" s="244"/>
      <c r="AD27" s="244"/>
      <c r="AE27" s="244"/>
      <c r="AF27" s="244"/>
      <c r="AI27" s="5"/>
      <c r="AJ27" s="5"/>
      <c r="AK27" s="5"/>
      <c r="AL27" s="5"/>
      <c r="AM27" s="5"/>
      <c r="AN27" s="5"/>
      <c r="AO27" s="5"/>
      <c r="AP27" s="5"/>
      <c r="AQ27" s="5"/>
      <c r="AS27" s="5"/>
      <c r="AT27" s="5"/>
      <c r="AU27" s="5"/>
      <c r="AV27" s="5"/>
      <c r="AW27" s="5"/>
      <c r="AX27" s="5"/>
      <c r="AY27" s="5"/>
      <c r="AZ27" s="5"/>
      <c r="BA27" s="5"/>
      <c r="BC27" s="5"/>
      <c r="BD27" s="5"/>
      <c r="BE27" s="5"/>
      <c r="BF27" s="5"/>
      <c r="BG27" s="5"/>
      <c r="BH27" s="5"/>
      <c r="BI27" s="5"/>
      <c r="BJ27" s="5"/>
      <c r="BK27" s="5"/>
      <c r="BM27" s="5"/>
      <c r="BN27" s="5"/>
      <c r="BO27" s="5"/>
      <c r="BP27" s="5"/>
      <c r="BQ27" s="5"/>
      <c r="BR27" s="5"/>
      <c r="BS27" s="5"/>
      <c r="BT27" s="5"/>
      <c r="BU27" s="5"/>
      <c r="BX27" s="5"/>
      <c r="BY27" s="5"/>
      <c r="BZ27" s="5"/>
      <c r="CA27" s="5"/>
      <c r="CB27" s="5"/>
      <c r="CC27" s="5"/>
      <c r="CD27" s="5"/>
      <c r="CE27" s="5"/>
      <c r="CF27" s="5"/>
    </row>
    <row r="28" spans="1:85" ht="3.75" customHeight="1">
      <c r="D28" s="5"/>
      <c r="E28" s="5"/>
      <c r="F28" s="5"/>
      <c r="G28" s="5"/>
      <c r="H28" s="5"/>
      <c r="I28" s="5"/>
      <c r="J28" s="5"/>
      <c r="K28" s="5"/>
      <c r="L28" s="244"/>
      <c r="N28" s="5"/>
      <c r="O28" s="5"/>
      <c r="P28" s="5"/>
      <c r="Q28" s="5"/>
      <c r="R28" s="5"/>
      <c r="S28" s="5"/>
      <c r="T28" s="5"/>
      <c r="U28" s="5"/>
      <c r="V28" s="244"/>
      <c r="X28" s="5"/>
      <c r="Y28" s="5"/>
      <c r="Z28" s="5"/>
      <c r="AA28" s="5"/>
      <c r="AB28" s="5"/>
      <c r="AC28" s="5"/>
      <c r="AD28" s="5"/>
      <c r="AE28" s="5"/>
      <c r="AF28" s="244"/>
      <c r="AI28" s="5"/>
      <c r="AJ28" s="5"/>
      <c r="AK28" s="5"/>
      <c r="AL28" s="5"/>
      <c r="AM28" s="5"/>
      <c r="AN28" s="5"/>
      <c r="AO28" s="5"/>
      <c r="AP28" s="5"/>
      <c r="AQ28" s="5"/>
      <c r="AS28" s="5"/>
      <c r="AT28" s="5"/>
      <c r="AU28" s="5"/>
      <c r="AV28" s="5"/>
      <c r="AW28" s="5"/>
      <c r="AX28" s="5"/>
      <c r="AY28" s="5"/>
      <c r="AZ28" s="5"/>
      <c r="BA28" s="5"/>
      <c r="BC28" s="5"/>
      <c r="BD28" s="5"/>
      <c r="BE28" s="5"/>
      <c r="BF28" s="5"/>
      <c r="BG28" s="5"/>
      <c r="BH28" s="5"/>
      <c r="BI28" s="5"/>
      <c r="BJ28" s="5"/>
      <c r="BK28" s="5"/>
      <c r="BM28" s="5"/>
      <c r="BN28" s="5"/>
      <c r="BO28" s="5"/>
      <c r="BP28" s="5"/>
      <c r="BQ28" s="5"/>
      <c r="BR28" s="5"/>
      <c r="BS28" s="5"/>
      <c r="BT28" s="5"/>
      <c r="BU28" s="5"/>
      <c r="BX28" s="5"/>
      <c r="BY28" s="5"/>
      <c r="BZ28" s="5"/>
      <c r="CA28" s="5"/>
      <c r="CB28" s="5"/>
      <c r="CC28" s="5"/>
      <c r="CD28" s="5"/>
      <c r="CE28" s="5"/>
      <c r="CF28" s="5"/>
    </row>
    <row r="29" spans="1:85">
      <c r="D29" s="6"/>
      <c r="E29" s="6"/>
      <c r="F29" s="7" t="s">
        <v>28</v>
      </c>
      <c r="H29" s="7"/>
      <c r="I29" s="7"/>
      <c r="J29" s="7" t="s">
        <v>29</v>
      </c>
      <c r="L29" s="245" t="s">
        <v>30</v>
      </c>
      <c r="N29" s="6"/>
      <c r="O29" s="6"/>
      <c r="P29" s="7" t="s">
        <v>28</v>
      </c>
      <c r="R29" s="7"/>
      <c r="S29" s="7"/>
      <c r="T29" s="7" t="s">
        <v>29</v>
      </c>
      <c r="V29" s="245" t="s">
        <v>30</v>
      </c>
      <c r="X29" s="6"/>
      <c r="Y29" s="6"/>
      <c r="Z29" s="7" t="s">
        <v>28</v>
      </c>
      <c r="AB29" s="7"/>
      <c r="AC29" s="7"/>
      <c r="AD29" s="7" t="s">
        <v>29</v>
      </c>
      <c r="AF29" s="245" t="s">
        <v>30</v>
      </c>
      <c r="AK29" s="8"/>
      <c r="AM29" s="8"/>
      <c r="AN29" s="8"/>
      <c r="AO29" s="8"/>
      <c r="AQ29" s="8"/>
      <c r="AU29" s="8"/>
      <c r="AW29" s="8"/>
      <c r="AX29" s="8"/>
      <c r="AY29" s="8"/>
      <c r="BA29" s="8"/>
      <c r="BE29" s="8"/>
      <c r="BG29" s="8"/>
      <c r="BH29" s="8"/>
      <c r="BI29" s="8"/>
      <c r="BK29" s="8"/>
      <c r="BO29" s="8"/>
      <c r="BQ29" s="8"/>
      <c r="BR29" s="8"/>
      <c r="BS29" s="8"/>
      <c r="BU29" s="8"/>
      <c r="BZ29" s="8"/>
      <c r="CB29" s="8"/>
      <c r="CC29" s="8"/>
      <c r="CD29" s="8"/>
      <c r="CF29" s="8"/>
    </row>
    <row r="30" spans="1:85" s="9" customFormat="1" ht="10.8">
      <c r="D30" s="9" t="s">
        <v>31</v>
      </c>
      <c r="E30" s="9" t="s">
        <v>32</v>
      </c>
      <c r="F30" s="10" t="s">
        <v>33</v>
      </c>
      <c r="H30" s="9" t="s">
        <v>7</v>
      </c>
      <c r="I30" s="9" t="s">
        <v>8</v>
      </c>
      <c r="J30" s="10"/>
      <c r="L30" s="246"/>
      <c r="N30" s="9" t="s">
        <v>31</v>
      </c>
      <c r="O30" s="9" t="s">
        <v>32</v>
      </c>
      <c r="P30" s="10" t="s">
        <v>33</v>
      </c>
      <c r="R30" s="9" t="s">
        <v>7</v>
      </c>
      <c r="S30" s="9" t="s">
        <v>8</v>
      </c>
      <c r="T30" s="10"/>
      <c r="V30" s="246"/>
      <c r="X30" s="9" t="s">
        <v>31</v>
      </c>
      <c r="Y30" s="9" t="s">
        <v>32</v>
      </c>
      <c r="Z30" s="10" t="s">
        <v>33</v>
      </c>
      <c r="AB30" s="9" t="s">
        <v>7</v>
      </c>
      <c r="AC30" s="9" t="s">
        <v>8</v>
      </c>
      <c r="AD30" s="10"/>
      <c r="AF30" s="246"/>
      <c r="AK30" s="11"/>
      <c r="AO30" s="11"/>
      <c r="AQ30" s="11"/>
      <c r="AU30" s="11"/>
      <c r="AY30" s="11"/>
      <c r="BA30" s="11"/>
      <c r="BE30" s="11"/>
      <c r="BI30" s="11"/>
      <c r="BK30" s="11"/>
      <c r="BO30" s="11"/>
      <c r="BS30" s="11"/>
      <c r="BU30" s="11"/>
      <c r="BZ30" s="11"/>
      <c r="CD30" s="11"/>
      <c r="CF30" s="11"/>
    </row>
    <row r="31" spans="1:85" s="9" customFormat="1" ht="10.8">
      <c r="D31" s="9" t="s">
        <v>34</v>
      </c>
      <c r="E31" s="9" t="s">
        <v>35</v>
      </c>
      <c r="F31" s="10" t="s">
        <v>36</v>
      </c>
      <c r="H31" s="9" t="s">
        <v>12</v>
      </c>
      <c r="I31" s="9" t="s">
        <v>13</v>
      </c>
      <c r="J31" s="10" t="s">
        <v>37</v>
      </c>
      <c r="L31" s="246" t="s">
        <v>38</v>
      </c>
      <c r="N31" s="9" t="s">
        <v>34</v>
      </c>
      <c r="O31" s="9" t="s">
        <v>35</v>
      </c>
      <c r="P31" s="10" t="s">
        <v>36</v>
      </c>
      <c r="R31" s="9" t="s">
        <v>12</v>
      </c>
      <c r="S31" s="9" t="s">
        <v>13</v>
      </c>
      <c r="T31" s="10" t="s">
        <v>37</v>
      </c>
      <c r="V31" s="246" t="s">
        <v>38</v>
      </c>
      <c r="X31" s="9" t="s">
        <v>34</v>
      </c>
      <c r="Y31" s="9" t="s">
        <v>35</v>
      </c>
      <c r="Z31" s="10" t="s">
        <v>36</v>
      </c>
      <c r="AB31" s="9" t="s">
        <v>12</v>
      </c>
      <c r="AC31" s="9" t="s">
        <v>13</v>
      </c>
      <c r="AD31" s="10" t="s">
        <v>37</v>
      </c>
      <c r="AF31" s="246" t="s">
        <v>38</v>
      </c>
      <c r="AK31" s="11"/>
      <c r="AO31" s="11"/>
      <c r="AQ31" s="11"/>
      <c r="AU31" s="11"/>
      <c r="AY31" s="11"/>
      <c r="BA31" s="11"/>
      <c r="BE31" s="11"/>
      <c r="BI31" s="11"/>
      <c r="BK31" s="11"/>
      <c r="BO31" s="11"/>
      <c r="BS31" s="11"/>
      <c r="BU31" s="11"/>
      <c r="BZ31" s="11"/>
      <c r="CD31" s="11"/>
      <c r="CF31" s="11"/>
    </row>
    <row r="32" spans="1:85" s="3" customFormat="1" ht="6.75" customHeight="1">
      <c r="A32" s="2"/>
    </row>
    <row r="33" spans="1:84" ht="13.5" customHeight="1" thickBot="1">
      <c r="B33" s="12" t="s">
        <v>39</v>
      </c>
      <c r="C33" s="12"/>
      <c r="D33" s="13">
        <v>35551</v>
      </c>
      <c r="E33" s="185">
        <f>F33-D33</f>
        <v>38389</v>
      </c>
      <c r="F33" s="290">
        <v>73940</v>
      </c>
      <c r="G33" s="113"/>
      <c r="H33" s="276">
        <f>113351-F33</f>
        <v>39411</v>
      </c>
      <c r="I33" s="155">
        <f>J33-H33</f>
        <v>36815</v>
      </c>
      <c r="J33" s="155">
        <f>L33-F33</f>
        <v>76226</v>
      </c>
      <c r="K33" s="155"/>
      <c r="L33" s="13">
        <v>150166</v>
      </c>
      <c r="M33" s="12"/>
      <c r="N33" s="13">
        <v>22240.73</v>
      </c>
      <c r="O33" s="185">
        <f>P33-N33</f>
        <v>25073.350000000002</v>
      </c>
      <c r="P33" s="290">
        <v>47314.080000000002</v>
      </c>
      <c r="Q33" s="113"/>
      <c r="R33" s="276">
        <f>76313.2-P33</f>
        <v>28999.119999999995</v>
      </c>
      <c r="S33" s="155">
        <f>T33-R33</f>
        <v>32904.39</v>
      </c>
      <c r="T33" s="155">
        <f>V33-P33</f>
        <v>61903.509999999995</v>
      </c>
      <c r="U33" s="155"/>
      <c r="V33" s="13">
        <v>109217.59</v>
      </c>
      <c r="X33" s="13">
        <v>15462</v>
      </c>
      <c r="Y33" s="185">
        <f>Z33-X33</f>
        <v>18161</v>
      </c>
      <c r="Z33" s="185">
        <v>33623</v>
      </c>
      <c r="AA33" s="113"/>
      <c r="AB33" s="276">
        <f>53672-Z33</f>
        <v>20049</v>
      </c>
      <c r="AC33" s="155">
        <f>AD33-AB33</f>
        <v>22908.11</v>
      </c>
      <c r="AD33" s="155">
        <f>AF33-Z33</f>
        <v>42957.11</v>
      </c>
      <c r="AE33" s="155"/>
      <c r="AF33" s="13">
        <v>76580.11</v>
      </c>
      <c r="AI33" s="112"/>
      <c r="AJ33" s="112"/>
      <c r="AK33" s="112"/>
      <c r="AM33" s="58"/>
      <c r="AN33" s="25"/>
      <c r="AO33" s="25"/>
      <c r="AP33" s="25"/>
      <c r="AQ33" s="25"/>
      <c r="AS33" s="112"/>
      <c r="AT33" s="112"/>
      <c r="AU33" s="112"/>
      <c r="AW33" s="58"/>
      <c r="AX33" s="74"/>
      <c r="AY33" s="74"/>
      <c r="AZ33" s="74"/>
      <c r="BA33" s="74"/>
      <c r="BC33" s="112"/>
      <c r="BD33" s="112"/>
      <c r="BE33" s="112"/>
      <c r="BG33" s="58"/>
      <c r="BH33" s="74"/>
      <c r="BI33" s="74"/>
      <c r="BJ33" s="74"/>
      <c r="BK33" s="74"/>
      <c r="BM33" s="112"/>
      <c r="BN33" s="112"/>
      <c r="BO33" s="112"/>
      <c r="BQ33" s="58"/>
      <c r="BR33" s="97"/>
      <c r="BS33" s="97"/>
      <c r="BT33" s="97"/>
      <c r="BU33" s="97"/>
      <c r="BX33" s="112"/>
      <c r="BY33" s="112"/>
      <c r="BZ33" s="112"/>
      <c r="CB33" s="58"/>
      <c r="CC33" s="97"/>
      <c r="CD33" s="97"/>
      <c r="CE33" s="97"/>
      <c r="CF33" s="97"/>
    </row>
    <row r="34" spans="1:84" ht="13.5" customHeight="1">
      <c r="B34" t="s">
        <v>40</v>
      </c>
      <c r="D34" s="16">
        <v>30337</v>
      </c>
      <c r="E34" s="186">
        <f t="shared" ref="E34:E46" si="0">F34-D34</f>
        <v>35362</v>
      </c>
      <c r="F34" s="291">
        <v>65699</v>
      </c>
      <c r="G34" s="20"/>
      <c r="H34" s="275">
        <f>104412-F34</f>
        <v>38713</v>
      </c>
      <c r="I34" s="94">
        <f t="shared" ref="I34:I46" si="1">J34-H34</f>
        <v>33615</v>
      </c>
      <c r="J34" s="94">
        <f t="shared" ref="J34:J46" si="2">L34-F34</f>
        <v>72328</v>
      </c>
      <c r="K34" s="94"/>
      <c r="L34" s="16">
        <v>138027</v>
      </c>
      <c r="N34" s="16">
        <v>18866.57</v>
      </c>
      <c r="O34" s="186">
        <f t="shared" ref="O34:O46" si="3">P34-N34</f>
        <v>21474.699999999997</v>
      </c>
      <c r="P34" s="291">
        <v>40341.269999999997</v>
      </c>
      <c r="Q34" s="20"/>
      <c r="R34" s="275">
        <f>65368.51-P34</f>
        <v>25027.240000000005</v>
      </c>
      <c r="S34" s="94">
        <f t="shared" ref="S34:S46" si="4">T34-R34</f>
        <v>28025.519999999997</v>
      </c>
      <c r="T34" s="94">
        <f t="shared" ref="T34:T46" si="5">V34-P34</f>
        <v>53052.76</v>
      </c>
      <c r="U34" s="94"/>
      <c r="V34" s="16">
        <v>93394.03</v>
      </c>
      <c r="X34" s="16">
        <v>-13552</v>
      </c>
      <c r="Y34" s="186">
        <f t="shared" ref="Y34:Y46" si="6">Z34-X34</f>
        <v>-15389</v>
      </c>
      <c r="Z34" s="186">
        <v>-28941</v>
      </c>
      <c r="AA34" s="20"/>
      <c r="AB34" s="275">
        <f>-46019-Z34</f>
        <v>-17078</v>
      </c>
      <c r="AC34" s="94">
        <f t="shared" ref="AC34:AC46" si="7">AD34-AB34</f>
        <v>111761.61</v>
      </c>
      <c r="AD34" s="94">
        <f t="shared" ref="AD34:AD46" si="8">AF34-Z34</f>
        <v>94683.61</v>
      </c>
      <c r="AE34" s="94"/>
      <c r="AF34" s="16">
        <v>65742.61</v>
      </c>
      <c r="AI34" s="112"/>
      <c r="AJ34" s="112"/>
      <c r="AK34" s="112"/>
      <c r="AM34" s="25"/>
      <c r="AN34" s="25"/>
      <c r="AO34" s="25"/>
      <c r="AP34" s="25"/>
      <c r="AQ34" s="25"/>
      <c r="AS34" s="112"/>
      <c r="AT34" s="112"/>
      <c r="AU34" s="112"/>
      <c r="AW34" s="74"/>
      <c r="AX34" s="74"/>
      <c r="AY34" s="74"/>
      <c r="AZ34" s="74"/>
      <c r="BA34" s="74"/>
      <c r="BC34" s="112"/>
      <c r="BD34" s="112"/>
      <c r="BE34" s="112"/>
      <c r="BG34" s="74"/>
      <c r="BH34" s="74"/>
      <c r="BI34" s="74"/>
      <c r="BJ34" s="74"/>
      <c r="BK34" s="74"/>
      <c r="BM34" s="112"/>
      <c r="BN34" s="112"/>
      <c r="BO34" s="112"/>
      <c r="BQ34" s="97"/>
      <c r="BR34" s="97"/>
      <c r="BS34" s="97"/>
      <c r="BT34" s="97"/>
      <c r="BU34" s="97"/>
      <c r="BX34" s="112"/>
      <c r="BY34" s="112"/>
      <c r="BZ34" s="112"/>
      <c r="CB34" s="97"/>
      <c r="CC34" s="97"/>
      <c r="CD34" s="97"/>
      <c r="CE34" s="97"/>
      <c r="CF34" s="97"/>
    </row>
    <row r="35" spans="1:84" ht="13.5" customHeight="1">
      <c r="B35" t="s">
        <v>41</v>
      </c>
      <c r="D35" s="16">
        <v>5214</v>
      </c>
      <c r="E35" s="186">
        <f t="shared" si="0"/>
        <v>3027</v>
      </c>
      <c r="F35" s="291">
        <v>8241</v>
      </c>
      <c r="G35" s="20"/>
      <c r="H35" s="186">
        <f>8939-F35</f>
        <v>698</v>
      </c>
      <c r="I35" s="94">
        <f t="shared" si="1"/>
        <v>3199</v>
      </c>
      <c r="J35" s="94">
        <f t="shared" si="2"/>
        <v>3897</v>
      </c>
      <c r="K35" s="94"/>
      <c r="L35" s="16">
        <v>12138</v>
      </c>
      <c r="N35" s="16">
        <v>3374.16</v>
      </c>
      <c r="O35" s="186">
        <f t="shared" si="3"/>
        <v>3598.6500000000005</v>
      </c>
      <c r="P35" s="291">
        <v>6972.81</v>
      </c>
      <c r="Q35" s="20"/>
      <c r="R35" s="186">
        <f>R33-R34</f>
        <v>3971.8799999999901</v>
      </c>
      <c r="S35" s="94">
        <f t="shared" si="4"/>
        <v>4878.8700000000099</v>
      </c>
      <c r="T35" s="94">
        <f t="shared" si="5"/>
        <v>8850.75</v>
      </c>
      <c r="U35" s="94"/>
      <c r="V35" s="16">
        <v>15823.56</v>
      </c>
      <c r="X35" s="16">
        <v>1910</v>
      </c>
      <c r="Y35" s="186">
        <f t="shared" si="6"/>
        <v>2772</v>
      </c>
      <c r="Z35" s="186">
        <v>4682</v>
      </c>
      <c r="AA35" s="20"/>
      <c r="AB35" s="186">
        <f>+AB33+AB34</f>
        <v>2971</v>
      </c>
      <c r="AC35" s="94">
        <f t="shared" si="7"/>
        <v>3184.5</v>
      </c>
      <c r="AD35" s="94">
        <f t="shared" si="8"/>
        <v>6155.5</v>
      </c>
      <c r="AE35" s="94"/>
      <c r="AF35" s="16">
        <v>10837.5</v>
      </c>
      <c r="AI35" s="112"/>
      <c r="AJ35" s="112"/>
      <c r="AK35" s="112"/>
      <c r="AM35" s="112"/>
      <c r="AN35" s="25"/>
      <c r="AO35" s="25"/>
      <c r="AP35" s="25"/>
      <c r="AQ35" s="25"/>
      <c r="AS35" s="112"/>
      <c r="AT35" s="112"/>
      <c r="AU35" s="112"/>
      <c r="AW35" s="74"/>
      <c r="AX35" s="74"/>
      <c r="AY35" s="74"/>
      <c r="AZ35" s="74"/>
      <c r="BA35" s="74"/>
      <c r="BC35" s="112"/>
      <c r="BD35" s="112"/>
      <c r="BE35" s="112"/>
      <c r="BG35" s="74"/>
      <c r="BH35" s="74"/>
      <c r="BI35" s="74"/>
      <c r="BJ35" s="74"/>
      <c r="BK35" s="74"/>
      <c r="BM35" s="112"/>
      <c r="BN35" s="112"/>
      <c r="BO35" s="112"/>
      <c r="BQ35" s="97"/>
      <c r="BR35" s="97"/>
      <c r="BS35" s="97"/>
      <c r="BT35" s="97"/>
      <c r="BU35" s="97"/>
      <c r="BX35" s="112"/>
      <c r="BY35" s="112"/>
      <c r="BZ35" s="112"/>
      <c r="CB35" s="97"/>
      <c r="CC35" s="97"/>
      <c r="CD35" s="97"/>
      <c r="CE35" s="97"/>
      <c r="CF35" s="97"/>
    </row>
    <row r="36" spans="1:84" ht="13.5" customHeight="1">
      <c r="B36" t="s">
        <v>42</v>
      </c>
      <c r="D36" s="16">
        <v>2375</v>
      </c>
      <c r="E36" s="186">
        <f t="shared" si="0"/>
        <v>2330</v>
      </c>
      <c r="F36" s="291">
        <v>4705</v>
      </c>
      <c r="G36" s="20"/>
      <c r="H36" s="275">
        <f>7037-F36</f>
        <v>2332</v>
      </c>
      <c r="I36" s="94">
        <f t="shared" si="1"/>
        <v>2528</v>
      </c>
      <c r="J36" s="94">
        <f t="shared" si="2"/>
        <v>4860</v>
      </c>
      <c r="K36" s="94"/>
      <c r="L36" s="16">
        <v>9565</v>
      </c>
      <c r="N36" s="16">
        <v>1992.33</v>
      </c>
      <c r="O36" s="186">
        <f t="shared" si="3"/>
        <v>2065.41</v>
      </c>
      <c r="P36" s="291">
        <v>4057.74</v>
      </c>
      <c r="Q36" s="20"/>
      <c r="R36" s="275">
        <f>6228.4-P36</f>
        <v>2170.66</v>
      </c>
      <c r="S36" s="94">
        <f t="shared" si="4"/>
        <v>2487.1800000000003</v>
      </c>
      <c r="T36" s="94">
        <f t="shared" si="5"/>
        <v>4657.84</v>
      </c>
      <c r="U36" s="94"/>
      <c r="V36" s="16">
        <v>8715.58</v>
      </c>
      <c r="X36" s="16">
        <v>-1869</v>
      </c>
      <c r="Y36" s="186">
        <f t="shared" si="6"/>
        <v>-1929</v>
      </c>
      <c r="Z36" s="186">
        <v>-3798</v>
      </c>
      <c r="AA36" s="20"/>
      <c r="AB36" s="275">
        <f>-5806-Z36</f>
        <v>-2008</v>
      </c>
      <c r="AC36" s="94">
        <f t="shared" si="7"/>
        <v>13833.76</v>
      </c>
      <c r="AD36" s="94">
        <f t="shared" si="8"/>
        <v>11825.76</v>
      </c>
      <c r="AE36" s="94"/>
      <c r="AF36" s="16">
        <v>8027.76</v>
      </c>
      <c r="AI36" s="112"/>
      <c r="AJ36" s="112"/>
      <c r="AK36" s="112"/>
      <c r="AM36" s="25"/>
      <c r="AN36" s="25"/>
      <c r="AO36" s="25"/>
      <c r="AP36" s="25"/>
      <c r="AQ36" s="25"/>
      <c r="AS36" s="112"/>
      <c r="AT36" s="112"/>
      <c r="AU36" s="112"/>
      <c r="AW36" s="74"/>
      <c r="AX36" s="74"/>
      <c r="AY36" s="74"/>
      <c r="AZ36" s="74"/>
      <c r="BA36" s="74"/>
      <c r="BC36" s="112"/>
      <c r="BD36" s="112"/>
      <c r="BE36" s="112"/>
      <c r="BG36" s="74"/>
      <c r="BH36" s="74"/>
      <c r="BI36" s="74"/>
      <c r="BJ36" s="74"/>
      <c r="BK36" s="74"/>
      <c r="BM36" s="112"/>
      <c r="BN36" s="112"/>
      <c r="BO36" s="112"/>
      <c r="BQ36" s="97"/>
      <c r="BR36" s="97"/>
      <c r="BS36" s="97"/>
      <c r="BT36" s="97"/>
      <c r="BU36" s="97"/>
      <c r="BX36" s="112"/>
      <c r="BY36" s="112"/>
      <c r="BZ36" s="112"/>
      <c r="CB36" s="97"/>
      <c r="CC36" s="97"/>
      <c r="CD36" s="97"/>
      <c r="CE36" s="97"/>
      <c r="CF36" s="97"/>
    </row>
    <row r="37" spans="1:84" ht="13.5" customHeight="1">
      <c r="B37" t="s">
        <v>157</v>
      </c>
      <c r="D37" s="16">
        <v>334</v>
      </c>
      <c r="E37" s="186">
        <f t="shared" si="0"/>
        <v>123</v>
      </c>
      <c r="F37" s="291">
        <v>457</v>
      </c>
      <c r="G37" s="20"/>
      <c r="H37" s="275">
        <v>114</v>
      </c>
      <c r="I37" s="94">
        <f t="shared" si="1"/>
        <v>177</v>
      </c>
      <c r="J37" s="94">
        <f t="shared" si="2"/>
        <v>291</v>
      </c>
      <c r="K37" s="94"/>
      <c r="L37" s="16">
        <v>748</v>
      </c>
      <c r="N37" s="16">
        <v>193.25</v>
      </c>
      <c r="O37" s="186">
        <f t="shared" si="3"/>
        <v>183.37</v>
      </c>
      <c r="P37" s="291">
        <v>376.62</v>
      </c>
      <c r="Q37" s="20"/>
      <c r="R37" s="275">
        <f>628.4-P37</f>
        <v>251.77999999999997</v>
      </c>
      <c r="S37" s="94">
        <f t="shared" si="4"/>
        <v>239.71000000000004</v>
      </c>
      <c r="T37" s="94">
        <f t="shared" si="5"/>
        <v>491.49</v>
      </c>
      <c r="U37" s="94"/>
      <c r="V37" s="16">
        <v>868.11</v>
      </c>
      <c r="X37" s="16">
        <v>138</v>
      </c>
      <c r="Y37" s="186">
        <f t="shared" si="6"/>
        <v>105</v>
      </c>
      <c r="Z37" s="186">
        <v>243</v>
      </c>
      <c r="AA37" s="20"/>
      <c r="AB37" s="275">
        <f>377-Z37-1</f>
        <v>133</v>
      </c>
      <c r="AC37" s="94">
        <f t="shared" si="7"/>
        <v>217.87</v>
      </c>
      <c r="AD37" s="94">
        <f t="shared" si="8"/>
        <v>350.87</v>
      </c>
      <c r="AE37" s="94"/>
      <c r="AF37" s="16">
        <v>593.87</v>
      </c>
      <c r="AI37" s="112"/>
      <c r="AJ37" s="112"/>
      <c r="AK37" s="112"/>
      <c r="AM37" s="25"/>
      <c r="AN37" s="25"/>
      <c r="AO37" s="25"/>
      <c r="AP37" s="25"/>
      <c r="AQ37" s="25"/>
      <c r="AS37" s="112"/>
      <c r="AT37" s="112"/>
      <c r="AU37" s="112"/>
      <c r="AW37" s="74"/>
      <c r="AX37" s="74"/>
      <c r="AY37" s="74"/>
      <c r="AZ37" s="74"/>
      <c r="BA37" s="74"/>
      <c r="BC37" s="112"/>
      <c r="BD37" s="112"/>
      <c r="BE37" s="112"/>
      <c r="BG37" s="74"/>
      <c r="BH37" s="74"/>
      <c r="BI37" s="74"/>
      <c r="BJ37" s="74"/>
      <c r="BK37" s="74"/>
      <c r="BM37" s="112"/>
      <c r="BN37" s="112"/>
      <c r="BO37" s="112"/>
      <c r="BQ37" s="97"/>
      <c r="BR37" s="97"/>
      <c r="BS37" s="97"/>
      <c r="BT37" s="97"/>
      <c r="BU37" s="97"/>
      <c r="BX37" s="112"/>
      <c r="BY37" s="112"/>
      <c r="BZ37" s="112"/>
      <c r="CB37" s="97"/>
      <c r="CC37" s="97"/>
      <c r="CD37" s="97"/>
      <c r="CE37" s="97"/>
      <c r="CF37" s="97"/>
    </row>
    <row r="38" spans="1:84" ht="13.5" customHeight="1">
      <c r="B38" t="s">
        <v>169</v>
      </c>
      <c r="D38" s="16">
        <v>301</v>
      </c>
      <c r="E38" s="186">
        <f t="shared" si="0"/>
        <v>159</v>
      </c>
      <c r="F38" s="291">
        <v>460</v>
      </c>
      <c r="G38" s="20"/>
      <c r="H38" s="275">
        <v>146</v>
      </c>
      <c r="I38" s="94">
        <f t="shared" si="1"/>
        <v>957</v>
      </c>
      <c r="J38" s="94">
        <f t="shared" si="2"/>
        <v>1103</v>
      </c>
      <c r="K38" s="94"/>
      <c r="L38" s="16">
        <v>1563</v>
      </c>
      <c r="N38" s="16">
        <v>152.47999999999999</v>
      </c>
      <c r="O38" s="186">
        <f t="shared" si="3"/>
        <v>107.21000000000001</v>
      </c>
      <c r="P38" s="291">
        <v>259.69</v>
      </c>
      <c r="Q38" s="20"/>
      <c r="R38" s="275">
        <f>383.6-P38</f>
        <v>123.91000000000003</v>
      </c>
      <c r="S38" s="94">
        <f t="shared" si="4"/>
        <v>777.4699999999998</v>
      </c>
      <c r="T38" s="94">
        <f t="shared" si="5"/>
        <v>901.37999999999988</v>
      </c>
      <c r="U38" s="94"/>
      <c r="V38" s="16">
        <v>1161.07</v>
      </c>
      <c r="X38" s="16">
        <v>123</v>
      </c>
      <c r="Y38" s="186">
        <f t="shared" si="6"/>
        <v>99</v>
      </c>
      <c r="Z38" s="186">
        <v>222</v>
      </c>
      <c r="AA38" s="20"/>
      <c r="AB38" s="275">
        <f>355-Z38-1</f>
        <v>132</v>
      </c>
      <c r="AC38" s="94">
        <f t="shared" si="7"/>
        <v>870.43000000000006</v>
      </c>
      <c r="AD38" s="94">
        <f t="shared" si="8"/>
        <v>1002.4300000000001</v>
      </c>
      <c r="AE38" s="94"/>
      <c r="AF38" s="16">
        <v>1224.43</v>
      </c>
      <c r="AI38" s="112"/>
      <c r="AJ38" s="112"/>
      <c r="AK38" s="112"/>
      <c r="AM38" s="25"/>
      <c r="AN38" s="25"/>
      <c r="AO38" s="25"/>
      <c r="AP38" s="25"/>
      <c r="AQ38" s="25"/>
      <c r="AS38" s="112"/>
      <c r="AT38" s="112"/>
      <c r="AU38" s="112"/>
      <c r="AW38" s="74"/>
      <c r="AX38" s="74"/>
      <c r="AY38" s="74"/>
      <c r="AZ38" s="74"/>
      <c r="BA38" s="74"/>
      <c r="BC38" s="112"/>
      <c r="BD38" s="112"/>
      <c r="BE38" s="112"/>
      <c r="BG38" s="74"/>
      <c r="BH38" s="74"/>
      <c r="BI38" s="74"/>
      <c r="BJ38" s="74"/>
      <c r="BK38" s="74"/>
      <c r="BM38" s="112"/>
      <c r="BN38" s="112"/>
      <c r="BO38" s="112"/>
      <c r="BQ38" s="97"/>
      <c r="BR38" s="97"/>
      <c r="BS38" s="97"/>
      <c r="BT38" s="97"/>
      <c r="BU38" s="97"/>
      <c r="BX38" s="112"/>
      <c r="BY38" s="112"/>
      <c r="BZ38" s="112"/>
      <c r="CB38" s="97"/>
      <c r="CC38" s="97"/>
      <c r="CD38" s="97"/>
      <c r="CE38" s="97"/>
      <c r="CF38" s="97"/>
    </row>
    <row r="39" spans="1:84" ht="13.5" customHeight="1">
      <c r="B39" t="s">
        <v>170</v>
      </c>
      <c r="D39" s="16">
        <v>221</v>
      </c>
      <c r="E39" s="186">
        <f t="shared" si="0"/>
        <v>284</v>
      </c>
      <c r="F39" s="291">
        <v>505</v>
      </c>
      <c r="G39" s="20"/>
      <c r="H39" s="299">
        <f>581-F39</f>
        <v>76</v>
      </c>
      <c r="I39" s="94">
        <f t="shared" si="1"/>
        <v>1490</v>
      </c>
      <c r="J39" s="94">
        <f t="shared" si="2"/>
        <v>1566</v>
      </c>
      <c r="K39" s="94"/>
      <c r="L39" s="16">
        <v>2071</v>
      </c>
      <c r="N39" s="16">
        <v>107.76</v>
      </c>
      <c r="O39" s="186">
        <f t="shared" si="3"/>
        <v>65.350000000000009</v>
      </c>
      <c r="P39" s="291">
        <v>173.11</v>
      </c>
      <c r="Q39" s="20"/>
      <c r="R39" s="275">
        <f>426.9-P39</f>
        <v>253.78999999999996</v>
      </c>
      <c r="S39" s="94">
        <f t="shared" si="4"/>
        <v>851.21</v>
      </c>
      <c r="T39" s="94">
        <f t="shared" si="5"/>
        <v>1105</v>
      </c>
      <c r="U39" s="94"/>
      <c r="V39" s="16">
        <v>1278.1099999999999</v>
      </c>
      <c r="X39" s="16">
        <v>-92</v>
      </c>
      <c r="Y39" s="186">
        <f t="shared" si="6"/>
        <v>-369</v>
      </c>
      <c r="Z39" s="186">
        <v>-461</v>
      </c>
      <c r="AA39" s="20"/>
      <c r="AB39" s="275">
        <f>-1240-Z39</f>
        <v>-779</v>
      </c>
      <c r="AC39" s="94">
        <f t="shared" si="7"/>
        <v>3326.29</v>
      </c>
      <c r="AD39" s="94">
        <f t="shared" si="8"/>
        <v>2547.29</v>
      </c>
      <c r="AE39" s="94"/>
      <c r="AF39" s="16">
        <v>2086.29</v>
      </c>
      <c r="AI39" s="112"/>
      <c r="AJ39" s="112"/>
      <c r="AK39" s="112"/>
      <c r="AM39" s="25"/>
      <c r="AN39" s="25"/>
      <c r="AO39" s="25"/>
      <c r="AP39" s="25"/>
      <c r="AQ39" s="25"/>
      <c r="AS39" s="112"/>
      <c r="AT39" s="112"/>
      <c r="AU39" s="112"/>
      <c r="AW39" s="74"/>
      <c r="AX39" s="74"/>
      <c r="AY39" s="74"/>
      <c r="AZ39" s="74"/>
      <c r="BA39" s="74"/>
      <c r="BC39" s="112"/>
      <c r="BD39" s="112"/>
      <c r="BE39" s="112"/>
      <c r="BG39" s="74"/>
      <c r="BH39" s="74"/>
      <c r="BI39" s="74"/>
      <c r="BJ39" s="74"/>
      <c r="BK39" s="74"/>
      <c r="BM39" s="112"/>
      <c r="BN39" s="112"/>
      <c r="BO39" s="112"/>
      <c r="BQ39" s="97"/>
      <c r="BR39" s="97"/>
      <c r="BS39" s="97"/>
      <c r="BT39" s="97"/>
      <c r="BU39" s="97"/>
      <c r="BX39" s="112"/>
      <c r="BY39" s="112"/>
      <c r="BZ39" s="112"/>
      <c r="CB39" s="97"/>
      <c r="CC39" s="97"/>
      <c r="CD39" s="97"/>
      <c r="CE39" s="97"/>
      <c r="CF39" s="97"/>
    </row>
    <row r="40" spans="1:84" ht="13.5" customHeight="1" thickBot="1">
      <c r="B40" s="12" t="s">
        <v>43</v>
      </c>
      <c r="C40" s="12"/>
      <c r="D40" s="13">
        <v>3253</v>
      </c>
      <c r="E40" s="185">
        <f t="shared" si="0"/>
        <v>695</v>
      </c>
      <c r="F40" s="298">
        <v>3948</v>
      </c>
      <c r="G40" s="113"/>
      <c r="H40" s="185">
        <f>2498-F40</f>
        <v>-1450</v>
      </c>
      <c r="I40" s="155">
        <f t="shared" si="1"/>
        <v>315</v>
      </c>
      <c r="J40" s="185">
        <f t="shared" si="2"/>
        <v>-1135</v>
      </c>
      <c r="K40" s="155"/>
      <c r="L40" s="13">
        <v>2813</v>
      </c>
      <c r="M40" s="12"/>
      <c r="N40" s="13">
        <v>1619.8</v>
      </c>
      <c r="O40" s="185">
        <f t="shared" si="3"/>
        <v>1758.47</v>
      </c>
      <c r="P40" s="290">
        <v>3378.27</v>
      </c>
      <c r="Q40" s="113"/>
      <c r="R40" s="185">
        <f>R35-R36+R37+R38-R39</f>
        <v>1923.1199999999899</v>
      </c>
      <c r="S40" s="155">
        <f t="shared" si="4"/>
        <v>2557.6600000000108</v>
      </c>
      <c r="T40" s="155">
        <f t="shared" si="5"/>
        <v>4480.7800000000007</v>
      </c>
      <c r="U40" s="155"/>
      <c r="V40" s="13">
        <v>7859.05</v>
      </c>
      <c r="X40" s="13">
        <v>210</v>
      </c>
      <c r="Y40" s="185">
        <f t="shared" si="6"/>
        <v>679</v>
      </c>
      <c r="Z40" s="185">
        <v>889</v>
      </c>
      <c r="AA40" s="113"/>
      <c r="AB40" s="185">
        <f>+AB35+AB36+AB37+AB38+AB39</f>
        <v>449</v>
      </c>
      <c r="AC40" s="155">
        <f t="shared" si="7"/>
        <v>1203.75</v>
      </c>
      <c r="AD40" s="155">
        <f t="shared" si="8"/>
        <v>1652.75</v>
      </c>
      <c r="AE40" s="155"/>
      <c r="AF40" s="13">
        <v>2541.75</v>
      </c>
      <c r="AI40" s="112"/>
      <c r="AJ40" s="112"/>
      <c r="AK40" s="112"/>
      <c r="AM40" s="112"/>
      <c r="AN40" s="25"/>
      <c r="AO40" s="25"/>
      <c r="AP40" s="25"/>
      <c r="AQ40" s="25"/>
      <c r="AS40" s="112"/>
      <c r="AT40" s="112"/>
      <c r="AU40" s="112"/>
      <c r="AW40" s="74"/>
      <c r="AX40" s="74"/>
      <c r="AY40" s="74"/>
      <c r="AZ40" s="74"/>
      <c r="BA40" s="74"/>
      <c r="BC40" s="112"/>
      <c r="BD40" s="112"/>
      <c r="BE40" s="112"/>
      <c r="BG40" s="74"/>
      <c r="BH40" s="74"/>
      <c r="BI40" s="74"/>
      <c r="BJ40" s="74"/>
      <c r="BK40" s="74"/>
      <c r="BM40" s="112"/>
      <c r="BN40" s="112"/>
      <c r="BO40" s="112"/>
      <c r="BQ40" s="97"/>
      <c r="BR40" s="97"/>
      <c r="BS40" s="97"/>
      <c r="BT40" s="97"/>
      <c r="BU40" s="97"/>
      <c r="BX40" s="112"/>
      <c r="BY40" s="112"/>
      <c r="BZ40" s="112"/>
      <c r="CB40" s="97"/>
      <c r="CC40" s="97"/>
      <c r="CD40" s="97"/>
      <c r="CE40" s="97"/>
      <c r="CF40" s="97"/>
    </row>
    <row r="41" spans="1:84" ht="13.5" customHeight="1">
      <c r="B41" t="s">
        <v>158</v>
      </c>
      <c r="D41" s="16">
        <v>178</v>
      </c>
      <c r="E41" s="186">
        <f t="shared" si="0"/>
        <v>76</v>
      </c>
      <c r="F41" s="291">
        <v>254</v>
      </c>
      <c r="G41" s="20"/>
      <c r="H41" s="275">
        <v>20</v>
      </c>
      <c r="I41" s="25">
        <f t="shared" si="1"/>
        <v>-84</v>
      </c>
      <c r="J41" s="25">
        <f t="shared" si="2"/>
        <v>-64</v>
      </c>
      <c r="K41" s="94"/>
      <c r="L41" s="16">
        <v>190</v>
      </c>
      <c r="N41" s="16">
        <v>8.34</v>
      </c>
      <c r="O41" s="186">
        <f t="shared" si="3"/>
        <v>16.77</v>
      </c>
      <c r="P41" s="291">
        <v>25.11</v>
      </c>
      <c r="Q41" s="20"/>
      <c r="R41" s="275">
        <f>65.07-P41</f>
        <v>39.959999999999994</v>
      </c>
      <c r="S41" s="94">
        <f t="shared" si="4"/>
        <v>81.62</v>
      </c>
      <c r="T41" s="94">
        <f t="shared" si="5"/>
        <v>121.58</v>
      </c>
      <c r="U41" s="94"/>
      <c r="V41" s="16">
        <v>146.69</v>
      </c>
      <c r="X41" s="16">
        <v>20</v>
      </c>
      <c r="Y41" s="186">
        <f t="shared" si="6"/>
        <v>7</v>
      </c>
      <c r="Z41" s="186">
        <v>27</v>
      </c>
      <c r="AA41" s="20"/>
      <c r="AB41" s="275">
        <f>34-Z41</f>
        <v>7</v>
      </c>
      <c r="AC41" s="94">
        <f t="shared" si="7"/>
        <v>30.33</v>
      </c>
      <c r="AD41" s="94">
        <f t="shared" si="8"/>
        <v>37.33</v>
      </c>
      <c r="AE41" s="94"/>
      <c r="AF41" s="16">
        <v>64.33</v>
      </c>
      <c r="AI41" s="112"/>
      <c r="AJ41" s="112"/>
      <c r="AK41" s="112"/>
      <c r="AM41" s="25"/>
      <c r="AN41" s="25"/>
      <c r="AO41" s="25"/>
      <c r="AP41" s="25"/>
      <c r="AQ41" s="25"/>
      <c r="AS41" s="112"/>
      <c r="AT41" s="112"/>
      <c r="AU41" s="112"/>
      <c r="AW41" s="74"/>
      <c r="AX41" s="74"/>
      <c r="AY41" s="74"/>
      <c r="AZ41" s="74"/>
      <c r="BA41" s="74"/>
      <c r="BC41" s="112"/>
      <c r="BD41" s="112"/>
      <c r="BE41" s="112"/>
      <c r="BG41" s="74"/>
      <c r="BH41" s="74"/>
      <c r="BI41" s="74"/>
      <c r="BJ41" s="74"/>
      <c r="BK41" s="74"/>
      <c r="BM41" s="112"/>
      <c r="BN41" s="112"/>
      <c r="BO41" s="112"/>
      <c r="BQ41" s="97"/>
      <c r="BR41" s="97"/>
      <c r="BS41" s="97"/>
      <c r="BT41" s="97"/>
      <c r="BU41" s="97"/>
      <c r="BX41" s="112"/>
      <c r="BY41" s="112"/>
      <c r="BZ41" s="112"/>
      <c r="CB41" s="97"/>
      <c r="CC41" s="97"/>
      <c r="CD41" s="97"/>
      <c r="CE41" s="97"/>
      <c r="CF41" s="97"/>
    </row>
    <row r="42" spans="1:84" ht="13.5" customHeight="1">
      <c r="B42" t="s">
        <v>159</v>
      </c>
      <c r="D42" s="16">
        <v>111</v>
      </c>
      <c r="E42" s="186">
        <f t="shared" si="0"/>
        <v>114</v>
      </c>
      <c r="F42" s="291">
        <v>225</v>
      </c>
      <c r="G42" s="20"/>
      <c r="H42" s="275">
        <v>218</v>
      </c>
      <c r="I42" s="25">
        <f t="shared" si="1"/>
        <v>-15</v>
      </c>
      <c r="J42" s="25">
        <f t="shared" si="2"/>
        <v>203</v>
      </c>
      <c r="K42" s="94"/>
      <c r="L42" s="16">
        <v>428</v>
      </c>
      <c r="N42" s="16">
        <v>55.84</v>
      </c>
      <c r="O42" s="186">
        <f t="shared" si="3"/>
        <v>65.56</v>
      </c>
      <c r="P42" s="291">
        <v>121.4</v>
      </c>
      <c r="Q42" s="20"/>
      <c r="R42" s="275">
        <f>214.25-P42</f>
        <v>92.85</v>
      </c>
      <c r="S42" s="94">
        <f t="shared" si="4"/>
        <v>73.600000000000023</v>
      </c>
      <c r="T42" s="94">
        <f t="shared" si="5"/>
        <v>166.45000000000002</v>
      </c>
      <c r="U42" s="94"/>
      <c r="V42" s="16">
        <v>287.85000000000002</v>
      </c>
      <c r="X42" s="16">
        <v>-84</v>
      </c>
      <c r="Y42" s="186">
        <f t="shared" si="6"/>
        <v>-61</v>
      </c>
      <c r="Z42" s="186">
        <v>-145</v>
      </c>
      <c r="AA42" s="20"/>
      <c r="AB42" s="275">
        <f>-207-Z42</f>
        <v>-62</v>
      </c>
      <c r="AC42" s="94">
        <f t="shared" si="7"/>
        <v>504.17</v>
      </c>
      <c r="AD42" s="94">
        <f t="shared" si="8"/>
        <v>442.17</v>
      </c>
      <c r="AE42" s="94"/>
      <c r="AF42" s="16">
        <v>297.17</v>
      </c>
      <c r="AI42" s="112"/>
      <c r="AJ42" s="112"/>
      <c r="AK42" s="112"/>
      <c r="AM42" s="25"/>
      <c r="AN42" s="25"/>
      <c r="AO42" s="25"/>
      <c r="AP42" s="25"/>
      <c r="AQ42" s="25"/>
      <c r="AS42" s="112"/>
      <c r="AT42" s="112"/>
      <c r="AU42" s="112"/>
      <c r="AW42" s="74"/>
      <c r="AX42" s="74"/>
      <c r="AY42" s="74"/>
      <c r="AZ42" s="74"/>
      <c r="BA42" s="74"/>
      <c r="BC42" s="112"/>
      <c r="BD42" s="112"/>
      <c r="BE42" s="112"/>
      <c r="BG42" s="74"/>
      <c r="BH42" s="74"/>
      <c r="BI42" s="74"/>
      <c r="BJ42" s="74"/>
      <c r="BK42" s="74"/>
      <c r="BM42" s="112"/>
      <c r="BN42" s="112"/>
      <c r="BO42" s="112"/>
      <c r="BQ42" s="97"/>
      <c r="BR42" s="97"/>
      <c r="BS42" s="97"/>
      <c r="BT42" s="97"/>
      <c r="BU42" s="97"/>
      <c r="BX42" s="112"/>
      <c r="BY42" s="112"/>
      <c r="BZ42" s="112"/>
      <c r="CB42" s="97"/>
      <c r="CC42" s="97"/>
      <c r="CD42" s="97"/>
      <c r="CE42" s="97"/>
      <c r="CF42" s="97"/>
    </row>
    <row r="43" spans="1:84" ht="13.5" customHeight="1" thickBot="1">
      <c r="B43" s="12" t="s">
        <v>160</v>
      </c>
      <c r="C43" s="12"/>
      <c r="D43" s="13">
        <v>3320</v>
      </c>
      <c r="E43" s="185">
        <f t="shared" si="0"/>
        <v>657</v>
      </c>
      <c r="F43" s="290">
        <v>3977</v>
      </c>
      <c r="G43" s="113"/>
      <c r="H43" s="276">
        <v>-1649</v>
      </c>
      <c r="I43" s="155">
        <f t="shared" si="1"/>
        <v>246</v>
      </c>
      <c r="J43" s="185">
        <f t="shared" si="2"/>
        <v>-1403</v>
      </c>
      <c r="K43" s="155"/>
      <c r="L43" s="13">
        <v>2574</v>
      </c>
      <c r="M43" s="12"/>
      <c r="N43" s="13">
        <v>1572.3</v>
      </c>
      <c r="O43" s="185">
        <f t="shared" si="3"/>
        <v>1709.68</v>
      </c>
      <c r="P43" s="290">
        <v>3281.98</v>
      </c>
      <c r="Q43" s="113"/>
      <c r="R43" s="185">
        <f>+R40+R41-R42</f>
        <v>1870.22999999999</v>
      </c>
      <c r="S43" s="155">
        <f t="shared" si="4"/>
        <v>2565.6800000000098</v>
      </c>
      <c r="T43" s="155">
        <f t="shared" si="5"/>
        <v>4435.91</v>
      </c>
      <c r="U43" s="155"/>
      <c r="V43" s="13">
        <v>7717.89</v>
      </c>
      <c r="X43" s="13">
        <v>146</v>
      </c>
      <c r="Y43" s="185">
        <f t="shared" si="6"/>
        <v>625</v>
      </c>
      <c r="Z43" s="185">
        <v>771</v>
      </c>
      <c r="AA43" s="113"/>
      <c r="AB43" s="185">
        <f>+AB40+AB41+AB42</f>
        <v>394</v>
      </c>
      <c r="AC43" s="155">
        <f t="shared" si="7"/>
        <v>1143.9099999999999</v>
      </c>
      <c r="AD43" s="155">
        <f t="shared" si="8"/>
        <v>1537.9099999999999</v>
      </c>
      <c r="AE43" s="155"/>
      <c r="AF43" s="13">
        <v>2308.91</v>
      </c>
      <c r="AI43" s="112"/>
      <c r="AJ43" s="112"/>
      <c r="AK43" s="112"/>
      <c r="AM43" s="112"/>
      <c r="AN43" s="25"/>
      <c r="AO43" s="25"/>
      <c r="AP43" s="25"/>
      <c r="AQ43" s="25"/>
      <c r="AS43" s="112"/>
      <c r="AT43" s="112"/>
      <c r="AU43" s="112"/>
      <c r="AW43" s="74"/>
      <c r="AX43" s="74"/>
      <c r="AY43" s="74"/>
      <c r="AZ43" s="74"/>
      <c r="BA43" s="74"/>
      <c r="BC43" s="112"/>
      <c r="BD43" s="112"/>
      <c r="BE43" s="112"/>
      <c r="BG43" s="74"/>
      <c r="BH43" s="74"/>
      <c r="BI43" s="74"/>
      <c r="BJ43" s="74"/>
      <c r="BK43" s="74"/>
      <c r="BM43" s="112"/>
      <c r="BN43" s="112"/>
      <c r="BO43" s="112"/>
      <c r="BQ43" s="97"/>
      <c r="BR43" s="97"/>
      <c r="BS43" s="97"/>
      <c r="BT43" s="97"/>
      <c r="BU43" s="97"/>
      <c r="BX43" s="112"/>
      <c r="BY43" s="112"/>
      <c r="BZ43" s="112"/>
      <c r="CB43" s="97"/>
      <c r="CC43" s="97"/>
      <c r="CD43" s="97"/>
      <c r="CE43" s="97"/>
      <c r="CF43" s="97"/>
    </row>
    <row r="44" spans="1:84" ht="13.5" customHeight="1">
      <c r="B44" s="21" t="s">
        <v>161</v>
      </c>
      <c r="D44" s="16">
        <v>972</v>
      </c>
      <c r="E44" s="186">
        <f t="shared" si="0"/>
        <v>262</v>
      </c>
      <c r="F44" s="291">
        <v>1234</v>
      </c>
      <c r="G44" s="20"/>
      <c r="H44" s="275">
        <v>-341</v>
      </c>
      <c r="I44" s="25">
        <f t="shared" si="1"/>
        <v>-348</v>
      </c>
      <c r="J44" s="25">
        <f t="shared" si="2"/>
        <v>-689</v>
      </c>
      <c r="K44" s="94"/>
      <c r="L44" s="16">
        <v>545</v>
      </c>
      <c r="N44" s="16">
        <v>469.86</v>
      </c>
      <c r="O44" s="186">
        <f t="shared" si="3"/>
        <v>453.75</v>
      </c>
      <c r="P44" s="291">
        <v>923.61</v>
      </c>
      <c r="Q44" s="20"/>
      <c r="R44" s="275">
        <f>1443.6-P44</f>
        <v>519.9899999999999</v>
      </c>
      <c r="S44" s="94">
        <f t="shared" si="4"/>
        <v>483.77</v>
      </c>
      <c r="T44" s="94">
        <f t="shared" si="5"/>
        <v>1003.7599999999999</v>
      </c>
      <c r="U44" s="94"/>
      <c r="V44" s="16">
        <v>1927.37</v>
      </c>
      <c r="X44" s="16">
        <v>-112</v>
      </c>
      <c r="Y44" s="186">
        <f t="shared" si="6"/>
        <v>-147</v>
      </c>
      <c r="Z44" s="186">
        <v>-259</v>
      </c>
      <c r="AA44" s="20"/>
      <c r="AB44" s="275">
        <f>-583-Z44</f>
        <v>-324</v>
      </c>
      <c r="AC44" s="94">
        <f t="shared" si="7"/>
        <v>1762.59</v>
      </c>
      <c r="AD44" s="94">
        <f t="shared" si="8"/>
        <v>1438.59</v>
      </c>
      <c r="AE44" s="94"/>
      <c r="AF44" s="16">
        <v>1179.5899999999999</v>
      </c>
      <c r="AI44" s="112"/>
      <c r="AJ44" s="112"/>
      <c r="AK44" s="112"/>
      <c r="AM44" s="112"/>
      <c r="AN44" s="25"/>
      <c r="AO44" s="25"/>
      <c r="AP44" s="25"/>
      <c r="AQ44" s="25"/>
      <c r="AS44" s="112"/>
      <c r="AT44" s="112"/>
      <c r="AU44" s="112"/>
      <c r="AW44" s="74"/>
      <c r="AX44" s="74"/>
      <c r="AY44" s="74"/>
      <c r="AZ44" s="74"/>
      <c r="BA44" s="74"/>
      <c r="BC44" s="112"/>
      <c r="BD44" s="112"/>
      <c r="BE44" s="112"/>
      <c r="BG44" s="74"/>
      <c r="BH44" s="74"/>
      <c r="BI44" s="74"/>
      <c r="BJ44" s="74"/>
      <c r="BK44" s="74"/>
      <c r="BM44" s="112"/>
      <c r="BN44" s="112"/>
      <c r="BO44" s="112"/>
      <c r="BQ44" s="97"/>
      <c r="BR44" s="97"/>
      <c r="BS44" s="97"/>
      <c r="BT44" s="97"/>
      <c r="BU44" s="97"/>
      <c r="BX44" s="112"/>
      <c r="BY44" s="112"/>
      <c r="BZ44" s="112"/>
      <c r="CB44" s="97"/>
      <c r="CC44" s="97"/>
      <c r="CD44" s="97"/>
      <c r="CE44" s="97"/>
      <c r="CF44" s="97"/>
    </row>
    <row r="45" spans="1:84" ht="13.5" customHeight="1">
      <c r="B45" t="s">
        <v>162</v>
      </c>
      <c r="D45" s="16">
        <v>2214</v>
      </c>
      <c r="E45" s="186">
        <f t="shared" si="0"/>
        <v>274</v>
      </c>
      <c r="F45" s="291">
        <v>2488</v>
      </c>
      <c r="G45" s="20"/>
      <c r="H45" s="275">
        <v>-1528</v>
      </c>
      <c r="I45" s="94">
        <f t="shared" si="1"/>
        <v>478</v>
      </c>
      <c r="J45" s="25">
        <f t="shared" si="2"/>
        <v>-1050</v>
      </c>
      <c r="K45" s="184"/>
      <c r="L45" s="16">
        <v>1438</v>
      </c>
      <c r="N45" s="16">
        <v>976.22</v>
      </c>
      <c r="O45" s="186">
        <f t="shared" si="3"/>
        <v>1137.43</v>
      </c>
      <c r="P45" s="291">
        <v>2113.65</v>
      </c>
      <c r="Q45" s="20"/>
      <c r="R45" s="275">
        <f>3318.26-P45</f>
        <v>1204.6100000000001</v>
      </c>
      <c r="S45" s="94">
        <f t="shared" si="4"/>
        <v>2052.91</v>
      </c>
      <c r="T45" s="94">
        <f t="shared" si="5"/>
        <v>3257.52</v>
      </c>
      <c r="U45" s="184"/>
      <c r="V45" s="16">
        <v>5371.17</v>
      </c>
      <c r="X45" s="16">
        <v>-49</v>
      </c>
      <c r="Y45" s="186">
        <f t="shared" si="6"/>
        <v>413</v>
      </c>
      <c r="Z45" s="186">
        <v>364</v>
      </c>
      <c r="AA45" s="20"/>
      <c r="AB45" s="275">
        <f>670-Z45</f>
        <v>306</v>
      </c>
      <c r="AC45" s="94">
        <f t="shared" si="7"/>
        <v>469.98</v>
      </c>
      <c r="AD45" s="94">
        <f t="shared" si="8"/>
        <v>775.98</v>
      </c>
      <c r="AE45" s="184"/>
      <c r="AF45" s="16">
        <v>1139.98</v>
      </c>
      <c r="AI45" s="112"/>
      <c r="AJ45" s="112"/>
      <c r="AK45" s="112"/>
      <c r="AM45" s="112"/>
      <c r="AN45" s="112"/>
      <c r="AO45" s="25"/>
      <c r="AP45" s="25"/>
      <c r="AQ45" s="25"/>
      <c r="AS45" s="112"/>
      <c r="AT45" s="112"/>
      <c r="AU45" s="112"/>
      <c r="AW45" s="74"/>
      <c r="AX45" s="112"/>
      <c r="AY45" s="74"/>
      <c r="AZ45" s="74"/>
      <c r="BA45" s="74"/>
      <c r="BC45" s="112"/>
      <c r="BD45" s="112"/>
      <c r="BE45" s="112"/>
      <c r="BG45" s="74"/>
      <c r="BH45" s="74"/>
      <c r="BI45" s="74"/>
      <c r="BJ45" s="74"/>
      <c r="BK45" s="74"/>
      <c r="BM45" s="112"/>
      <c r="BN45" s="112"/>
      <c r="BO45" s="112"/>
      <c r="BQ45" s="97"/>
      <c r="BR45" s="97"/>
      <c r="BS45" s="97"/>
      <c r="BT45" s="97"/>
      <c r="BU45" s="97"/>
      <c r="BX45" s="112"/>
      <c r="BY45" s="112"/>
      <c r="BZ45" s="112"/>
      <c r="CB45" s="97"/>
      <c r="CC45" s="97"/>
      <c r="CD45" s="97"/>
      <c r="CE45" s="97"/>
      <c r="CF45" s="97"/>
    </row>
    <row r="46" spans="1:84" ht="13.5" customHeight="1" thickBot="1">
      <c r="B46" s="22" t="s">
        <v>163</v>
      </c>
      <c r="C46" s="22"/>
      <c r="D46" s="23">
        <v>134</v>
      </c>
      <c r="E46" s="188">
        <f t="shared" si="0"/>
        <v>121</v>
      </c>
      <c r="F46" s="292">
        <v>255</v>
      </c>
      <c r="G46" s="22"/>
      <c r="H46" s="282">
        <f>475-F46</f>
        <v>220</v>
      </c>
      <c r="I46" s="301">
        <f t="shared" si="1"/>
        <v>117</v>
      </c>
      <c r="J46" s="195">
        <f t="shared" si="2"/>
        <v>337</v>
      </c>
      <c r="K46" s="195"/>
      <c r="L46" s="195">
        <v>592</v>
      </c>
      <c r="M46" s="22"/>
      <c r="N46" s="23">
        <v>126.22</v>
      </c>
      <c r="O46" s="188">
        <f t="shared" si="3"/>
        <v>118.5</v>
      </c>
      <c r="P46" s="292">
        <v>244.72</v>
      </c>
      <c r="Q46" s="22"/>
      <c r="R46" s="282">
        <f>390.35-P46</f>
        <v>145.63000000000002</v>
      </c>
      <c r="S46" s="301">
        <f t="shared" si="4"/>
        <v>29</v>
      </c>
      <c r="T46" s="195">
        <f t="shared" si="5"/>
        <v>174.63000000000002</v>
      </c>
      <c r="U46" s="195"/>
      <c r="V46" s="195">
        <v>419.35</v>
      </c>
      <c r="X46" s="23">
        <v>83</v>
      </c>
      <c r="Y46" s="188">
        <f t="shared" si="6"/>
        <v>65</v>
      </c>
      <c r="Z46" s="189">
        <v>148</v>
      </c>
      <c r="AA46" s="22"/>
      <c r="AB46" s="282">
        <f>-88-Z46</f>
        <v>-236</v>
      </c>
      <c r="AC46" s="301">
        <f t="shared" si="7"/>
        <v>77.34</v>
      </c>
      <c r="AD46" s="195">
        <f t="shared" si="8"/>
        <v>-158.66</v>
      </c>
      <c r="AE46" s="195"/>
      <c r="AF46" s="195">
        <v>-10.66</v>
      </c>
      <c r="AI46" s="112"/>
      <c r="AJ46" s="112"/>
      <c r="AK46" s="112"/>
      <c r="AM46" s="112"/>
      <c r="AN46" s="112"/>
      <c r="AO46" s="25"/>
      <c r="AP46" s="25"/>
      <c r="AQ46" s="25"/>
      <c r="AS46" s="112"/>
      <c r="AT46" s="112"/>
      <c r="AU46" s="112"/>
      <c r="AW46" s="74"/>
      <c r="AX46" s="112"/>
      <c r="AY46" s="74"/>
      <c r="AZ46" s="74"/>
      <c r="BA46" s="74"/>
      <c r="BC46" s="112"/>
      <c r="BD46" s="112"/>
      <c r="BE46" s="112"/>
      <c r="BG46" s="74"/>
      <c r="BH46" s="112"/>
      <c r="BI46" s="74"/>
      <c r="BJ46" s="74"/>
      <c r="BK46" s="74"/>
      <c r="BM46" s="112"/>
      <c r="BN46" s="112"/>
      <c r="BO46" s="112"/>
      <c r="BQ46" s="97"/>
      <c r="BR46" s="97"/>
      <c r="BS46" s="97"/>
      <c r="BT46" s="97"/>
      <c r="BU46" s="97"/>
      <c r="BX46" s="112"/>
      <c r="BY46" s="112"/>
      <c r="BZ46" s="112"/>
      <c r="CB46" s="97"/>
      <c r="CC46" s="112"/>
      <c r="CD46" s="97"/>
      <c r="CE46" s="97"/>
      <c r="CF46" s="97"/>
    </row>
    <row r="47" spans="1:84" s="3" customFormat="1" ht="17.25" customHeight="1" thickTop="1">
      <c r="A47" s="2"/>
      <c r="D47" s="24"/>
      <c r="E47" s="24"/>
      <c r="F47" s="24"/>
      <c r="N47" s="24"/>
      <c r="O47" s="24"/>
      <c r="P47" s="24"/>
      <c r="X47" s="24"/>
      <c r="Y47" s="24"/>
      <c r="Z47" s="24"/>
      <c r="AI47" s="24"/>
      <c r="AJ47" s="24"/>
      <c r="AK47" s="24"/>
      <c r="AS47" s="24"/>
      <c r="AT47" s="24"/>
      <c r="AU47" s="24"/>
      <c r="BC47" s="24"/>
      <c r="BD47" s="24"/>
      <c r="BE47" s="24"/>
      <c r="BM47" s="24"/>
      <c r="BN47" s="24"/>
      <c r="BO47" s="24"/>
      <c r="BX47" s="24"/>
      <c r="BY47" s="24"/>
      <c r="BZ47" s="24"/>
    </row>
    <row r="48" spans="1:84" s="3" customFormat="1" ht="16.2">
      <c r="A48" s="250" t="s">
        <v>50</v>
      </c>
    </row>
    <row r="49" spans="1:84">
      <c r="B49" t="s">
        <v>1</v>
      </c>
      <c r="D49" s="244" t="str">
        <f>D5</f>
        <v>2022年度　（2022年4月-2023年3月）</v>
      </c>
      <c r="E49" s="244"/>
      <c r="F49" s="244"/>
      <c r="G49" s="244"/>
      <c r="H49" s="244"/>
      <c r="I49" s="244"/>
      <c r="J49" s="244"/>
      <c r="K49" s="244"/>
      <c r="L49" s="244"/>
      <c r="N49" s="244" t="str">
        <f>N5</f>
        <v>2021年度　（2021年4月-2022年3月）</v>
      </c>
      <c r="O49" s="244"/>
      <c r="P49" s="244"/>
      <c r="Q49" s="244"/>
      <c r="R49" s="244"/>
      <c r="S49" s="244"/>
      <c r="T49" s="244"/>
      <c r="U49" s="244"/>
      <c r="V49" s="244"/>
      <c r="X49" s="244" t="str">
        <f>X5</f>
        <v>2020年度　（2020年4月-2021年3月）</v>
      </c>
      <c r="Y49" s="244"/>
      <c r="Z49" s="244"/>
      <c r="AA49" s="244"/>
      <c r="AB49" s="244"/>
      <c r="AC49" s="244"/>
      <c r="AD49" s="244"/>
      <c r="AE49" s="244"/>
      <c r="AF49" s="244"/>
      <c r="AI49" s="5"/>
      <c r="AJ49" s="5"/>
      <c r="AK49" s="5"/>
      <c r="AL49" s="5"/>
      <c r="AM49" s="5"/>
      <c r="AN49" s="5"/>
      <c r="AO49" s="5"/>
      <c r="AP49" s="5"/>
      <c r="AQ49" s="5"/>
      <c r="AS49" s="5"/>
      <c r="AT49" s="5"/>
      <c r="AU49" s="5"/>
      <c r="AV49" s="5"/>
      <c r="AW49" s="5"/>
      <c r="AX49" s="5"/>
      <c r="AY49" s="5"/>
      <c r="AZ49" s="5"/>
      <c r="BA49" s="5"/>
      <c r="BC49" s="5"/>
      <c r="BD49" s="5"/>
      <c r="BE49" s="5"/>
      <c r="BF49" s="5"/>
      <c r="BG49" s="5"/>
      <c r="BH49" s="5"/>
      <c r="BI49" s="5"/>
      <c r="BJ49" s="5"/>
      <c r="BK49" s="5"/>
      <c r="BM49" s="5"/>
      <c r="BN49" s="5"/>
      <c r="BO49" s="5"/>
      <c r="BP49" s="5"/>
      <c r="BQ49" s="5"/>
      <c r="BR49" s="5"/>
      <c r="BS49" s="5"/>
      <c r="BT49" s="5"/>
      <c r="BU49" s="5"/>
      <c r="BX49" s="5"/>
      <c r="BY49" s="5"/>
      <c r="BZ49" s="5"/>
      <c r="CA49" s="5"/>
      <c r="CB49" s="5"/>
      <c r="CC49" s="5"/>
      <c r="CD49" s="5"/>
      <c r="CE49" s="5"/>
      <c r="CF49" s="5"/>
    </row>
    <row r="50" spans="1:84" ht="3.75" customHeight="1">
      <c r="D50" s="5"/>
      <c r="E50" s="5"/>
      <c r="F50" s="5"/>
      <c r="G50" s="5"/>
      <c r="H50" s="5"/>
      <c r="I50" s="5"/>
      <c r="J50" s="5"/>
      <c r="K50" s="5"/>
      <c r="L50" s="244"/>
      <c r="N50" s="5"/>
      <c r="O50" s="5"/>
      <c r="P50" s="5"/>
      <c r="Q50" s="5"/>
      <c r="R50" s="5"/>
      <c r="S50" s="5"/>
      <c r="T50" s="5"/>
      <c r="U50" s="5"/>
      <c r="V50" s="244"/>
      <c r="X50" s="5"/>
      <c r="Y50" s="5"/>
      <c r="Z50" s="5"/>
      <c r="AA50" s="5"/>
      <c r="AB50" s="5"/>
      <c r="AC50" s="5"/>
      <c r="AD50" s="5"/>
      <c r="AE50" s="5"/>
      <c r="AF50" s="244"/>
      <c r="AI50" s="5"/>
      <c r="AJ50" s="5"/>
      <c r="AK50" s="5"/>
      <c r="AL50" s="5"/>
      <c r="AM50" s="5"/>
      <c r="AN50" s="5"/>
      <c r="AO50" s="5"/>
      <c r="AP50" s="5"/>
      <c r="AQ50" s="5"/>
      <c r="AS50" s="5"/>
      <c r="AT50" s="5"/>
      <c r="AU50" s="5"/>
      <c r="AV50" s="5"/>
      <c r="AW50" s="5"/>
      <c r="AX50" s="5"/>
      <c r="AY50" s="5"/>
      <c r="AZ50" s="5"/>
      <c r="BA50" s="5"/>
      <c r="BC50" s="5"/>
      <c r="BD50" s="5"/>
      <c r="BE50" s="5"/>
      <c r="BF50" s="5"/>
      <c r="BG50" s="5"/>
      <c r="BH50" s="5"/>
      <c r="BI50" s="5"/>
      <c r="BJ50" s="5"/>
      <c r="BK50" s="5"/>
      <c r="BM50" s="5"/>
      <c r="BN50" s="5"/>
      <c r="BO50" s="5"/>
      <c r="BP50" s="5"/>
      <c r="BQ50" s="5"/>
      <c r="BR50" s="5"/>
      <c r="BS50" s="5"/>
      <c r="BT50" s="5"/>
      <c r="BU50" s="5"/>
      <c r="BX50" s="5"/>
      <c r="BY50" s="5"/>
      <c r="BZ50" s="5"/>
      <c r="CA50" s="5"/>
      <c r="CB50" s="5"/>
      <c r="CC50" s="5"/>
      <c r="CD50" s="5"/>
      <c r="CE50" s="5"/>
      <c r="CF50" s="5"/>
    </row>
    <row r="51" spans="1:84">
      <c r="D51" s="6"/>
      <c r="E51" s="6"/>
      <c r="F51" s="7" t="s">
        <v>28</v>
      </c>
      <c r="H51" s="7"/>
      <c r="I51" s="7"/>
      <c r="J51" s="7" t="s">
        <v>29</v>
      </c>
      <c r="L51" s="245" t="s">
        <v>30</v>
      </c>
      <c r="N51" s="6"/>
      <c r="O51" s="6"/>
      <c r="P51" s="7" t="s">
        <v>28</v>
      </c>
      <c r="R51" s="7"/>
      <c r="S51" s="7"/>
      <c r="T51" s="7" t="s">
        <v>29</v>
      </c>
      <c r="V51" s="245" t="s">
        <v>30</v>
      </c>
      <c r="X51" s="6"/>
      <c r="Y51" s="6"/>
      <c r="Z51" s="7" t="s">
        <v>28</v>
      </c>
      <c r="AB51" s="7"/>
      <c r="AC51" s="7"/>
      <c r="AD51" s="7" t="s">
        <v>29</v>
      </c>
      <c r="AF51" s="245" t="s">
        <v>30</v>
      </c>
      <c r="AK51" s="8"/>
      <c r="AM51" s="8"/>
      <c r="AN51" s="8"/>
      <c r="AO51" s="8"/>
      <c r="AQ51" s="8"/>
      <c r="AU51" s="8"/>
      <c r="AW51" s="8"/>
      <c r="AX51" s="8"/>
      <c r="AY51" s="8"/>
      <c r="BA51" s="8"/>
      <c r="BE51" s="8"/>
      <c r="BG51" s="8"/>
      <c r="BH51" s="8"/>
      <c r="BI51" s="8"/>
      <c r="BK51" s="8"/>
      <c r="BO51" s="8"/>
      <c r="BQ51" s="8"/>
      <c r="BR51" s="8"/>
      <c r="BS51" s="8"/>
      <c r="BU51" s="8"/>
      <c r="BZ51" s="8"/>
      <c r="CB51" s="8"/>
      <c r="CC51" s="8"/>
      <c r="CD51" s="8"/>
      <c r="CF51" s="8"/>
    </row>
    <row r="52" spans="1:84" s="9" customFormat="1" ht="10.8">
      <c r="D52" s="9" t="s">
        <v>31</v>
      </c>
      <c r="E52" s="9" t="s">
        <v>32</v>
      </c>
      <c r="F52" s="10" t="s">
        <v>33</v>
      </c>
      <c r="H52" s="9" t="s">
        <v>7</v>
      </c>
      <c r="I52" s="9" t="s">
        <v>8</v>
      </c>
      <c r="J52" s="10"/>
      <c r="L52" s="246"/>
      <c r="N52" s="9" t="s">
        <v>31</v>
      </c>
      <c r="O52" s="9" t="s">
        <v>32</v>
      </c>
      <c r="P52" s="10" t="s">
        <v>33</v>
      </c>
      <c r="R52" s="9" t="s">
        <v>7</v>
      </c>
      <c r="S52" s="9" t="s">
        <v>8</v>
      </c>
      <c r="T52" s="10"/>
      <c r="V52" s="246"/>
      <c r="X52" s="9" t="s">
        <v>31</v>
      </c>
      <c r="Y52" s="9" t="s">
        <v>32</v>
      </c>
      <c r="Z52" s="10" t="s">
        <v>33</v>
      </c>
      <c r="AB52" s="9" t="s">
        <v>7</v>
      </c>
      <c r="AC52" s="9" t="s">
        <v>8</v>
      </c>
      <c r="AD52" s="10"/>
      <c r="AF52" s="246"/>
      <c r="AK52" s="11"/>
      <c r="AO52" s="11"/>
      <c r="AQ52" s="11"/>
      <c r="AU52" s="11"/>
      <c r="AY52" s="11"/>
      <c r="BA52" s="11"/>
      <c r="BE52" s="11"/>
      <c r="BI52" s="11"/>
      <c r="BK52" s="11"/>
      <c r="BO52" s="11"/>
      <c r="BS52" s="11"/>
      <c r="BU52" s="11"/>
      <c r="BZ52" s="11"/>
      <c r="CD52" s="11"/>
      <c r="CF52" s="11"/>
    </row>
    <row r="53" spans="1:84" s="9" customFormat="1" ht="10.8">
      <c r="D53" s="9" t="s">
        <v>34</v>
      </c>
      <c r="E53" s="9" t="s">
        <v>35</v>
      </c>
      <c r="F53" s="10" t="s">
        <v>36</v>
      </c>
      <c r="H53" s="9" t="s">
        <v>12</v>
      </c>
      <c r="I53" s="9" t="s">
        <v>13</v>
      </c>
      <c r="J53" s="10" t="s">
        <v>37</v>
      </c>
      <c r="L53" s="246" t="s">
        <v>38</v>
      </c>
      <c r="N53" s="9" t="s">
        <v>34</v>
      </c>
      <c r="O53" s="9" t="s">
        <v>35</v>
      </c>
      <c r="P53" s="10" t="s">
        <v>36</v>
      </c>
      <c r="R53" s="9" t="s">
        <v>12</v>
      </c>
      <c r="S53" s="9" t="s">
        <v>13</v>
      </c>
      <c r="T53" s="10" t="s">
        <v>37</v>
      </c>
      <c r="V53" s="246" t="s">
        <v>38</v>
      </c>
      <c r="X53" s="9" t="s">
        <v>34</v>
      </c>
      <c r="Y53" s="9" t="s">
        <v>35</v>
      </c>
      <c r="Z53" s="10" t="s">
        <v>36</v>
      </c>
      <c r="AB53" s="9" t="s">
        <v>12</v>
      </c>
      <c r="AC53" s="9" t="s">
        <v>13</v>
      </c>
      <c r="AD53" s="10" t="s">
        <v>37</v>
      </c>
      <c r="AF53" s="246" t="s">
        <v>38</v>
      </c>
      <c r="AK53" s="11"/>
      <c r="AO53" s="11"/>
      <c r="AQ53" s="11"/>
      <c r="AU53" s="11"/>
      <c r="AY53" s="11"/>
      <c r="BA53" s="11"/>
      <c r="BE53" s="11"/>
      <c r="BI53" s="11"/>
      <c r="BK53" s="11"/>
      <c r="BO53" s="11"/>
      <c r="BS53" s="11"/>
      <c r="BU53" s="11"/>
      <c r="BZ53" s="11"/>
      <c r="CD53" s="11"/>
      <c r="CF53" s="11"/>
    </row>
    <row r="54" spans="1:84" s="3" customFormat="1" ht="6.75" customHeight="1">
      <c r="A54" s="2"/>
    </row>
    <row r="55" spans="1:84" ht="13.5" customHeight="1">
      <c r="B55" t="s">
        <v>51</v>
      </c>
      <c r="D55" s="25">
        <v>-1444</v>
      </c>
      <c r="E55" s="183">
        <f>F55-D55</f>
        <v>-2594</v>
      </c>
      <c r="F55" s="293">
        <v>-4038</v>
      </c>
      <c r="G55" s="116"/>
      <c r="H55" s="266">
        <f>-4610-F55</f>
        <v>-572</v>
      </c>
      <c r="I55" s="25">
        <f>J55-H55</f>
        <v>3508</v>
      </c>
      <c r="J55" s="25">
        <f>L55-F55</f>
        <v>2936</v>
      </c>
      <c r="K55" s="25"/>
      <c r="L55" s="25">
        <v>-1102</v>
      </c>
      <c r="N55" s="25">
        <v>-1399.86</v>
      </c>
      <c r="O55" s="183">
        <f>P55-N55</f>
        <v>1010.05</v>
      </c>
      <c r="P55" s="293">
        <v>-389.81</v>
      </c>
      <c r="Q55" s="116"/>
      <c r="R55" s="266">
        <f>-211-P55</f>
        <v>178.81</v>
      </c>
      <c r="S55" s="25">
        <f>T55-R55</f>
        <v>2306.09</v>
      </c>
      <c r="T55" s="25">
        <f>V55-P55</f>
        <v>2484.9</v>
      </c>
      <c r="U55" s="25"/>
      <c r="V55" s="25">
        <v>2095.09</v>
      </c>
      <c r="X55" s="25">
        <v>1888</v>
      </c>
      <c r="Y55" s="183">
        <f>+Z55-X55</f>
        <v>1018</v>
      </c>
      <c r="Z55" s="183">
        <v>2906</v>
      </c>
      <c r="AA55" s="116"/>
      <c r="AB55" s="266">
        <f>5428-Z55</f>
        <v>2522</v>
      </c>
      <c r="AC55" s="25">
        <f>AD55-AB55</f>
        <v>1362.9399999999996</v>
      </c>
      <c r="AD55" s="25">
        <f>AF55-Z55</f>
        <v>3884.9399999999996</v>
      </c>
      <c r="AE55" s="25"/>
      <c r="AF55" s="25">
        <v>6790.94</v>
      </c>
      <c r="AI55" s="25"/>
      <c r="AJ55" s="25"/>
      <c r="AK55" s="25"/>
      <c r="AL55" s="116"/>
      <c r="AM55" s="25"/>
      <c r="AN55" s="25"/>
      <c r="AO55" s="25"/>
      <c r="AP55" s="25"/>
      <c r="AQ55" s="25"/>
      <c r="AS55" s="25"/>
      <c r="AT55" s="25"/>
      <c r="AU55" s="25"/>
      <c r="AV55" s="116"/>
      <c r="AW55" s="25"/>
      <c r="AX55" s="25"/>
      <c r="AY55" s="25"/>
      <c r="AZ55" s="25"/>
      <c r="BA55" s="25"/>
      <c r="BC55" s="25"/>
      <c r="BD55" s="25"/>
      <c r="BE55" s="25"/>
      <c r="BF55" s="116"/>
      <c r="BG55" s="25"/>
      <c r="BH55" s="25"/>
      <c r="BI55" s="25"/>
      <c r="BJ55" s="25"/>
      <c r="BK55" s="25"/>
      <c r="BM55" s="25"/>
      <c r="BN55" s="25"/>
      <c r="BO55" s="74"/>
      <c r="BP55" s="116"/>
      <c r="BQ55" s="25"/>
      <c r="BR55" s="25"/>
      <c r="BS55" s="25"/>
      <c r="BT55" s="25"/>
      <c r="BU55" s="25"/>
      <c r="BX55" s="25"/>
      <c r="BY55" s="25"/>
      <c r="BZ55" s="74"/>
      <c r="CA55" s="116"/>
      <c r="CB55" s="25"/>
      <c r="CC55" s="25"/>
      <c r="CD55" s="25"/>
      <c r="CE55" s="25"/>
      <c r="CF55" s="25"/>
    </row>
    <row r="56" spans="1:84" ht="13.5" customHeight="1">
      <c r="B56" t="s">
        <v>52</v>
      </c>
      <c r="D56" s="25">
        <v>-1232</v>
      </c>
      <c r="E56" s="183">
        <f t="shared" ref="E56:E57" si="9">F56-D56</f>
        <v>656</v>
      </c>
      <c r="F56" s="293">
        <v>-576</v>
      </c>
      <c r="G56" s="116"/>
      <c r="H56" s="266">
        <f>-1622-F56</f>
        <v>-1046</v>
      </c>
      <c r="I56" s="25">
        <f t="shared" ref="I56:I60" si="10">J56-H56</f>
        <v>463</v>
      </c>
      <c r="J56" s="25">
        <f t="shared" ref="J56:J58" si="11">L56-F56</f>
        <v>-583</v>
      </c>
      <c r="K56" s="25"/>
      <c r="L56" s="25">
        <v>-1159</v>
      </c>
      <c r="N56" s="25">
        <v>-1157.0999999999999</v>
      </c>
      <c r="O56" s="183">
        <f>P56-N56</f>
        <v>-486.19000000000005</v>
      </c>
      <c r="P56" s="293">
        <v>-1643.29</v>
      </c>
      <c r="Q56" s="116"/>
      <c r="R56" s="266">
        <f>-2523-P56</f>
        <v>-879.71</v>
      </c>
      <c r="S56" s="25">
        <f t="shared" ref="S56:S58" si="12">T56-R56</f>
        <v>-976.25</v>
      </c>
      <c r="T56" s="25">
        <f t="shared" ref="T56:T58" si="13">V56-P56</f>
        <v>-1855.96</v>
      </c>
      <c r="U56" s="25"/>
      <c r="V56" s="25">
        <v>-3499.25</v>
      </c>
      <c r="X56" s="25">
        <v>-820</v>
      </c>
      <c r="Y56" s="183">
        <f t="shared" ref="Y56:Y57" si="14">+Z56-X56</f>
        <v>-519</v>
      </c>
      <c r="Z56" s="183">
        <v>-1339</v>
      </c>
      <c r="AA56" s="116"/>
      <c r="AB56" s="266">
        <f>-2261-Z56</f>
        <v>-922</v>
      </c>
      <c r="AC56" s="25">
        <f t="shared" ref="AC56:AC60" si="15">AD56-AB56</f>
        <v>-806.90999999999985</v>
      </c>
      <c r="AD56" s="25">
        <f t="shared" ref="AD56:AD60" si="16">AF56-Z56</f>
        <v>-1728.9099999999999</v>
      </c>
      <c r="AE56" s="25"/>
      <c r="AF56" s="25">
        <v>-3067.91</v>
      </c>
      <c r="AI56" s="25"/>
      <c r="AJ56" s="25"/>
      <c r="AK56" s="25"/>
      <c r="AL56" s="116"/>
      <c r="AM56" s="25"/>
      <c r="AN56" s="25"/>
      <c r="AO56" s="25"/>
      <c r="AP56" s="25"/>
      <c r="AQ56" s="25"/>
      <c r="AS56" s="25"/>
      <c r="AT56" s="25"/>
      <c r="AU56" s="25"/>
      <c r="AV56" s="116"/>
      <c r="AW56" s="25"/>
      <c r="AX56" s="25"/>
      <c r="AY56" s="25"/>
      <c r="AZ56" s="25"/>
      <c r="BA56" s="25"/>
      <c r="BC56" s="25"/>
      <c r="BD56" s="25"/>
      <c r="BE56" s="25"/>
      <c r="BF56" s="116"/>
      <c r="BG56" s="25"/>
      <c r="BH56" s="25"/>
      <c r="BI56" s="25"/>
      <c r="BJ56" s="25"/>
      <c r="BK56" s="25"/>
      <c r="BM56" s="25"/>
      <c r="BN56" s="25"/>
      <c r="BO56" s="25"/>
      <c r="BP56" s="116"/>
      <c r="BQ56" s="25"/>
      <c r="BR56" s="25"/>
      <c r="BS56" s="25"/>
      <c r="BT56" s="25"/>
      <c r="BU56" s="25"/>
      <c r="BX56" s="25"/>
      <c r="BY56" s="25"/>
      <c r="BZ56" s="25"/>
      <c r="CA56" s="116"/>
      <c r="CB56" s="25"/>
      <c r="CC56" s="25"/>
      <c r="CD56" s="25"/>
      <c r="CE56" s="25"/>
      <c r="CF56" s="25"/>
    </row>
    <row r="57" spans="1:84" ht="13.5" customHeight="1">
      <c r="B57" t="s">
        <v>53</v>
      </c>
      <c r="D57" s="25">
        <v>2808</v>
      </c>
      <c r="E57" s="183">
        <f t="shared" si="9"/>
        <v>431</v>
      </c>
      <c r="F57" s="293">
        <v>3239</v>
      </c>
      <c r="G57" s="116"/>
      <c r="H57" s="266">
        <f>5116-F57</f>
        <v>1877</v>
      </c>
      <c r="I57" s="25">
        <f t="shared" si="10"/>
        <v>-5249</v>
      </c>
      <c r="J57" s="25">
        <f t="shared" si="11"/>
        <v>-3372</v>
      </c>
      <c r="K57" s="25"/>
      <c r="L57" s="25">
        <v>-133</v>
      </c>
      <c r="N57" s="25">
        <v>2639.32</v>
      </c>
      <c r="O57" s="183">
        <f>P57-N57</f>
        <v>-1129.7700000000002</v>
      </c>
      <c r="P57" s="293">
        <v>1509.55</v>
      </c>
      <c r="Q57" s="116"/>
      <c r="R57" s="266">
        <f>3215-P57</f>
        <v>1705.45</v>
      </c>
      <c r="S57" s="25">
        <f t="shared" si="12"/>
        <v>-954.54</v>
      </c>
      <c r="T57" s="25">
        <f t="shared" si="13"/>
        <v>750.91000000000008</v>
      </c>
      <c r="U57" s="25"/>
      <c r="V57" s="25">
        <v>2260.46</v>
      </c>
      <c r="X57" s="25">
        <v>-357</v>
      </c>
      <c r="Y57" s="183">
        <f t="shared" si="14"/>
        <v>-1369</v>
      </c>
      <c r="Z57" s="183">
        <v>-1726</v>
      </c>
      <c r="AA57" s="116"/>
      <c r="AB57" s="266">
        <f>-2105-Z57</f>
        <v>-379</v>
      </c>
      <c r="AC57" s="25">
        <f t="shared" si="15"/>
        <v>-1445.81</v>
      </c>
      <c r="AD57" s="25">
        <f t="shared" si="16"/>
        <v>-1824.81</v>
      </c>
      <c r="AE57" s="25"/>
      <c r="AF57" s="25">
        <v>-3550.81</v>
      </c>
      <c r="AI57" s="25"/>
      <c r="AJ57" s="25"/>
      <c r="AK57" s="25"/>
      <c r="AL57" s="116"/>
      <c r="AM57" s="25"/>
      <c r="AN57" s="25"/>
      <c r="AO57" s="25"/>
      <c r="AP57" s="25"/>
      <c r="AQ57" s="25"/>
      <c r="AS57" s="25"/>
      <c r="AT57" s="25"/>
      <c r="AU57" s="25"/>
      <c r="AV57" s="116"/>
      <c r="AW57" s="25"/>
      <c r="AX57" s="25"/>
      <c r="AY57" s="25"/>
      <c r="AZ57" s="25"/>
      <c r="BA57" s="25"/>
      <c r="BC57" s="25"/>
      <c r="BD57" s="25"/>
      <c r="BE57" s="25"/>
      <c r="BF57" s="116"/>
      <c r="BG57" s="25"/>
      <c r="BH57" s="25"/>
      <c r="BI57" s="25"/>
      <c r="BJ57" s="25"/>
      <c r="BK57" s="25"/>
      <c r="BM57" s="25"/>
      <c r="BN57" s="25"/>
      <c r="BO57" s="25"/>
      <c r="BP57" s="116"/>
      <c r="BQ57" s="25"/>
      <c r="BR57" s="25"/>
      <c r="BS57" s="25"/>
      <c r="BT57" s="25"/>
      <c r="BU57" s="25"/>
      <c r="BX57" s="25"/>
      <c r="BY57" s="25"/>
      <c r="BZ57" s="25"/>
      <c r="CA57" s="116"/>
      <c r="CB57" s="25"/>
      <c r="CC57" s="25"/>
      <c r="CD57" s="25"/>
      <c r="CE57" s="25"/>
      <c r="CF57" s="25"/>
    </row>
    <row r="58" spans="1:84" ht="13.5" customHeight="1">
      <c r="B58" s="27" t="s">
        <v>55</v>
      </c>
      <c r="C58" s="27"/>
      <c r="D58" s="28">
        <v>132</v>
      </c>
      <c r="E58" s="218">
        <f>F58-D58</f>
        <v>-1507</v>
      </c>
      <c r="F58" s="294">
        <v>-1375</v>
      </c>
      <c r="G58" s="117"/>
      <c r="H58" s="218">
        <f>H55+H56+H57</f>
        <v>259</v>
      </c>
      <c r="I58" s="28">
        <f t="shared" si="10"/>
        <v>-1279</v>
      </c>
      <c r="J58" s="28">
        <f t="shared" si="11"/>
        <v>-1020</v>
      </c>
      <c r="K58" s="28"/>
      <c r="L58" s="28">
        <v>-2395</v>
      </c>
      <c r="M58" s="27"/>
      <c r="N58" s="28">
        <v>82.36</v>
      </c>
      <c r="O58" s="218">
        <f>P58-N58</f>
        <v>-605.91</v>
      </c>
      <c r="P58" s="294">
        <v>-523.54999999999995</v>
      </c>
      <c r="Q58" s="117"/>
      <c r="R58" s="218">
        <f>R55+R56+R57</f>
        <v>1004.55</v>
      </c>
      <c r="S58" s="28">
        <f t="shared" si="12"/>
        <v>375.29999999999995</v>
      </c>
      <c r="T58" s="28">
        <f t="shared" si="13"/>
        <v>1379.85</v>
      </c>
      <c r="U58" s="28"/>
      <c r="V58" s="28">
        <v>856.3</v>
      </c>
      <c r="X58" s="28">
        <v>710</v>
      </c>
      <c r="Y58" s="218">
        <f>+Z58-X58</f>
        <v>-869</v>
      </c>
      <c r="Z58" s="218">
        <v>-159</v>
      </c>
      <c r="AA58" s="117"/>
      <c r="AB58" s="218">
        <f>AB55+AB56+AB57</f>
        <v>1221</v>
      </c>
      <c r="AC58" s="28">
        <f t="shared" si="15"/>
        <v>-889.78</v>
      </c>
      <c r="AD58" s="28">
        <f t="shared" si="16"/>
        <v>331.22</v>
      </c>
      <c r="AE58" s="28"/>
      <c r="AF58" s="28">
        <v>172.22</v>
      </c>
      <c r="AI58" s="25"/>
      <c r="AJ58" s="25"/>
      <c r="AK58" s="25"/>
      <c r="AL58" s="116"/>
      <c r="AM58" s="25"/>
      <c r="AN58" s="25"/>
      <c r="AO58" s="25"/>
      <c r="AP58" s="25"/>
      <c r="AQ58" s="25"/>
      <c r="AS58" s="25"/>
      <c r="AT58" s="25"/>
      <c r="AU58" s="25"/>
      <c r="AV58" s="116"/>
      <c r="AW58" s="25"/>
      <c r="AX58" s="25"/>
      <c r="AY58" s="25"/>
      <c r="AZ58" s="25"/>
      <c r="BA58" s="25"/>
      <c r="BC58" s="25"/>
      <c r="BD58" s="25"/>
      <c r="BE58" s="25"/>
      <c r="BF58" s="116"/>
      <c r="BG58" s="25"/>
      <c r="BH58" s="25"/>
      <c r="BI58" s="25"/>
      <c r="BJ58" s="25"/>
      <c r="BK58" s="25"/>
      <c r="BM58" s="25"/>
      <c r="BN58" s="25"/>
      <c r="BO58" s="25"/>
      <c r="BP58" s="116"/>
      <c r="BQ58" s="25"/>
      <c r="BR58" s="25"/>
      <c r="BS58" s="25"/>
      <c r="BT58" s="25"/>
      <c r="BU58" s="25"/>
      <c r="BX58" s="25"/>
      <c r="BY58" s="25"/>
      <c r="BZ58" s="25"/>
      <c r="CA58" s="116"/>
      <c r="CB58" s="25"/>
      <c r="CC58" s="25"/>
      <c r="CD58" s="25"/>
      <c r="CE58" s="25"/>
      <c r="CF58" s="25"/>
    </row>
    <row r="59" spans="1:84" ht="13.5" customHeight="1">
      <c r="B59" s="27" t="s">
        <v>56</v>
      </c>
      <c r="C59" s="27"/>
      <c r="D59" s="235">
        <v>5240</v>
      </c>
      <c r="E59" s="289">
        <f>D62</f>
        <v>5675</v>
      </c>
      <c r="F59" s="294">
        <v>5240</v>
      </c>
      <c r="G59" s="117"/>
      <c r="H59" s="218">
        <f>F62</f>
        <v>4303</v>
      </c>
      <c r="I59" s="28">
        <f>H62</f>
        <v>4437</v>
      </c>
      <c r="J59" s="28">
        <f>F62</f>
        <v>4303</v>
      </c>
      <c r="K59" s="28"/>
      <c r="L59" s="28">
        <v>5240</v>
      </c>
      <c r="M59" s="27"/>
      <c r="N59" s="235">
        <v>4123</v>
      </c>
      <c r="O59" s="289">
        <f>N62</f>
        <v>4227.3599999999997</v>
      </c>
      <c r="P59" s="294">
        <v>4123</v>
      </c>
      <c r="Q59" s="117"/>
      <c r="R59" s="218">
        <f>P62</f>
        <v>3633.1</v>
      </c>
      <c r="S59" s="28">
        <f>R62</f>
        <v>4593</v>
      </c>
      <c r="T59" s="28">
        <v>3633</v>
      </c>
      <c r="U59" s="28"/>
      <c r="V59" s="28">
        <v>4123</v>
      </c>
      <c r="X59" s="235">
        <f>'JXTG（5020）_IFRS'!L62</f>
        <v>3933</v>
      </c>
      <c r="Y59" s="218">
        <f>+X62</f>
        <v>4605</v>
      </c>
      <c r="Z59" s="218">
        <v>3933</v>
      </c>
      <c r="AA59" s="117"/>
      <c r="AB59" s="218">
        <f>+Z62</f>
        <v>3739</v>
      </c>
      <c r="AC59" s="28">
        <f>AB62</f>
        <v>4950</v>
      </c>
      <c r="AD59" s="28">
        <v>3739</v>
      </c>
      <c r="AE59" s="28"/>
      <c r="AF59" s="28">
        <v>3933.02</v>
      </c>
      <c r="AI59" s="25"/>
      <c r="AJ59" s="25"/>
      <c r="AK59" s="25"/>
      <c r="AL59" s="116"/>
      <c r="AM59" s="25"/>
      <c r="AN59" s="25"/>
      <c r="AO59" s="25"/>
      <c r="AP59" s="25"/>
      <c r="AQ59" s="25"/>
      <c r="AS59" s="25"/>
      <c r="AT59" s="25"/>
      <c r="AU59" s="25"/>
      <c r="AV59" s="116"/>
      <c r="AW59" s="25"/>
      <c r="AX59" s="25"/>
      <c r="AY59" s="25"/>
      <c r="AZ59" s="25"/>
      <c r="BA59" s="25"/>
      <c r="BC59" s="25"/>
      <c r="BD59" s="25"/>
      <c r="BE59" s="25"/>
      <c r="BF59" s="116"/>
      <c r="BG59" s="25"/>
      <c r="BH59" s="25"/>
      <c r="BI59" s="25"/>
      <c r="BJ59" s="25"/>
      <c r="BK59" s="25"/>
      <c r="BM59" s="25"/>
      <c r="BN59" s="25"/>
      <c r="BO59" s="25"/>
      <c r="BP59" s="116"/>
      <c r="BQ59" s="25"/>
      <c r="BR59" s="25"/>
      <c r="BS59" s="25"/>
      <c r="BT59" s="25"/>
      <c r="BU59" s="25"/>
      <c r="BX59" s="25"/>
      <c r="BY59" s="25"/>
      <c r="BZ59" s="25"/>
      <c r="CA59" s="116"/>
      <c r="CB59" s="25"/>
      <c r="CC59" s="25"/>
      <c r="CD59" s="25"/>
      <c r="CE59" s="25"/>
      <c r="CF59" s="25"/>
    </row>
    <row r="60" spans="1:84" s="3" customFormat="1" ht="13.5" customHeight="1">
      <c r="A60" s="2"/>
      <c r="B60" s="27" t="s">
        <v>167</v>
      </c>
      <c r="C60" s="30"/>
      <c r="D60" s="28">
        <v>303</v>
      </c>
      <c r="E60" s="218">
        <f>F60-D60</f>
        <v>136</v>
      </c>
      <c r="F60" s="294">
        <v>439</v>
      </c>
      <c r="G60" s="117"/>
      <c r="H60" s="267">
        <f>313-F60</f>
        <v>-126</v>
      </c>
      <c r="I60" s="28">
        <f t="shared" si="10"/>
        <v>-10</v>
      </c>
      <c r="J60" s="28">
        <f>L60-F60</f>
        <v>-136</v>
      </c>
      <c r="K60" s="28"/>
      <c r="L60" s="28">
        <v>303</v>
      </c>
      <c r="M60" s="30"/>
      <c r="N60" s="28">
        <v>22</v>
      </c>
      <c r="O60" s="218">
        <f>P60-N60</f>
        <v>11.649999999999999</v>
      </c>
      <c r="P60" s="294">
        <v>33.65</v>
      </c>
      <c r="Q60" s="117"/>
      <c r="R60" s="267">
        <f>61-P60</f>
        <v>27.35</v>
      </c>
      <c r="S60" s="28">
        <f t="shared" ref="S60" si="17">T60-R60</f>
        <v>199.57999999999998</v>
      </c>
      <c r="T60" s="28">
        <f t="shared" ref="T60" si="18">V60-P60</f>
        <v>226.92999999999998</v>
      </c>
      <c r="U60" s="28"/>
      <c r="V60" s="28">
        <v>260.58</v>
      </c>
      <c r="X60" s="28">
        <v>-38</v>
      </c>
      <c r="Y60" s="218">
        <f t="shared" ref="Y60" si="19">+Z60-X60</f>
        <v>3</v>
      </c>
      <c r="Z60" s="218">
        <v>-35</v>
      </c>
      <c r="AA60" s="117"/>
      <c r="AB60" s="267">
        <f>-45-Z60</f>
        <v>-10</v>
      </c>
      <c r="AC60" s="28">
        <f t="shared" si="15"/>
        <v>62.760000000000005</v>
      </c>
      <c r="AD60" s="28">
        <f t="shared" si="16"/>
        <v>52.760000000000005</v>
      </c>
      <c r="AE60" s="28"/>
      <c r="AF60" s="28">
        <v>17.760000000000002</v>
      </c>
      <c r="AI60" s="25"/>
      <c r="AJ60" s="25"/>
      <c r="AK60" s="25"/>
      <c r="AL60" s="116"/>
      <c r="AM60" s="25"/>
      <c r="AN60" s="25"/>
      <c r="AO60" s="25"/>
      <c r="AP60" s="25"/>
      <c r="AQ60" s="25"/>
      <c r="AS60" s="25"/>
      <c r="AT60" s="25"/>
      <c r="AU60" s="25"/>
      <c r="AV60" s="116"/>
      <c r="AW60" s="25"/>
      <c r="AX60" s="25"/>
      <c r="AY60" s="25"/>
      <c r="AZ60" s="25"/>
      <c r="BA60" s="25"/>
      <c r="BC60" s="25"/>
      <c r="BD60" s="25"/>
      <c r="BE60" s="25"/>
      <c r="BF60" s="116"/>
      <c r="BG60" s="25"/>
      <c r="BH60" s="25"/>
      <c r="BI60" s="25"/>
      <c r="BJ60" s="25"/>
      <c r="BK60" s="25"/>
      <c r="BM60" s="25"/>
      <c r="BN60" s="25"/>
      <c r="BO60" s="25"/>
      <c r="BP60" s="116"/>
      <c r="BQ60" s="25"/>
      <c r="BR60" s="25"/>
      <c r="BS60" s="25"/>
      <c r="BT60" s="25"/>
      <c r="BU60" s="25"/>
      <c r="BX60" s="25"/>
      <c r="BY60" s="25"/>
      <c r="BZ60" s="25"/>
      <c r="CA60" s="116"/>
      <c r="CB60" s="25"/>
      <c r="CC60" s="25"/>
      <c r="CD60" s="25"/>
      <c r="CE60" s="25"/>
      <c r="CF60" s="25"/>
    </row>
    <row r="61" spans="1:84" s="3" customFormat="1" ht="13.5" customHeight="1">
      <c r="A61" s="2"/>
      <c r="B61" s="34" t="s">
        <v>172</v>
      </c>
      <c r="C61" s="35"/>
      <c r="D61" s="242"/>
      <c r="E61" s="219"/>
      <c r="F61" s="295"/>
      <c r="G61" s="119"/>
      <c r="H61" s="218"/>
      <c r="I61" s="28">
        <f>J61-H61</f>
        <v>-32</v>
      </c>
      <c r="J61" s="28">
        <v>-32</v>
      </c>
      <c r="K61" s="28"/>
      <c r="L61" s="235">
        <v>-32</v>
      </c>
      <c r="M61" s="35"/>
      <c r="N61" s="242"/>
      <c r="O61" s="219"/>
      <c r="P61" s="295"/>
      <c r="Q61" s="119"/>
      <c r="R61" s="218">
        <v>-72</v>
      </c>
      <c r="S61" s="28"/>
      <c r="T61" s="28"/>
      <c r="U61" s="28"/>
      <c r="V61" s="235"/>
      <c r="X61" s="242"/>
      <c r="Y61" s="219"/>
      <c r="Z61" s="219"/>
      <c r="AA61" s="119"/>
      <c r="AB61" s="218"/>
      <c r="AC61" s="28"/>
      <c r="AD61" s="28"/>
      <c r="AE61" s="28"/>
      <c r="AF61" s="235"/>
      <c r="AI61" s="25"/>
      <c r="AJ61" s="25"/>
      <c r="AK61" s="25"/>
      <c r="AL61" s="116"/>
      <c r="AM61" s="25"/>
      <c r="AN61" s="25"/>
      <c r="AO61" s="25"/>
      <c r="AP61" s="25"/>
      <c r="AQ61" s="25"/>
      <c r="AS61" s="25"/>
      <c r="AT61" s="25"/>
      <c r="AU61" s="25"/>
      <c r="AV61" s="116"/>
      <c r="AW61" s="25"/>
      <c r="AX61" s="25"/>
      <c r="AY61" s="25"/>
      <c r="AZ61" s="25"/>
      <c r="BA61" s="25"/>
      <c r="BC61" s="25"/>
      <c r="BD61" s="25"/>
      <c r="BE61" s="25"/>
      <c r="BF61" s="116"/>
      <c r="BG61" s="25"/>
      <c r="BH61" s="25"/>
      <c r="BI61" s="25"/>
      <c r="BJ61" s="25"/>
      <c r="BK61" s="25"/>
      <c r="BM61" s="25"/>
      <c r="BN61" s="25"/>
      <c r="BO61" s="25"/>
      <c r="BP61" s="116"/>
      <c r="BQ61" s="25"/>
      <c r="BR61" s="25"/>
      <c r="BS61" s="25"/>
      <c r="BT61" s="25"/>
      <c r="BU61" s="25"/>
      <c r="BX61" s="25"/>
      <c r="BY61" s="25"/>
      <c r="BZ61" s="25"/>
      <c r="CA61" s="116"/>
      <c r="CB61" s="25"/>
      <c r="CC61" s="25"/>
      <c r="CD61" s="25"/>
      <c r="CE61" s="25"/>
      <c r="CF61" s="25"/>
    </row>
    <row r="62" spans="1:84" s="3" customFormat="1" ht="13.5" customHeight="1">
      <c r="A62" s="2"/>
      <c r="B62" s="34" t="s">
        <v>58</v>
      </c>
      <c r="C62" s="35"/>
      <c r="D62" s="108">
        <f>+SUM(D58:D61)</f>
        <v>5675</v>
      </c>
      <c r="E62" s="219">
        <v>4303</v>
      </c>
      <c r="F62" s="295">
        <v>4303</v>
      </c>
      <c r="G62" s="119"/>
      <c r="H62" s="219">
        <v>4437</v>
      </c>
      <c r="I62" s="108">
        <v>3115</v>
      </c>
      <c r="J62" s="108">
        <f>+J58+J59+J60+J61</f>
        <v>3115</v>
      </c>
      <c r="K62" s="162"/>
      <c r="L62" s="162">
        <v>3115</v>
      </c>
      <c r="M62" s="35"/>
      <c r="N62" s="108">
        <f>+SUM(N58:N61)</f>
        <v>4227.3599999999997</v>
      </c>
      <c r="O62" s="219">
        <f>+O58+O59+O60</f>
        <v>3633.1</v>
      </c>
      <c r="P62" s="295">
        <v>3633.1</v>
      </c>
      <c r="Q62" s="119"/>
      <c r="R62" s="219">
        <v>4593</v>
      </c>
      <c r="S62" s="108">
        <f>+S58+S59+S60</f>
        <v>5167.88</v>
      </c>
      <c r="T62" s="108">
        <v>5240</v>
      </c>
      <c r="U62" s="162"/>
      <c r="V62" s="162">
        <v>5239.88</v>
      </c>
      <c r="X62" s="108">
        <f>+SUM(X58:X61)</f>
        <v>4605</v>
      </c>
      <c r="Y62" s="219">
        <f>+Y58+Y59+Y60</f>
        <v>3739</v>
      </c>
      <c r="Z62" s="219">
        <v>3739</v>
      </c>
      <c r="AA62" s="119"/>
      <c r="AB62" s="219">
        <f>+AB59+AB58+AB60</f>
        <v>4950</v>
      </c>
      <c r="AC62" s="108">
        <f>+AC58+AC59+AC60</f>
        <v>4122.9800000000005</v>
      </c>
      <c r="AD62" s="108">
        <v>4123</v>
      </c>
      <c r="AE62" s="162"/>
      <c r="AF62" s="162">
        <v>4123</v>
      </c>
      <c r="AI62" s="25"/>
      <c r="AJ62" s="25"/>
      <c r="AK62" s="25"/>
      <c r="AL62" s="116"/>
      <c r="AM62" s="25"/>
      <c r="AN62" s="25"/>
      <c r="AO62" s="25"/>
      <c r="AP62" s="25"/>
      <c r="AQ62" s="25"/>
      <c r="AS62" s="25"/>
      <c r="AT62" s="25"/>
      <c r="AU62" s="25"/>
      <c r="AV62" s="116"/>
      <c r="AW62" s="25"/>
      <c r="AX62" s="25"/>
      <c r="AY62" s="25"/>
      <c r="AZ62" s="25"/>
      <c r="BA62" s="25"/>
      <c r="BC62" s="25"/>
      <c r="BD62" s="25"/>
      <c r="BE62" s="25"/>
      <c r="BF62" s="116"/>
      <c r="BG62" s="25"/>
      <c r="BH62" s="25"/>
      <c r="BI62" s="25"/>
      <c r="BJ62" s="25"/>
      <c r="BK62" s="25"/>
      <c r="BM62" s="25"/>
      <c r="BN62" s="25"/>
      <c r="BO62" s="25"/>
      <c r="BP62" s="116"/>
      <c r="BQ62" s="25"/>
      <c r="BR62" s="25"/>
      <c r="BS62" s="25"/>
      <c r="BT62" s="25"/>
      <c r="BU62" s="25"/>
      <c r="BX62" s="25"/>
      <c r="BY62" s="25"/>
      <c r="BZ62" s="25"/>
      <c r="CA62" s="116"/>
      <c r="CB62" s="25"/>
      <c r="CC62" s="25"/>
      <c r="CD62" s="25"/>
      <c r="CE62" s="25"/>
      <c r="CF62" s="25"/>
    </row>
    <row r="63" spans="1:84" s="3" customFormat="1" ht="17.25" customHeight="1">
      <c r="A63" s="2"/>
      <c r="D63" s="24"/>
      <c r="E63" s="24"/>
      <c r="F63" s="24"/>
      <c r="N63" s="24"/>
      <c r="O63" s="24"/>
      <c r="P63" s="24"/>
      <c r="X63" s="24"/>
      <c r="Y63" s="24"/>
      <c r="Z63" s="24"/>
      <c r="AI63" s="24"/>
      <c r="AJ63" s="24"/>
      <c r="AK63" s="24"/>
      <c r="AS63" s="24"/>
      <c r="AT63" s="24"/>
      <c r="AU63" s="24"/>
      <c r="BC63" s="24"/>
      <c r="BD63" s="24"/>
      <c r="BE63" s="24"/>
      <c r="BM63" s="24"/>
      <c r="BN63" s="24"/>
      <c r="BO63" s="24"/>
      <c r="BX63" s="24"/>
      <c r="BY63" s="24"/>
      <c r="BZ63" s="24"/>
    </row>
    <row r="64" spans="1:84" s="3" customFormat="1" ht="16.2">
      <c r="A64" s="250" t="s">
        <v>59</v>
      </c>
    </row>
    <row r="65" spans="2:84">
      <c r="D65" s="244" t="str">
        <f>D5</f>
        <v>2022年度　（2022年4月-2023年3月）</v>
      </c>
      <c r="E65" s="244"/>
      <c r="F65" s="244"/>
      <c r="G65" s="244"/>
      <c r="H65" s="244"/>
      <c r="I65" s="244"/>
      <c r="J65" s="244"/>
      <c r="K65" s="244"/>
      <c r="L65" s="244"/>
      <c r="N65" s="244" t="str">
        <f>N5</f>
        <v>2021年度　（2021年4月-2022年3月）</v>
      </c>
      <c r="O65" s="244"/>
      <c r="P65" s="244"/>
      <c r="Q65" s="244"/>
      <c r="R65" s="244"/>
      <c r="S65" s="244"/>
      <c r="T65" s="244"/>
      <c r="U65" s="244"/>
      <c r="V65" s="244"/>
      <c r="X65" s="244" t="str">
        <f>X5</f>
        <v>2020年度　（2020年4月-2021年3月）</v>
      </c>
      <c r="Y65" s="244"/>
      <c r="Z65" s="244"/>
      <c r="AA65" s="244"/>
      <c r="AB65" s="244"/>
      <c r="AC65" s="244"/>
      <c r="AD65" s="244"/>
      <c r="AE65" s="244"/>
      <c r="AF65" s="244"/>
      <c r="AI65" s="5"/>
      <c r="AJ65" s="5"/>
      <c r="AK65" s="5"/>
      <c r="AL65" s="5"/>
      <c r="AM65" s="5"/>
      <c r="AN65" s="5"/>
      <c r="AO65" s="5"/>
      <c r="AP65" s="5"/>
      <c r="AQ65" s="5"/>
      <c r="AS65" s="5"/>
      <c r="AT65" s="5"/>
      <c r="AU65" s="5"/>
      <c r="AV65" s="5"/>
      <c r="AW65" s="5"/>
      <c r="AX65" s="5"/>
      <c r="AY65" s="5"/>
      <c r="AZ65" s="5"/>
      <c r="BA65" s="5"/>
      <c r="BC65" s="5"/>
      <c r="BD65" s="5"/>
      <c r="BE65" s="5"/>
      <c r="BF65" s="5"/>
      <c r="BG65" s="5"/>
      <c r="BH65" s="5"/>
      <c r="BI65" s="5"/>
      <c r="BJ65" s="5"/>
      <c r="BK65" s="5"/>
      <c r="BM65" s="5"/>
      <c r="BN65" s="5"/>
      <c r="BO65" s="5"/>
      <c r="BP65" s="5"/>
      <c r="BQ65" s="5"/>
      <c r="BR65" s="5"/>
      <c r="BS65" s="5"/>
      <c r="BT65" s="5"/>
      <c r="BU65" s="5"/>
      <c r="BX65" s="5"/>
      <c r="BY65" s="5"/>
      <c r="BZ65" s="5"/>
      <c r="CA65" s="5"/>
      <c r="CB65" s="5"/>
      <c r="CC65" s="5"/>
      <c r="CD65" s="5"/>
      <c r="CE65" s="5"/>
      <c r="CF65" s="5"/>
    </row>
    <row r="66" spans="2:84" ht="3.75" customHeight="1">
      <c r="D66" s="5"/>
      <c r="E66" s="5"/>
      <c r="F66" s="5"/>
      <c r="G66" s="5"/>
      <c r="H66" s="5"/>
      <c r="I66" s="5"/>
      <c r="J66" s="5"/>
      <c r="K66" s="5"/>
      <c r="L66" s="244"/>
      <c r="N66" s="5"/>
      <c r="O66" s="5"/>
      <c r="P66" s="5"/>
      <c r="Q66" s="5"/>
      <c r="R66" s="5"/>
      <c r="S66" s="5"/>
      <c r="T66" s="5"/>
      <c r="U66" s="5"/>
      <c r="V66" s="244"/>
      <c r="X66" s="5"/>
      <c r="Y66" s="5"/>
      <c r="Z66" s="5"/>
      <c r="AA66" s="5"/>
      <c r="AB66" s="5"/>
      <c r="AC66" s="5"/>
      <c r="AD66" s="5"/>
      <c r="AE66" s="5"/>
      <c r="AF66" s="244"/>
      <c r="AI66" s="5"/>
      <c r="AJ66" s="5"/>
      <c r="AK66" s="5"/>
      <c r="AL66" s="5"/>
      <c r="AM66" s="5"/>
      <c r="AN66" s="5"/>
      <c r="AO66" s="5"/>
      <c r="AP66" s="5"/>
      <c r="AQ66" s="5"/>
      <c r="AS66" s="5"/>
      <c r="AT66" s="5"/>
      <c r="AU66" s="5"/>
      <c r="AV66" s="5"/>
      <c r="AW66" s="5"/>
      <c r="AX66" s="5"/>
      <c r="AY66" s="5"/>
      <c r="AZ66" s="5"/>
      <c r="BA66" s="5"/>
      <c r="BC66" s="5"/>
      <c r="BD66" s="5"/>
      <c r="BE66" s="5"/>
      <c r="BF66" s="5"/>
      <c r="BG66" s="5"/>
      <c r="BH66" s="5"/>
      <c r="BI66" s="5"/>
      <c r="BJ66" s="5"/>
      <c r="BK66" s="5"/>
      <c r="BM66" s="5"/>
      <c r="BN66" s="5"/>
      <c r="BO66" s="5"/>
      <c r="BP66" s="5"/>
      <c r="BQ66" s="5"/>
      <c r="BR66" s="5"/>
      <c r="BS66" s="5"/>
      <c r="BT66" s="5"/>
      <c r="BU66" s="5"/>
      <c r="BX66" s="5"/>
      <c r="BY66" s="5"/>
      <c r="BZ66" s="5"/>
      <c r="CA66" s="5"/>
      <c r="CB66" s="5"/>
      <c r="CC66" s="5"/>
      <c r="CD66" s="5"/>
      <c r="CE66" s="5"/>
      <c r="CF66" s="5"/>
    </row>
    <row r="67" spans="2:84">
      <c r="D67" s="6"/>
      <c r="E67" s="6"/>
      <c r="F67" s="7" t="s">
        <v>28</v>
      </c>
      <c r="H67" s="7"/>
      <c r="I67" s="7"/>
      <c r="J67" s="7" t="s">
        <v>29</v>
      </c>
      <c r="L67" s="245" t="s">
        <v>30</v>
      </c>
      <c r="N67" s="6"/>
      <c r="O67" s="6"/>
      <c r="P67" s="7" t="s">
        <v>28</v>
      </c>
      <c r="R67" s="7"/>
      <c r="S67" s="7"/>
      <c r="T67" s="7" t="s">
        <v>29</v>
      </c>
      <c r="V67" s="245" t="s">
        <v>30</v>
      </c>
      <c r="X67" s="6"/>
      <c r="Y67" s="6"/>
      <c r="Z67" s="7" t="s">
        <v>28</v>
      </c>
      <c r="AB67" s="7"/>
      <c r="AC67" s="7"/>
      <c r="AD67" s="7" t="s">
        <v>29</v>
      </c>
      <c r="AF67" s="245" t="s">
        <v>30</v>
      </c>
      <c r="AK67" s="8"/>
      <c r="AM67" s="8"/>
      <c r="AN67" s="8"/>
      <c r="AO67" s="8"/>
      <c r="AQ67" s="8"/>
      <c r="AU67" s="8"/>
      <c r="AW67" s="8"/>
      <c r="AX67" s="8"/>
      <c r="AY67" s="8"/>
      <c r="BA67" s="8"/>
      <c r="BE67" s="8"/>
      <c r="BG67" s="8"/>
      <c r="BH67" s="8"/>
      <c r="BI67" s="8"/>
      <c r="BK67" s="8"/>
      <c r="BO67" s="8"/>
      <c r="BQ67" s="8"/>
      <c r="BR67" s="8"/>
      <c r="BS67" s="8"/>
      <c r="BU67" s="8"/>
      <c r="BZ67" s="8"/>
      <c r="CB67" s="8"/>
      <c r="CC67" s="8"/>
      <c r="CD67" s="8"/>
      <c r="CF67" s="8"/>
    </row>
    <row r="68" spans="2:84" s="9" customFormat="1" ht="10.8">
      <c r="D68" s="9" t="s">
        <v>31</v>
      </c>
      <c r="E68" s="9" t="s">
        <v>32</v>
      </c>
      <c r="F68" s="10" t="s">
        <v>33</v>
      </c>
      <c r="H68" s="9" t="s">
        <v>7</v>
      </c>
      <c r="I68" s="9" t="s">
        <v>8</v>
      </c>
      <c r="J68" s="10"/>
      <c r="L68" s="246"/>
      <c r="N68" s="9" t="s">
        <v>31</v>
      </c>
      <c r="O68" s="9" t="s">
        <v>32</v>
      </c>
      <c r="P68" s="10" t="s">
        <v>33</v>
      </c>
      <c r="R68" s="9" t="s">
        <v>7</v>
      </c>
      <c r="S68" s="9" t="s">
        <v>8</v>
      </c>
      <c r="T68" s="10"/>
      <c r="V68" s="246"/>
      <c r="X68" s="9" t="s">
        <v>31</v>
      </c>
      <c r="Y68" s="9" t="s">
        <v>32</v>
      </c>
      <c r="Z68" s="10" t="s">
        <v>33</v>
      </c>
      <c r="AB68" s="9" t="s">
        <v>7</v>
      </c>
      <c r="AC68" s="9" t="s">
        <v>8</v>
      </c>
      <c r="AD68" s="10"/>
      <c r="AF68" s="246"/>
      <c r="AK68" s="11"/>
      <c r="AO68" s="11"/>
      <c r="AQ68" s="11"/>
      <c r="AU68" s="11"/>
      <c r="AY68" s="11"/>
      <c r="BA68" s="11"/>
      <c r="BE68" s="11"/>
      <c r="BI68" s="11"/>
      <c r="BK68" s="11"/>
      <c r="BO68" s="11"/>
      <c r="BS68" s="11"/>
      <c r="BU68" s="11"/>
      <c r="BZ68" s="11"/>
      <c r="CD68" s="11"/>
      <c r="CF68" s="11"/>
    </row>
    <row r="69" spans="2:84" s="9" customFormat="1" ht="10.8">
      <c r="D69" s="9" t="s">
        <v>34</v>
      </c>
      <c r="E69" s="9" t="s">
        <v>35</v>
      </c>
      <c r="F69" s="10" t="s">
        <v>36</v>
      </c>
      <c r="H69" s="9" t="s">
        <v>12</v>
      </c>
      <c r="I69" s="9" t="s">
        <v>13</v>
      </c>
      <c r="J69" s="10" t="s">
        <v>37</v>
      </c>
      <c r="L69" s="246" t="s">
        <v>38</v>
      </c>
      <c r="N69" s="9" t="s">
        <v>34</v>
      </c>
      <c r="O69" s="9" t="s">
        <v>35</v>
      </c>
      <c r="P69" s="10" t="s">
        <v>36</v>
      </c>
      <c r="R69" s="9" t="s">
        <v>12</v>
      </c>
      <c r="S69" s="9" t="s">
        <v>13</v>
      </c>
      <c r="T69" s="10" t="s">
        <v>37</v>
      </c>
      <c r="V69" s="246" t="s">
        <v>38</v>
      </c>
      <c r="X69" s="9" t="s">
        <v>34</v>
      </c>
      <c r="Y69" s="9" t="s">
        <v>35</v>
      </c>
      <c r="Z69" s="10" t="s">
        <v>36</v>
      </c>
      <c r="AB69" s="9" t="s">
        <v>12</v>
      </c>
      <c r="AC69" s="9" t="s">
        <v>13</v>
      </c>
      <c r="AD69" s="10" t="s">
        <v>37</v>
      </c>
      <c r="AF69" s="246" t="s">
        <v>38</v>
      </c>
      <c r="AK69" s="11"/>
      <c r="AO69" s="11"/>
      <c r="AQ69" s="11"/>
      <c r="AU69" s="11"/>
      <c r="AY69" s="11"/>
      <c r="BA69" s="11"/>
      <c r="BE69" s="11"/>
      <c r="BI69" s="11"/>
      <c r="BK69" s="11"/>
      <c r="BO69" s="11"/>
      <c r="BS69" s="11"/>
      <c r="BU69" s="11"/>
      <c r="BZ69" s="11"/>
      <c r="CD69" s="11"/>
      <c r="CF69" s="11"/>
    </row>
    <row r="70" spans="2:84" s="9" customFormat="1" ht="5.0999999999999996" customHeight="1">
      <c r="F70" s="11"/>
      <c r="J70" s="11"/>
      <c r="L70" s="11"/>
      <c r="P70" s="11"/>
      <c r="T70" s="11"/>
      <c r="V70" s="11"/>
      <c r="Z70" s="11"/>
      <c r="AD70" s="11"/>
      <c r="AF70" s="11"/>
      <c r="AK70" s="11"/>
      <c r="AO70" s="11"/>
      <c r="AQ70" s="11"/>
      <c r="AU70" s="11"/>
      <c r="AY70" s="11"/>
      <c r="BA70" s="11"/>
      <c r="BE70" s="11"/>
      <c r="BI70" s="11"/>
      <c r="BK70" s="11"/>
      <c r="BO70" s="11"/>
      <c r="BS70" s="11"/>
      <c r="BU70" s="11"/>
      <c r="BZ70" s="11"/>
      <c r="CD70" s="11"/>
      <c r="CF70" s="11"/>
    </row>
    <row r="71" spans="2:84" ht="13.5" customHeight="1">
      <c r="B71" t="s">
        <v>168</v>
      </c>
      <c r="D71" s="176">
        <v>968.96</v>
      </c>
      <c r="E71" s="141"/>
      <c r="F71" s="255">
        <v>999.66</v>
      </c>
      <c r="G71" s="40"/>
      <c r="H71" s="300">
        <v>931.43</v>
      </c>
      <c r="I71" s="241"/>
      <c r="J71" s="241"/>
      <c r="K71" s="41"/>
      <c r="L71" s="198">
        <v>948.67</v>
      </c>
      <c r="N71" s="176">
        <v>747.3</v>
      </c>
      <c r="O71" s="141"/>
      <c r="P71" s="255">
        <v>788.08</v>
      </c>
      <c r="Q71" s="40"/>
      <c r="R71" s="268">
        <v>815.39</v>
      </c>
      <c r="S71" s="241"/>
      <c r="T71" s="241"/>
      <c r="U71" s="41"/>
      <c r="V71" s="198">
        <v>890.88</v>
      </c>
      <c r="X71" s="176">
        <v>694.89</v>
      </c>
      <c r="Y71" s="141"/>
      <c r="Z71" s="255">
        <v>709.67</v>
      </c>
      <c r="AA71" s="40"/>
      <c r="AB71" s="268">
        <v>710.48</v>
      </c>
      <c r="AC71" s="241"/>
      <c r="AD71" s="241"/>
      <c r="AE71" s="41"/>
      <c r="AF71" s="198">
        <v>724.18</v>
      </c>
      <c r="AI71" s="212"/>
      <c r="AJ71" s="156"/>
      <c r="AK71" s="156"/>
      <c r="AL71" s="40"/>
      <c r="AM71" s="212"/>
      <c r="AN71" s="40"/>
      <c r="AO71" s="40"/>
      <c r="AP71" s="41"/>
      <c r="AQ71" s="198"/>
      <c r="AS71" s="212"/>
      <c r="AT71" s="156"/>
      <c r="AU71" s="156"/>
      <c r="AV71" s="40"/>
      <c r="AW71" s="156"/>
      <c r="AX71" s="40"/>
      <c r="AY71" s="40"/>
      <c r="AZ71" s="41"/>
      <c r="BA71" s="156"/>
      <c r="BC71" s="156"/>
      <c r="BD71" s="156"/>
      <c r="BE71" s="156"/>
      <c r="BF71" s="40"/>
      <c r="BG71" s="156"/>
      <c r="BH71" s="40"/>
      <c r="BI71" s="40"/>
      <c r="BJ71" s="41"/>
      <c r="BK71" s="156"/>
      <c r="BM71" s="156"/>
      <c r="BN71" s="156"/>
      <c r="BO71" s="156"/>
      <c r="BP71" s="40"/>
      <c r="BQ71" s="156"/>
      <c r="BR71" s="40"/>
      <c r="BS71" s="40"/>
      <c r="BT71" s="41"/>
      <c r="BU71" s="156"/>
      <c r="BX71" s="156"/>
      <c r="BY71" s="156"/>
      <c r="BZ71" s="156"/>
      <c r="CA71" s="40"/>
      <c r="CB71" s="156"/>
      <c r="CC71" s="40"/>
      <c r="CD71" s="40"/>
      <c r="CE71" s="41"/>
      <c r="CF71" s="156"/>
    </row>
    <row r="72" spans="2:84" ht="13.5" customHeight="1">
      <c r="B72" t="s">
        <v>61</v>
      </c>
      <c r="D72" s="297">
        <v>69.31</v>
      </c>
      <c r="E72" s="255">
        <v>8.82</v>
      </c>
      <c r="F72" s="256">
        <v>78.95</v>
      </c>
      <c r="G72" s="40"/>
      <c r="H72" s="309">
        <f>30.87-F72</f>
        <v>-48.08</v>
      </c>
      <c r="I72" s="116">
        <f>J72-H72</f>
        <v>15.699999999999996</v>
      </c>
      <c r="J72" s="196">
        <f>L72-F72</f>
        <v>-32.380000000000003</v>
      </c>
      <c r="K72" s="197"/>
      <c r="L72" s="196">
        <v>46.57</v>
      </c>
      <c r="N72" s="177">
        <v>30.41</v>
      </c>
      <c r="O72" s="255">
        <f>P72-N72</f>
        <v>35.42</v>
      </c>
      <c r="P72" s="256">
        <v>65.83</v>
      </c>
      <c r="Q72" s="40"/>
      <c r="R72" s="269">
        <v>37.51</v>
      </c>
      <c r="S72" s="116">
        <f>T72-R72</f>
        <v>63.930000000000014</v>
      </c>
      <c r="T72" s="196">
        <f>V72-P72</f>
        <v>101.44000000000001</v>
      </c>
      <c r="U72" s="197"/>
      <c r="V72" s="196">
        <v>167.27</v>
      </c>
      <c r="X72" s="177">
        <v>-1.52</v>
      </c>
      <c r="Y72" s="255">
        <f>Z72-X72</f>
        <v>12.85</v>
      </c>
      <c r="Z72" s="217">
        <v>11.33</v>
      </c>
      <c r="AA72" s="40"/>
      <c r="AB72" s="269">
        <f>20.85-Z72</f>
        <v>9.5200000000000014</v>
      </c>
      <c r="AC72" s="116">
        <f>AD72-AB72</f>
        <v>14.629999999999997</v>
      </c>
      <c r="AD72" s="196">
        <f>AF72-Z72</f>
        <v>24.15</v>
      </c>
      <c r="AE72" s="197"/>
      <c r="AF72" s="196">
        <v>35.479999999999997</v>
      </c>
      <c r="AI72" s="177"/>
      <c r="AJ72" s="156"/>
      <c r="AK72" s="156"/>
      <c r="AL72" s="40"/>
      <c r="AM72" s="177"/>
      <c r="AN72" s="116"/>
      <c r="AO72" s="196"/>
      <c r="AP72" s="197"/>
      <c r="AQ72" s="196"/>
      <c r="AS72" s="177"/>
      <c r="AT72" s="156"/>
      <c r="AU72" s="156"/>
      <c r="AV72" s="40"/>
      <c r="AW72" s="40"/>
      <c r="AX72" s="116"/>
      <c r="AY72" s="40"/>
      <c r="AZ72" s="41"/>
      <c r="BA72" s="40"/>
      <c r="BC72" s="136"/>
      <c r="BD72" s="156"/>
      <c r="BE72" s="156"/>
      <c r="BF72" s="40"/>
      <c r="BG72" s="40"/>
      <c r="BH72" s="116"/>
      <c r="BI72" s="40"/>
      <c r="BJ72" s="41"/>
      <c r="BK72" s="40"/>
      <c r="BM72" s="156"/>
      <c r="BN72" s="156"/>
      <c r="BO72" s="156"/>
      <c r="BP72" s="40"/>
      <c r="BQ72" s="40"/>
      <c r="BR72" s="116"/>
      <c r="BS72" s="40"/>
      <c r="BT72" s="41"/>
      <c r="BU72" s="40"/>
      <c r="BX72" s="156"/>
      <c r="BY72" s="156"/>
      <c r="BZ72" s="156"/>
      <c r="CA72" s="40"/>
      <c r="CB72" s="40"/>
      <c r="CC72" s="116"/>
      <c r="CD72" s="40"/>
      <c r="CE72" s="41"/>
      <c r="CF72" s="40"/>
    </row>
    <row r="73" spans="2:84" ht="3.75" customHeight="1">
      <c r="D73" s="38"/>
      <c r="E73" s="141"/>
      <c r="F73" s="255"/>
      <c r="G73" s="40"/>
      <c r="H73" s="256"/>
      <c r="I73" s="241"/>
      <c r="J73" s="40"/>
      <c r="K73" s="41"/>
      <c r="L73" s="40"/>
      <c r="N73" s="38"/>
      <c r="O73" s="141"/>
      <c r="P73" s="255"/>
      <c r="Q73" s="40"/>
      <c r="R73" s="256"/>
      <c r="S73" s="241"/>
      <c r="T73" s="40"/>
      <c r="U73" s="41"/>
      <c r="V73" s="40"/>
      <c r="X73" s="38"/>
      <c r="Y73" s="141"/>
      <c r="Z73" s="255"/>
      <c r="AA73" s="40"/>
      <c r="AB73" s="256"/>
      <c r="AC73" s="241"/>
      <c r="AD73" s="40"/>
      <c r="AE73" s="41"/>
      <c r="AF73" s="40"/>
      <c r="AI73" s="156"/>
      <c r="AJ73" s="156"/>
      <c r="AK73" s="156"/>
      <c r="AL73" s="40"/>
      <c r="AM73" s="40"/>
      <c r="AN73" s="40"/>
      <c r="AO73" s="40"/>
      <c r="AP73" s="41"/>
      <c r="AQ73" s="40"/>
      <c r="AS73" s="156"/>
      <c r="AT73" s="156"/>
      <c r="AU73" s="156"/>
      <c r="AV73" s="40"/>
      <c r="AW73" s="40"/>
      <c r="AX73" s="40"/>
      <c r="AY73" s="40"/>
      <c r="AZ73" s="41"/>
      <c r="BA73" s="40"/>
      <c r="BC73" s="156"/>
      <c r="BD73" s="156"/>
      <c r="BE73" s="156"/>
      <c r="BF73" s="40"/>
      <c r="BG73" s="40"/>
      <c r="BH73" s="40"/>
      <c r="BI73" s="40"/>
      <c r="BJ73" s="41"/>
      <c r="BK73" s="40"/>
      <c r="BM73" s="156"/>
      <c r="BN73" s="156"/>
      <c r="BO73" s="156"/>
      <c r="BP73" s="40"/>
      <c r="BQ73" s="40"/>
      <c r="BR73" s="40"/>
      <c r="BS73" s="40"/>
      <c r="BT73" s="41"/>
      <c r="BU73" s="40"/>
      <c r="BX73" s="156"/>
      <c r="BY73" s="156"/>
      <c r="BZ73" s="156"/>
      <c r="CA73" s="40"/>
      <c r="CB73" s="40"/>
      <c r="CC73" s="40"/>
      <c r="CD73" s="40"/>
      <c r="CE73" s="41"/>
      <c r="CF73" s="40"/>
    </row>
    <row r="74" spans="2:84" s="9" customFormat="1" ht="13.5" customHeight="1">
      <c r="B74" t="s">
        <v>62</v>
      </c>
      <c r="D74" s="135" t="s">
        <v>107</v>
      </c>
      <c r="E74" s="142"/>
      <c r="F74" s="256">
        <v>11</v>
      </c>
      <c r="G74" s="40"/>
      <c r="H74" s="284" t="s">
        <v>104</v>
      </c>
      <c r="I74" s="241"/>
      <c r="J74" s="40">
        <v>11</v>
      </c>
      <c r="K74" s="43"/>
      <c r="L74" s="40">
        <v>22</v>
      </c>
      <c r="N74" s="135" t="s">
        <v>107</v>
      </c>
      <c r="O74" s="142"/>
      <c r="P74" s="256">
        <v>11</v>
      </c>
      <c r="Q74" s="40"/>
      <c r="R74" s="284" t="s">
        <v>104</v>
      </c>
      <c r="S74" s="241"/>
      <c r="T74" s="40">
        <v>11</v>
      </c>
      <c r="U74" s="43"/>
      <c r="V74" s="40">
        <v>22</v>
      </c>
      <c r="X74" s="135" t="s">
        <v>107</v>
      </c>
      <c r="Y74" s="142"/>
      <c r="Z74" s="256">
        <v>11</v>
      </c>
      <c r="AA74" s="40"/>
      <c r="AB74" s="284" t="str">
        <f>X74</f>
        <v>－</v>
      </c>
      <c r="AC74" s="241"/>
      <c r="AD74" s="40">
        <v>11</v>
      </c>
      <c r="AE74" s="43"/>
      <c r="AF74" s="40">
        <v>22</v>
      </c>
      <c r="AI74" s="135"/>
      <c r="AJ74" s="40"/>
      <c r="AK74" s="40"/>
      <c r="AL74" s="40"/>
      <c r="AM74" s="135"/>
      <c r="AN74" s="40"/>
      <c r="AO74" s="40"/>
      <c r="AP74" s="43"/>
      <c r="AQ74" s="40"/>
      <c r="AS74" s="135"/>
      <c r="AT74" s="40"/>
      <c r="AU74" s="40"/>
      <c r="AV74" s="40"/>
      <c r="AW74" s="135"/>
      <c r="AX74" s="40"/>
      <c r="AY74" s="40"/>
      <c r="AZ74" s="43"/>
      <c r="BA74" s="40"/>
      <c r="BC74" s="135"/>
      <c r="BD74" s="40"/>
      <c r="BE74" s="40"/>
      <c r="BF74" s="40"/>
      <c r="BG74" s="135"/>
      <c r="BH74" s="40"/>
      <c r="BI74" s="40"/>
      <c r="BJ74" s="43"/>
      <c r="BK74" s="40"/>
      <c r="BM74" s="40"/>
      <c r="BN74" s="40"/>
      <c r="BO74" s="40"/>
      <c r="BP74" s="40"/>
      <c r="BQ74" s="40"/>
      <c r="BR74" s="40"/>
      <c r="BS74" s="40"/>
      <c r="BT74" s="43"/>
      <c r="BU74" s="40"/>
      <c r="BX74" s="40"/>
      <c r="BY74" s="40"/>
      <c r="BZ74" s="40"/>
      <c r="CA74" s="40"/>
      <c r="CB74" s="40"/>
      <c r="CC74" s="40"/>
      <c r="CD74" s="40"/>
      <c r="CE74" s="43"/>
      <c r="CF74" s="40"/>
    </row>
    <row r="75" spans="2:84" s="9" customFormat="1" ht="13.5" customHeight="1">
      <c r="B75" s="44"/>
      <c r="D75" s="40"/>
      <c r="E75" s="40"/>
      <c r="F75" s="256"/>
      <c r="G75" s="40"/>
      <c r="H75" s="256"/>
      <c r="I75" s="40"/>
      <c r="J75" s="40"/>
      <c r="K75" s="40"/>
      <c r="L75" s="40"/>
      <c r="N75" s="40"/>
      <c r="O75" s="40"/>
      <c r="P75" s="256"/>
      <c r="Q75" s="40"/>
      <c r="R75" s="256"/>
      <c r="S75" s="40"/>
      <c r="T75" s="40"/>
      <c r="U75" s="40"/>
      <c r="V75" s="40"/>
      <c r="X75" s="40"/>
      <c r="Y75" s="40"/>
      <c r="Z75" s="256"/>
      <c r="AA75" s="40"/>
      <c r="AB75" s="256"/>
      <c r="AC75" s="40"/>
      <c r="AD75" s="40"/>
      <c r="AE75" s="40"/>
      <c r="AF75" s="40"/>
      <c r="AI75" s="40"/>
      <c r="AJ75" s="40"/>
      <c r="AK75" s="40"/>
      <c r="AL75" s="40"/>
      <c r="AM75" s="40"/>
      <c r="AN75" s="40"/>
      <c r="AO75" s="40"/>
      <c r="AP75" s="43"/>
      <c r="AQ75" s="40"/>
      <c r="AS75" s="40"/>
      <c r="AT75" s="40"/>
      <c r="AU75" s="40"/>
      <c r="AV75" s="40"/>
      <c r="AW75" s="40"/>
      <c r="AX75" s="40"/>
      <c r="AY75" s="40"/>
      <c r="AZ75" s="43"/>
      <c r="BA75" s="40"/>
      <c r="BC75" s="40"/>
      <c r="BD75" s="40"/>
      <c r="BE75" s="40"/>
      <c r="BF75" s="40"/>
      <c r="BG75" s="40"/>
      <c r="BH75" s="40"/>
      <c r="BI75" s="40"/>
      <c r="BJ75" s="43"/>
      <c r="BK75" s="40"/>
      <c r="BM75" s="40"/>
      <c r="BN75" s="40"/>
      <c r="BO75" s="40"/>
      <c r="BP75" s="40"/>
      <c r="BQ75" s="40"/>
      <c r="BR75" s="40"/>
      <c r="BS75" s="40"/>
      <c r="BT75" s="43"/>
      <c r="BU75" s="40"/>
      <c r="BX75" s="40"/>
      <c r="BY75" s="40"/>
      <c r="BZ75" s="40"/>
      <c r="CA75" s="40"/>
      <c r="CB75" s="40"/>
      <c r="CC75" s="40"/>
      <c r="CD75" s="40"/>
      <c r="CE75" s="43"/>
      <c r="CF75" s="40"/>
    </row>
    <row r="76" spans="2:84" s="9" customFormat="1" ht="13.5" customHeight="1">
      <c r="B76" t="s">
        <v>63</v>
      </c>
      <c r="D76" s="40"/>
      <c r="E76" s="40"/>
      <c r="F76" s="256"/>
      <c r="G76" s="40"/>
      <c r="H76" s="256"/>
      <c r="I76" s="40"/>
      <c r="J76" s="40"/>
      <c r="K76" s="40"/>
      <c r="L76" s="40"/>
      <c r="N76" s="40"/>
      <c r="O76" s="40"/>
      <c r="P76" s="256"/>
      <c r="Q76" s="40"/>
      <c r="R76" s="256"/>
      <c r="S76" s="40"/>
      <c r="T76" s="40"/>
      <c r="U76" s="40"/>
      <c r="V76" s="40"/>
      <c r="X76" s="40"/>
      <c r="Y76" s="40"/>
      <c r="Z76" s="256"/>
      <c r="AA76" s="40"/>
      <c r="AB76" s="256"/>
      <c r="AC76" s="40"/>
      <c r="AD76" s="40"/>
      <c r="AE76" s="40"/>
      <c r="AF76" s="40"/>
      <c r="AI76" s="40"/>
      <c r="AJ76" s="40"/>
      <c r="AK76" s="40"/>
      <c r="AL76" s="40"/>
      <c r="AM76" s="40"/>
      <c r="AN76" s="40"/>
      <c r="AO76" s="40"/>
      <c r="AP76" s="43"/>
      <c r="AQ76" s="40"/>
      <c r="AS76" s="40"/>
      <c r="AT76" s="40"/>
      <c r="AU76" s="40"/>
      <c r="AV76" s="40"/>
      <c r="AW76" s="40"/>
      <c r="AX76" s="40"/>
      <c r="AY76" s="40"/>
      <c r="AZ76" s="43"/>
      <c r="BA76" s="40"/>
      <c r="BC76" s="40"/>
      <c r="BD76" s="40"/>
      <c r="BE76" s="40"/>
      <c r="BF76" s="40"/>
      <c r="BG76" s="40"/>
      <c r="BH76" s="40"/>
      <c r="BI76" s="40"/>
      <c r="BJ76" s="43"/>
      <c r="BK76" s="40"/>
      <c r="BM76" s="40"/>
      <c r="BN76" s="40"/>
      <c r="BO76" s="40"/>
      <c r="BP76" s="40"/>
      <c r="BQ76" s="40"/>
      <c r="BR76" s="40"/>
      <c r="BS76" s="40"/>
      <c r="BT76" s="43"/>
      <c r="BU76" s="40"/>
      <c r="BX76" s="40"/>
      <c r="BY76" s="40"/>
      <c r="BZ76" s="40"/>
      <c r="CA76" s="40"/>
      <c r="CB76" s="40"/>
      <c r="CC76" s="40"/>
      <c r="CD76" s="40"/>
      <c r="CE76" s="43"/>
      <c r="CF76" s="40"/>
    </row>
    <row r="77" spans="2:84" s="9" customFormat="1" ht="13.5" customHeight="1">
      <c r="B77" t="s">
        <v>64</v>
      </c>
      <c r="D77" s="46">
        <v>3230283</v>
      </c>
      <c r="E77" s="124"/>
      <c r="F77" s="257">
        <v>3230283</v>
      </c>
      <c r="G77" s="46"/>
      <c r="H77" s="270">
        <v>3230283</v>
      </c>
      <c r="I77" s="124"/>
      <c r="J77" s="124"/>
      <c r="K77" s="48"/>
      <c r="L77" s="46">
        <v>3032851</v>
      </c>
      <c r="N77" s="46">
        <v>3230283</v>
      </c>
      <c r="O77" s="124"/>
      <c r="P77" s="257">
        <v>3230283</v>
      </c>
      <c r="Q77" s="46"/>
      <c r="R77" s="270">
        <v>3230282.6490000002</v>
      </c>
      <c r="S77" s="124"/>
      <c r="T77" s="124"/>
      <c r="U77" s="48"/>
      <c r="V77" s="46">
        <v>3230283</v>
      </c>
      <c r="X77" s="46">
        <v>3230283</v>
      </c>
      <c r="Y77" s="124"/>
      <c r="Z77" s="257">
        <v>3230283</v>
      </c>
      <c r="AA77" s="46"/>
      <c r="AB77" s="270">
        <v>3230283</v>
      </c>
      <c r="AC77" s="124"/>
      <c r="AD77" s="124"/>
      <c r="AE77" s="48"/>
      <c r="AF77" s="46">
        <v>3230283</v>
      </c>
      <c r="AI77" s="157"/>
      <c r="AJ77" s="157"/>
      <c r="AK77" s="157"/>
      <c r="AL77" s="157"/>
      <c r="AM77" s="157"/>
      <c r="AN77" s="157"/>
      <c r="AO77" s="157"/>
      <c r="AP77" s="213"/>
      <c r="AQ77" s="157"/>
      <c r="AS77" s="157"/>
      <c r="AT77" s="157"/>
      <c r="AU77" s="157"/>
      <c r="AV77" s="157"/>
      <c r="AW77" s="157"/>
      <c r="AX77" s="157"/>
      <c r="AY77" s="157"/>
      <c r="AZ77" s="213"/>
      <c r="BA77" s="157"/>
      <c r="BC77" s="157"/>
      <c r="BD77" s="157"/>
      <c r="BE77" s="157"/>
      <c r="BF77" s="157"/>
      <c r="BG77" s="157"/>
      <c r="BH77" s="157"/>
      <c r="BI77" s="157"/>
      <c r="BJ77" s="213"/>
      <c r="BK77" s="157"/>
      <c r="BM77" s="157"/>
      <c r="BN77" s="157"/>
      <c r="BO77" s="157"/>
      <c r="BP77" s="157"/>
      <c r="BQ77" s="157"/>
      <c r="BR77" s="157"/>
      <c r="BS77" s="157"/>
      <c r="BT77" s="213"/>
      <c r="BU77" s="157"/>
      <c r="BX77" s="157"/>
      <c r="BY77" s="157"/>
      <c r="BZ77" s="157"/>
      <c r="CA77" s="157"/>
      <c r="CB77" s="157"/>
      <c r="CC77" s="157"/>
      <c r="CD77" s="157"/>
      <c r="CE77" s="213"/>
      <c r="CF77" s="157"/>
    </row>
    <row r="78" spans="2:84" s="9" customFormat="1" ht="13.5" customHeight="1">
      <c r="B78" t="s">
        <v>65</v>
      </c>
      <c r="D78" s="46">
        <v>74744</v>
      </c>
      <c r="E78" s="124"/>
      <c r="F78" s="257">
        <v>162837</v>
      </c>
      <c r="G78" s="46"/>
      <c r="H78" s="270">
        <v>215703</v>
      </c>
      <c r="I78" s="124"/>
      <c r="J78" s="124"/>
      <c r="K78" s="48"/>
      <c r="L78" s="157">
        <v>18280</v>
      </c>
      <c r="N78" s="46">
        <v>19219</v>
      </c>
      <c r="O78" s="124"/>
      <c r="P78" s="257">
        <v>19033.373</v>
      </c>
      <c r="Q78" s="46"/>
      <c r="R78" s="270">
        <v>19076.23</v>
      </c>
      <c r="S78" s="124"/>
      <c r="T78" s="124"/>
      <c r="U78" s="48"/>
      <c r="V78" s="157">
        <v>19086.924999999999</v>
      </c>
      <c r="X78" s="46">
        <v>12685</v>
      </c>
      <c r="Y78" s="124"/>
      <c r="Z78" s="257">
        <v>19582</v>
      </c>
      <c r="AA78" s="46"/>
      <c r="AB78" s="270">
        <v>19614</v>
      </c>
      <c r="AC78" s="124"/>
      <c r="AD78" s="124"/>
      <c r="AE78" s="48"/>
      <c r="AF78" s="157">
        <v>19626.899000000001</v>
      </c>
      <c r="AI78" s="157"/>
      <c r="AJ78" s="157"/>
      <c r="AK78" s="157"/>
      <c r="AL78" s="157"/>
      <c r="AM78" s="157"/>
      <c r="AN78" s="157"/>
      <c r="AO78" s="157"/>
      <c r="AP78" s="213"/>
      <c r="AQ78" s="157"/>
      <c r="AS78" s="157"/>
      <c r="AT78" s="157"/>
      <c r="AU78" s="157"/>
      <c r="AV78" s="157"/>
      <c r="AW78" s="157"/>
      <c r="AX78" s="157"/>
      <c r="AY78" s="157"/>
      <c r="AZ78" s="213"/>
      <c r="BA78" s="157"/>
      <c r="BC78" s="157"/>
      <c r="BD78" s="157"/>
      <c r="BE78" s="157"/>
      <c r="BF78" s="157"/>
      <c r="BG78" s="157"/>
      <c r="BH78" s="157"/>
      <c r="BI78" s="157"/>
      <c r="BJ78" s="213"/>
      <c r="BK78" s="157"/>
      <c r="BM78" s="157"/>
      <c r="BN78" s="157"/>
      <c r="BO78" s="157"/>
      <c r="BP78" s="157"/>
      <c r="BQ78" s="157"/>
      <c r="BR78" s="157"/>
      <c r="BS78" s="157"/>
      <c r="BT78" s="213"/>
      <c r="BU78" s="157"/>
      <c r="BX78" s="157"/>
      <c r="BY78" s="157"/>
      <c r="BZ78" s="157"/>
      <c r="CA78" s="157"/>
      <c r="CB78" s="157"/>
      <c r="CC78" s="157"/>
      <c r="CD78" s="157"/>
      <c r="CE78" s="213"/>
      <c r="CF78" s="157"/>
    </row>
    <row r="79" spans="2:84" s="9" customFormat="1" ht="13.5" customHeight="1">
      <c r="B79" t="s">
        <v>66</v>
      </c>
      <c r="D79" s="46">
        <v>3193863</v>
      </c>
      <c r="E79" s="124"/>
      <c r="F79" s="257">
        <v>3150874</v>
      </c>
      <c r="G79" s="46"/>
      <c r="H79" s="270">
        <v>3110986</v>
      </c>
      <c r="I79" s="124"/>
      <c r="J79" s="124"/>
      <c r="K79" s="48"/>
      <c r="L79" s="157">
        <v>3086883</v>
      </c>
      <c r="N79" s="46">
        <v>3210720</v>
      </c>
      <c r="O79" s="124"/>
      <c r="P79" s="257">
        <v>3210976.645</v>
      </c>
      <c r="Q79" s="46"/>
      <c r="R79" s="270">
        <v>3211060.61</v>
      </c>
      <c r="S79" s="124"/>
      <c r="T79" s="124"/>
      <c r="U79" s="48"/>
      <c r="V79" s="157">
        <v>3211095.6519999998</v>
      </c>
      <c r="X79" s="46">
        <v>3217482</v>
      </c>
      <c r="Y79" s="124"/>
      <c r="Z79" s="257">
        <v>3215873</v>
      </c>
      <c r="AA79" s="46"/>
      <c r="AB79" s="270">
        <v>3214146</v>
      </c>
      <c r="AC79" s="124"/>
      <c r="AD79" s="124"/>
      <c r="AE79" s="48"/>
      <c r="AF79" s="157">
        <v>3248100</v>
      </c>
      <c r="AI79" s="157"/>
      <c r="AJ79" s="157"/>
      <c r="AK79" s="157"/>
      <c r="AL79" s="157"/>
      <c r="AM79" s="157"/>
      <c r="AN79" s="157"/>
      <c r="AO79" s="157"/>
      <c r="AP79" s="213"/>
      <c r="AQ79" s="157"/>
      <c r="AS79" s="157"/>
      <c r="AT79" s="157"/>
      <c r="AU79" s="157"/>
      <c r="AV79" s="157"/>
      <c r="AW79" s="157"/>
      <c r="AX79" s="157"/>
      <c r="AY79" s="157"/>
      <c r="AZ79" s="213"/>
      <c r="BA79" s="157"/>
      <c r="BC79" s="157"/>
      <c r="BD79" s="157"/>
      <c r="BE79" s="157"/>
      <c r="BF79" s="157"/>
      <c r="BG79" s="157"/>
      <c r="BH79" s="157"/>
      <c r="BI79" s="157"/>
      <c r="BJ79" s="213"/>
      <c r="BK79" s="157"/>
      <c r="BM79" s="157"/>
      <c r="BN79" s="157"/>
      <c r="BO79" s="157"/>
      <c r="BP79" s="157"/>
      <c r="BQ79" s="157"/>
      <c r="BR79" s="157"/>
      <c r="BS79" s="157"/>
      <c r="BT79" s="213"/>
      <c r="BU79" s="157"/>
      <c r="BX79" s="157"/>
      <c r="BY79" s="157"/>
      <c r="BZ79" s="157"/>
      <c r="CA79" s="157"/>
      <c r="CB79" s="157"/>
      <c r="CC79" s="157"/>
      <c r="CD79" s="157"/>
      <c r="CE79" s="213"/>
      <c r="CF79" s="157"/>
    </row>
    <row r="80" spans="2:84" s="9" customFormat="1">
      <c r="B80"/>
      <c r="D80" s="199"/>
      <c r="E80" s="43"/>
      <c r="F80" s="296"/>
      <c r="G80" s="43"/>
      <c r="H80" s="283"/>
      <c r="I80" s="43"/>
      <c r="J80" s="43"/>
      <c r="K80" s="43"/>
      <c r="L80" s="43"/>
      <c r="N80" s="199"/>
      <c r="O80" s="43"/>
      <c r="P80" s="296"/>
      <c r="Q80" s="43"/>
      <c r="R80" s="283"/>
      <c r="S80" s="43"/>
      <c r="T80" s="43"/>
      <c r="U80" s="43"/>
      <c r="V80" s="43"/>
      <c r="X80" s="199"/>
      <c r="Y80" s="43"/>
      <c r="Z80" s="258"/>
      <c r="AA80" s="43"/>
      <c r="AB80" s="283"/>
      <c r="AC80" s="43"/>
      <c r="AD80" s="43"/>
      <c r="AE80" s="43"/>
      <c r="AF80" s="43"/>
      <c r="AI80" s="43"/>
      <c r="AJ80" s="43"/>
      <c r="AK80" s="45"/>
      <c r="AL80" s="43"/>
      <c r="AM80" s="43"/>
      <c r="AN80" s="43"/>
      <c r="AO80" s="45"/>
      <c r="AP80" s="43"/>
      <c r="AQ80" s="43"/>
      <c r="AS80" s="43"/>
      <c r="AT80" s="43"/>
      <c r="AU80" s="45"/>
      <c r="AV80" s="43"/>
      <c r="AW80" s="43"/>
      <c r="AX80" s="43"/>
      <c r="AY80" s="45"/>
      <c r="AZ80" s="43"/>
      <c r="BA80" s="43"/>
      <c r="BC80" s="43"/>
      <c r="BD80" s="43"/>
      <c r="BE80" s="45"/>
      <c r="BF80" s="43"/>
      <c r="BG80" s="43"/>
      <c r="BH80" s="43"/>
      <c r="BI80" s="45"/>
      <c r="BJ80" s="43"/>
      <c r="BK80" s="43"/>
      <c r="BM80" s="43"/>
      <c r="BN80" s="43"/>
      <c r="BO80" s="45"/>
      <c r="BP80" s="43"/>
      <c r="BQ80" s="43"/>
      <c r="BR80" s="43"/>
      <c r="BS80" s="45"/>
      <c r="BT80" s="43"/>
      <c r="BU80" s="43"/>
      <c r="BX80" s="43"/>
      <c r="BY80" s="43"/>
      <c r="BZ80" s="45"/>
      <c r="CA80" s="43"/>
      <c r="CB80" s="43"/>
      <c r="CC80" s="43"/>
      <c r="CD80" s="45"/>
      <c r="CE80" s="43"/>
      <c r="CF80" s="43"/>
    </row>
    <row r="81" spans="1:84" s="9" customFormat="1">
      <c r="A81" s="250" t="s">
        <v>67</v>
      </c>
      <c r="B81"/>
      <c r="D81" s="43"/>
      <c r="E81" s="43"/>
      <c r="F81" s="296"/>
      <c r="G81" s="43"/>
      <c r="H81" s="283"/>
      <c r="I81" s="43"/>
      <c r="J81" s="43"/>
      <c r="K81" s="43"/>
      <c r="L81" s="43"/>
      <c r="N81" s="43"/>
      <c r="O81" s="43"/>
      <c r="P81" s="296"/>
      <c r="Q81" s="43"/>
      <c r="R81" s="283"/>
      <c r="S81" s="43"/>
      <c r="T81" s="43"/>
      <c r="U81" s="43"/>
      <c r="V81" s="43"/>
      <c r="X81" s="43"/>
      <c r="Y81" s="43"/>
      <c r="Z81" s="258"/>
      <c r="AA81" s="43"/>
      <c r="AB81" s="283"/>
      <c r="AC81" s="43"/>
      <c r="AD81" s="43"/>
      <c r="AE81" s="43"/>
      <c r="AF81" s="43"/>
      <c r="AI81" s="43"/>
      <c r="AJ81" s="43"/>
      <c r="AK81" s="45"/>
      <c r="AL81" s="43"/>
      <c r="AM81" s="43"/>
      <c r="AN81" s="43"/>
      <c r="AO81" s="45"/>
      <c r="AP81" s="43"/>
      <c r="AQ81" s="43"/>
      <c r="AS81" s="43"/>
      <c r="AT81" s="43"/>
      <c r="AU81" s="45"/>
      <c r="AV81" s="43"/>
      <c r="AW81" s="43"/>
      <c r="AX81" s="43"/>
      <c r="AY81" s="45"/>
      <c r="AZ81" s="43"/>
      <c r="BA81" s="43"/>
      <c r="BC81" s="43"/>
      <c r="BD81" s="43"/>
      <c r="BE81" s="45"/>
      <c r="BF81" s="43"/>
      <c r="BG81" s="43"/>
      <c r="BH81" s="43"/>
      <c r="BI81" s="45"/>
      <c r="BJ81" s="43"/>
      <c r="BK81" s="43"/>
      <c r="BM81" s="43"/>
      <c r="BN81" s="43"/>
      <c r="BO81" s="45"/>
      <c r="BP81" s="43"/>
      <c r="BQ81" s="43"/>
      <c r="BR81" s="43"/>
      <c r="BS81" s="45"/>
      <c r="BT81" s="43"/>
      <c r="BU81" s="43"/>
      <c r="BX81" s="43"/>
      <c r="BY81" s="43"/>
      <c r="BZ81" s="45"/>
      <c r="CA81" s="43"/>
      <c r="CB81" s="43"/>
      <c r="CC81" s="43"/>
      <c r="CD81" s="45"/>
      <c r="CE81" s="43"/>
      <c r="CF81" s="43"/>
    </row>
    <row r="82" spans="1:84" s="9" customFormat="1" ht="13.5" customHeight="1">
      <c r="B82" t="s">
        <v>149</v>
      </c>
      <c r="D82" s="46">
        <v>30576</v>
      </c>
      <c r="E82" s="124"/>
      <c r="F82" s="257">
        <v>30664</v>
      </c>
      <c r="G82" s="40"/>
      <c r="H82" s="270">
        <v>28079</v>
      </c>
      <c r="I82" s="124"/>
      <c r="J82" s="124"/>
      <c r="K82" s="40"/>
      <c r="L82" s="157">
        <v>28598</v>
      </c>
      <c r="N82" s="46">
        <v>23996.31</v>
      </c>
      <c r="O82" s="124"/>
      <c r="P82" s="257">
        <v>25307.13</v>
      </c>
      <c r="Q82" s="40"/>
      <c r="R82" s="270">
        <v>26183.98</v>
      </c>
      <c r="S82" s="124"/>
      <c r="T82" s="124"/>
      <c r="U82" s="40"/>
      <c r="V82" s="157">
        <v>28607.97</v>
      </c>
      <c r="X82" s="46">
        <v>22359</v>
      </c>
      <c r="Y82" s="124"/>
      <c r="Z82" s="257">
        <v>22785</v>
      </c>
      <c r="AA82" s="40"/>
      <c r="AB82" s="270">
        <v>22811</v>
      </c>
      <c r="AC82" s="124"/>
      <c r="AD82" s="124"/>
      <c r="AE82" s="40"/>
      <c r="AF82" s="157">
        <v>23251</v>
      </c>
      <c r="AI82" s="157"/>
      <c r="AJ82" s="157"/>
      <c r="AK82" s="157"/>
      <c r="AL82" s="40"/>
      <c r="AM82" s="157"/>
      <c r="AN82" s="157"/>
      <c r="AO82" s="157"/>
      <c r="AP82" s="40"/>
      <c r="AQ82" s="157"/>
      <c r="AS82" s="157"/>
      <c r="AT82" s="157"/>
      <c r="AU82" s="157"/>
      <c r="AV82" s="40"/>
      <c r="AW82" s="157"/>
      <c r="AX82" s="157"/>
      <c r="AY82" s="157"/>
      <c r="AZ82" s="40"/>
      <c r="BA82" s="157"/>
      <c r="BC82" s="157"/>
      <c r="BD82" s="157"/>
      <c r="BE82" s="157"/>
      <c r="BF82" s="40"/>
      <c r="BG82" s="157"/>
      <c r="BH82" s="157"/>
      <c r="BI82" s="157"/>
      <c r="BJ82" s="40"/>
      <c r="BK82" s="157"/>
      <c r="BM82" s="157"/>
      <c r="BN82" s="157"/>
      <c r="BO82" s="157"/>
      <c r="BP82" s="40"/>
      <c r="BQ82" s="157"/>
      <c r="BR82" s="157"/>
      <c r="BS82" s="157"/>
      <c r="BT82" s="40"/>
      <c r="BU82" s="157"/>
      <c r="BX82" s="157"/>
      <c r="BY82" s="157"/>
      <c r="BZ82" s="157"/>
      <c r="CA82" s="40"/>
      <c r="CB82" s="157"/>
      <c r="CC82" s="157"/>
      <c r="CD82" s="157"/>
      <c r="CE82" s="40"/>
      <c r="CF82" s="157"/>
    </row>
    <row r="83" spans="1:84" s="9" customFormat="1" ht="13.5" customHeight="1">
      <c r="B83" t="s">
        <v>150</v>
      </c>
      <c r="D83" s="49">
        <v>0.28399999999999997</v>
      </c>
      <c r="E83" s="141"/>
      <c r="F83" s="259">
        <v>0.28299999999999997</v>
      </c>
      <c r="G83" s="50"/>
      <c r="H83" s="271">
        <v>0.26300000000000001</v>
      </c>
      <c r="I83" s="141"/>
      <c r="J83" s="141"/>
      <c r="K83" s="50"/>
      <c r="L83" s="49">
        <v>0.28699999999999998</v>
      </c>
      <c r="N83" s="49">
        <v>0.28799999999999998</v>
      </c>
      <c r="O83" s="141"/>
      <c r="P83" s="259">
        <v>0.29499999999999998</v>
      </c>
      <c r="Q83" s="50"/>
      <c r="R83" s="271">
        <v>0.28399999999999997</v>
      </c>
      <c r="S83" s="141"/>
      <c r="T83" s="141"/>
      <c r="U83" s="50"/>
      <c r="V83" s="49">
        <v>0.29699999999999999</v>
      </c>
      <c r="X83" s="49">
        <v>0.29099999999999998</v>
      </c>
      <c r="Y83" s="141"/>
      <c r="Z83" s="259">
        <v>0.29299999999999998</v>
      </c>
      <c r="AA83" s="50"/>
      <c r="AB83" s="271">
        <v>0.28399999999999997</v>
      </c>
      <c r="AC83" s="141"/>
      <c r="AD83" s="141"/>
      <c r="AE83" s="50"/>
      <c r="AF83" s="49">
        <v>0.28899999999999998</v>
      </c>
      <c r="AI83" s="158"/>
      <c r="AJ83" s="156"/>
      <c r="AK83" s="158"/>
      <c r="AL83" s="50"/>
      <c r="AM83" s="158"/>
      <c r="AN83" s="156"/>
      <c r="AO83" s="156"/>
      <c r="AP83" s="50"/>
      <c r="AQ83" s="158"/>
      <c r="AS83" s="158"/>
      <c r="AT83" s="156"/>
      <c r="AU83" s="158"/>
      <c r="AV83" s="50"/>
      <c r="AW83" s="158"/>
      <c r="AX83" s="156"/>
      <c r="AY83" s="156"/>
      <c r="AZ83" s="50"/>
      <c r="BA83" s="158"/>
      <c r="BC83" s="158"/>
      <c r="BD83" s="156"/>
      <c r="BE83" s="158"/>
      <c r="BF83" s="50"/>
      <c r="BG83" s="158"/>
      <c r="BH83" s="156"/>
      <c r="BI83" s="156"/>
      <c r="BJ83" s="50"/>
      <c r="BK83" s="158"/>
      <c r="BM83" s="158"/>
      <c r="BN83" s="156"/>
      <c r="BO83" s="158"/>
      <c r="BP83" s="50"/>
      <c r="BQ83" s="158"/>
      <c r="BR83" s="156"/>
      <c r="BS83" s="156"/>
      <c r="BT83" s="50"/>
      <c r="BU83" s="158"/>
      <c r="BX83" s="158"/>
      <c r="BY83" s="156"/>
      <c r="BZ83" s="158"/>
      <c r="CA83" s="50"/>
      <c r="CB83" s="158"/>
      <c r="CC83" s="156"/>
      <c r="CD83" s="156"/>
      <c r="CE83" s="50"/>
      <c r="CF83" s="158"/>
    </row>
    <row r="84" spans="1:84" s="9" customFormat="1" ht="13.5" customHeight="1">
      <c r="B84" t="s">
        <v>151</v>
      </c>
      <c r="D84" s="46">
        <v>26472</v>
      </c>
      <c r="E84" s="124"/>
      <c r="F84" s="257">
        <v>29145</v>
      </c>
      <c r="G84" s="50"/>
      <c r="H84" s="275">
        <v>31574</v>
      </c>
      <c r="I84" s="124"/>
      <c r="J84" s="124"/>
      <c r="K84" s="50"/>
      <c r="L84" s="157">
        <v>27601</v>
      </c>
      <c r="N84" s="46">
        <v>19331</v>
      </c>
      <c r="O84" s="124"/>
      <c r="P84" s="257">
        <v>19104</v>
      </c>
      <c r="Q84" s="50"/>
      <c r="R84" s="275">
        <v>20157</v>
      </c>
      <c r="S84" s="124"/>
      <c r="T84" s="124"/>
      <c r="U84" s="50"/>
      <c r="V84" s="157">
        <v>21850</v>
      </c>
      <c r="X84" s="46">
        <v>18503</v>
      </c>
      <c r="Y84" s="124"/>
      <c r="Z84" s="257">
        <v>18163</v>
      </c>
      <c r="AA84" s="50"/>
      <c r="AB84" s="275">
        <v>16810</v>
      </c>
      <c r="AC84" s="124"/>
      <c r="AD84" s="124"/>
      <c r="AE84" s="50"/>
      <c r="AF84" s="157">
        <v>16179</v>
      </c>
      <c r="AI84" s="157"/>
      <c r="AJ84" s="157"/>
      <c r="AK84" s="157"/>
      <c r="AL84" s="50"/>
      <c r="AM84" s="157"/>
      <c r="AN84" s="157"/>
      <c r="AO84" s="157"/>
      <c r="AP84" s="50"/>
      <c r="AQ84" s="157"/>
      <c r="AS84" s="157"/>
      <c r="AT84" s="157"/>
      <c r="AU84" s="157"/>
      <c r="AV84" s="50"/>
      <c r="AW84" s="157"/>
      <c r="AX84" s="157"/>
      <c r="AY84" s="157"/>
      <c r="AZ84" s="50"/>
      <c r="BA84" s="157"/>
      <c r="BC84" s="157"/>
      <c r="BD84" s="157"/>
      <c r="BE84" s="157"/>
      <c r="BF84" s="50"/>
      <c r="BG84" s="157"/>
      <c r="BH84" s="157"/>
      <c r="BI84" s="157"/>
      <c r="BJ84" s="50"/>
      <c r="BK84" s="157"/>
      <c r="BM84" s="157"/>
      <c r="BN84" s="157"/>
      <c r="BO84" s="157"/>
      <c r="BP84" s="50"/>
      <c r="BQ84" s="157"/>
      <c r="BR84" s="157"/>
      <c r="BS84" s="157"/>
      <c r="BT84" s="50"/>
      <c r="BU84" s="157"/>
      <c r="BX84" s="157"/>
      <c r="BY84" s="157"/>
      <c r="BZ84" s="157"/>
      <c r="CA84" s="50"/>
      <c r="CB84" s="157"/>
      <c r="CC84" s="157"/>
      <c r="CD84" s="157"/>
      <c r="CE84" s="50"/>
      <c r="CF84" s="157"/>
    </row>
    <row r="85" spans="1:84" s="9" customFormat="1" ht="13.5" customHeight="1">
      <c r="B85" s="302" t="s">
        <v>190</v>
      </c>
      <c r="D85" s="50">
        <v>0.77</v>
      </c>
      <c r="E85" s="142"/>
      <c r="F85" s="260">
        <v>0.84</v>
      </c>
      <c r="G85" s="50"/>
      <c r="H85" s="272">
        <v>0.98</v>
      </c>
      <c r="I85" s="142"/>
      <c r="J85" s="142"/>
      <c r="K85" s="50"/>
      <c r="L85" s="50">
        <v>0.84</v>
      </c>
      <c r="N85" s="50">
        <v>0.68</v>
      </c>
      <c r="O85" s="142"/>
      <c r="P85" s="260">
        <v>0.64</v>
      </c>
      <c r="Q85" s="50"/>
      <c r="R85" s="272">
        <v>0.68</v>
      </c>
      <c r="S85" s="142"/>
      <c r="T85" s="142"/>
      <c r="U85" s="50"/>
      <c r="V85" s="50">
        <v>0.68</v>
      </c>
      <c r="X85" s="50">
        <v>0.7</v>
      </c>
      <c r="Y85" s="142"/>
      <c r="Z85" s="260">
        <v>0.68</v>
      </c>
      <c r="AA85" s="50"/>
      <c r="AB85" s="272">
        <v>0.63</v>
      </c>
      <c r="AC85" s="142"/>
      <c r="AD85" s="142"/>
      <c r="AE85" s="50"/>
      <c r="AF85" s="50">
        <v>0.59</v>
      </c>
      <c r="AI85" s="50"/>
      <c r="AJ85" s="40"/>
      <c r="AK85" s="50"/>
      <c r="AL85" s="50"/>
      <c r="AM85" s="50"/>
      <c r="AN85" s="40"/>
      <c r="AO85" s="40"/>
      <c r="AP85" s="50"/>
      <c r="AQ85" s="50"/>
      <c r="AS85" s="50"/>
      <c r="AT85" s="40"/>
      <c r="AU85" s="50"/>
      <c r="AV85" s="50"/>
      <c r="AW85" s="50"/>
      <c r="AX85" s="40"/>
      <c r="AY85" s="40"/>
      <c r="AZ85" s="50"/>
      <c r="BA85" s="50"/>
      <c r="BC85" s="50"/>
      <c r="BD85" s="40"/>
      <c r="BE85" s="50"/>
      <c r="BF85" s="50"/>
      <c r="BG85" s="50"/>
      <c r="BH85" s="40"/>
      <c r="BI85" s="40"/>
      <c r="BJ85" s="50"/>
      <c r="BK85" s="50"/>
      <c r="BM85" s="50"/>
      <c r="BN85" s="40"/>
      <c r="BO85" s="50"/>
      <c r="BP85" s="50"/>
      <c r="BQ85" s="50"/>
      <c r="BR85" s="40"/>
      <c r="BS85" s="40"/>
      <c r="BT85" s="50"/>
      <c r="BU85" s="50"/>
      <c r="BX85" s="50"/>
      <c r="BY85" s="40"/>
      <c r="BZ85" s="50"/>
      <c r="CA85" s="50"/>
      <c r="CB85" s="50"/>
      <c r="CC85" s="40"/>
      <c r="CD85" s="40"/>
      <c r="CE85" s="50"/>
      <c r="CF85" s="50"/>
    </row>
    <row r="86" spans="1:84" s="9" customFormat="1" ht="13.5" customHeight="1">
      <c r="B86" s="302" t="s">
        <v>191</v>
      </c>
      <c r="D86" s="50">
        <v>0.69</v>
      </c>
      <c r="E86" s="142"/>
      <c r="F86" s="260">
        <v>0.76</v>
      </c>
      <c r="G86" s="50"/>
      <c r="H86" s="272">
        <v>0.89</v>
      </c>
      <c r="I86" s="142"/>
      <c r="J86" s="142"/>
      <c r="K86" s="50"/>
      <c r="L86" s="50">
        <v>0.76</v>
      </c>
      <c r="N86" s="50">
        <v>0.6</v>
      </c>
      <c r="O86" s="142"/>
      <c r="P86" s="260">
        <v>0.56000000000000005</v>
      </c>
      <c r="Q86" s="50"/>
      <c r="R86" s="272">
        <v>0.6</v>
      </c>
      <c r="S86" s="142"/>
      <c r="T86" s="142"/>
      <c r="U86" s="50"/>
      <c r="V86" s="50">
        <v>0.6</v>
      </c>
      <c r="X86" s="50"/>
      <c r="Y86" s="142"/>
      <c r="Z86" s="260"/>
      <c r="AA86" s="50"/>
      <c r="AB86" s="272"/>
      <c r="AC86" s="142"/>
      <c r="AD86" s="142"/>
      <c r="AE86" s="50"/>
      <c r="AF86" s="50"/>
      <c r="AI86" s="50"/>
      <c r="AJ86" s="40"/>
      <c r="AK86" s="50"/>
      <c r="AL86" s="50"/>
      <c r="AM86" s="50"/>
      <c r="AN86" s="40"/>
      <c r="AO86" s="40"/>
      <c r="AP86" s="50"/>
      <c r="AQ86" s="50"/>
      <c r="AS86" s="50"/>
      <c r="AT86" s="40"/>
      <c r="AU86" s="50"/>
      <c r="AV86" s="50"/>
      <c r="AW86" s="50"/>
      <c r="AX86" s="40"/>
      <c r="AY86" s="40"/>
      <c r="AZ86" s="50"/>
      <c r="BA86" s="50"/>
      <c r="BC86" s="50"/>
      <c r="BD86" s="40"/>
      <c r="BE86" s="50"/>
      <c r="BF86" s="50"/>
      <c r="BG86" s="50"/>
      <c r="BH86" s="40"/>
      <c r="BI86" s="40"/>
      <c r="BJ86" s="50"/>
      <c r="BK86" s="50"/>
      <c r="BM86" s="50"/>
      <c r="BN86" s="40"/>
      <c r="BO86" s="50"/>
      <c r="BP86" s="50"/>
      <c r="BQ86" s="50"/>
      <c r="BR86" s="40"/>
      <c r="BS86" s="40"/>
      <c r="BT86" s="50"/>
      <c r="BU86" s="50"/>
      <c r="BX86" s="50"/>
      <c r="BY86" s="40"/>
      <c r="BZ86" s="50"/>
      <c r="CA86" s="50"/>
      <c r="CB86" s="50"/>
      <c r="CC86" s="40"/>
      <c r="CD86" s="40"/>
      <c r="CE86" s="50"/>
      <c r="CF86" s="50"/>
    </row>
    <row r="87" spans="1:84" s="9" customFormat="1" ht="13.5" customHeight="1">
      <c r="B87"/>
      <c r="D87" s="50"/>
      <c r="E87" s="40"/>
      <c r="F87" s="50"/>
      <c r="G87" s="50"/>
      <c r="H87" s="50"/>
      <c r="I87" s="50"/>
      <c r="J87" s="51"/>
      <c r="K87" s="50"/>
      <c r="L87" s="51"/>
      <c r="N87" s="50"/>
      <c r="O87" s="40"/>
      <c r="P87" s="50"/>
      <c r="Q87" s="50"/>
      <c r="R87" s="50"/>
      <c r="S87" s="50"/>
      <c r="T87" s="51"/>
      <c r="U87" s="50"/>
      <c r="V87" s="51"/>
      <c r="X87" s="50"/>
      <c r="Y87" s="40"/>
      <c r="Z87" s="50"/>
      <c r="AA87" s="50"/>
      <c r="AB87" s="50"/>
      <c r="AC87" s="50"/>
      <c r="AD87" s="51"/>
      <c r="AE87" s="50"/>
      <c r="AF87" s="51"/>
      <c r="AI87" s="50"/>
      <c r="AJ87" s="40"/>
      <c r="AK87" s="50"/>
      <c r="AL87" s="50"/>
      <c r="AM87" s="50"/>
      <c r="AN87" s="50"/>
      <c r="AO87" s="51"/>
      <c r="AP87" s="50"/>
      <c r="AQ87" s="51"/>
      <c r="AS87" s="50"/>
      <c r="AT87" s="40"/>
      <c r="AU87" s="50"/>
      <c r="AV87" s="50"/>
      <c r="AW87" s="50"/>
      <c r="AX87" s="50"/>
      <c r="AY87" s="51"/>
      <c r="AZ87" s="50"/>
      <c r="BA87" s="51"/>
      <c r="BC87" s="50"/>
      <c r="BD87" s="40"/>
      <c r="BE87" s="50"/>
      <c r="BF87" s="50"/>
      <c r="BG87" s="50"/>
      <c r="BH87" s="50"/>
      <c r="BI87" s="51"/>
      <c r="BJ87" s="50"/>
      <c r="BK87" s="51"/>
      <c r="BM87" s="50"/>
      <c r="BN87" s="40"/>
      <c r="BO87" s="50"/>
      <c r="BP87" s="50"/>
      <c r="BQ87" s="50"/>
      <c r="BR87" s="50"/>
      <c r="BS87" s="51"/>
      <c r="BT87" s="50"/>
      <c r="BU87" s="51"/>
      <c r="BX87" s="50"/>
      <c r="BY87" s="40"/>
      <c r="BZ87" s="50"/>
      <c r="CA87" s="50"/>
      <c r="CB87" s="50"/>
      <c r="CC87" s="50"/>
      <c r="CD87" s="51"/>
      <c r="CE87" s="50"/>
      <c r="CF87" s="51"/>
    </row>
    <row r="88" spans="1:84" s="3" customFormat="1" ht="16.2">
      <c r="A88" s="250" t="s">
        <v>73</v>
      </c>
    </row>
    <row r="89" spans="1:84">
      <c r="B89" t="s">
        <v>1</v>
      </c>
      <c r="D89" s="244" t="str">
        <f>D5</f>
        <v>2022年度　（2022年4月-2023年3月）</v>
      </c>
      <c r="E89" s="244"/>
      <c r="F89" s="244"/>
      <c r="G89" s="244"/>
      <c r="H89" s="244"/>
      <c r="I89" s="244"/>
      <c r="J89" s="244"/>
      <c r="K89" s="244"/>
      <c r="L89" s="244"/>
      <c r="N89" s="244" t="str">
        <f>N5</f>
        <v>2021年度　（2021年4月-2022年3月）</v>
      </c>
      <c r="O89" s="244"/>
      <c r="P89" s="244"/>
      <c r="Q89" s="244"/>
      <c r="R89" s="244"/>
      <c r="S89" s="244"/>
      <c r="T89" s="244"/>
      <c r="U89" s="244"/>
      <c r="V89" s="244"/>
      <c r="X89" s="244" t="str">
        <f>X5</f>
        <v>2020年度　（2020年4月-2021年3月）</v>
      </c>
      <c r="Y89" s="244"/>
      <c r="Z89" s="244"/>
      <c r="AA89" s="244"/>
      <c r="AB89" s="244"/>
      <c r="AC89" s="244"/>
      <c r="AD89" s="244"/>
      <c r="AE89" s="244"/>
      <c r="AF89" s="244"/>
      <c r="AI89" s="5"/>
      <c r="AJ89" s="5"/>
      <c r="AK89" s="5"/>
      <c r="AL89" s="5"/>
      <c r="AM89" s="5"/>
      <c r="AN89" s="5"/>
      <c r="AO89" s="5"/>
      <c r="AP89" s="5"/>
      <c r="AQ89" s="5"/>
      <c r="AS89" s="5"/>
      <c r="AT89" s="5"/>
      <c r="AU89" s="5"/>
      <c r="AV89" s="5"/>
      <c r="AW89" s="5"/>
      <c r="AX89" s="5"/>
      <c r="AY89" s="5"/>
      <c r="AZ89" s="5"/>
      <c r="BA89" s="5"/>
      <c r="BC89" s="5"/>
      <c r="BD89" s="5"/>
      <c r="BE89" s="5"/>
      <c r="BF89" s="5"/>
      <c r="BG89" s="5"/>
      <c r="BH89" s="5"/>
      <c r="BI89" s="5"/>
      <c r="BJ89" s="5"/>
      <c r="BK89" s="5"/>
      <c r="BM89" s="5"/>
      <c r="BN89" s="5"/>
      <c r="BO89" s="5"/>
      <c r="BP89" s="5"/>
      <c r="BQ89" s="5"/>
      <c r="BR89" s="5"/>
      <c r="BS89" s="5"/>
      <c r="BT89" s="5"/>
      <c r="BU89" s="5"/>
      <c r="BX89" s="5"/>
      <c r="BY89" s="5"/>
      <c r="BZ89" s="5"/>
      <c r="CA89" s="5"/>
      <c r="CB89" s="5"/>
      <c r="CC89" s="5"/>
      <c r="CD89" s="5"/>
      <c r="CE89" s="5"/>
      <c r="CF89" s="5"/>
    </row>
    <row r="90" spans="1:84" ht="3.75" customHeight="1">
      <c r="D90" s="5"/>
      <c r="E90" s="5"/>
      <c r="F90" s="5"/>
      <c r="G90" s="5"/>
      <c r="H90" s="5"/>
      <c r="I90" s="5"/>
      <c r="J90" s="5"/>
      <c r="K90" s="5"/>
      <c r="L90" s="244"/>
      <c r="N90" s="5"/>
      <c r="O90" s="5"/>
      <c r="P90" s="5"/>
      <c r="Q90" s="5"/>
      <c r="R90" s="5"/>
      <c r="S90" s="5"/>
      <c r="T90" s="5"/>
      <c r="U90" s="5"/>
      <c r="V90" s="244"/>
      <c r="X90" s="5"/>
      <c r="Y90" s="5"/>
      <c r="Z90" s="5"/>
      <c r="AA90" s="5"/>
      <c r="AB90" s="5"/>
      <c r="AC90" s="5"/>
      <c r="AD90" s="5"/>
      <c r="AE90" s="5"/>
      <c r="AF90" s="244"/>
      <c r="AI90" s="5"/>
      <c r="AJ90" s="5"/>
      <c r="AK90" s="5"/>
      <c r="AL90" s="5"/>
      <c r="AM90" s="5"/>
      <c r="AN90" s="5"/>
      <c r="AO90" s="5"/>
      <c r="AP90" s="5"/>
      <c r="AQ90" s="5"/>
      <c r="AS90" s="5"/>
      <c r="AT90" s="5"/>
      <c r="AU90" s="5"/>
      <c r="AV90" s="5"/>
      <c r="AW90" s="5"/>
      <c r="AX90" s="5"/>
      <c r="AY90" s="5"/>
      <c r="AZ90" s="5"/>
      <c r="BA90" s="5"/>
      <c r="BC90" s="5"/>
      <c r="BD90" s="5"/>
      <c r="BE90" s="5"/>
      <c r="BF90" s="5"/>
      <c r="BG90" s="5"/>
      <c r="BH90" s="5"/>
      <c r="BI90" s="5"/>
      <c r="BJ90" s="5"/>
      <c r="BK90" s="5"/>
      <c r="BM90" s="5"/>
      <c r="BN90" s="5"/>
      <c r="BO90" s="5"/>
      <c r="BP90" s="5"/>
      <c r="BQ90" s="5"/>
      <c r="BR90" s="5"/>
      <c r="BS90" s="5"/>
      <c r="BT90" s="5"/>
      <c r="BU90" s="5"/>
      <c r="BX90" s="5"/>
      <c r="BY90" s="5"/>
      <c r="BZ90" s="5"/>
      <c r="CA90" s="5"/>
      <c r="CB90" s="5"/>
      <c r="CC90" s="5"/>
      <c r="CD90" s="5"/>
      <c r="CE90" s="5"/>
      <c r="CF90" s="5"/>
    </row>
    <row r="91" spans="1:84">
      <c r="D91" s="6"/>
      <c r="E91" s="6"/>
      <c r="F91" s="7" t="s">
        <v>28</v>
      </c>
      <c r="H91" s="7"/>
      <c r="I91" s="7"/>
      <c r="J91" s="7" t="s">
        <v>29</v>
      </c>
      <c r="L91" s="245" t="s">
        <v>30</v>
      </c>
      <c r="N91" s="6"/>
      <c r="O91" s="6"/>
      <c r="P91" s="7" t="s">
        <v>28</v>
      </c>
      <c r="R91" s="7"/>
      <c r="S91" s="7"/>
      <c r="T91" s="7" t="s">
        <v>29</v>
      </c>
      <c r="V91" s="245" t="s">
        <v>30</v>
      </c>
      <c r="X91" s="6"/>
      <c r="Y91" s="6"/>
      <c r="Z91" s="7" t="s">
        <v>28</v>
      </c>
      <c r="AB91" s="7"/>
      <c r="AC91" s="7"/>
      <c r="AD91" s="7" t="s">
        <v>29</v>
      </c>
      <c r="AF91" s="245" t="s">
        <v>30</v>
      </c>
      <c r="AK91" s="8"/>
      <c r="AM91" s="8"/>
      <c r="AN91" s="8"/>
      <c r="AO91" s="8"/>
      <c r="AQ91" s="8"/>
      <c r="AU91" s="8"/>
      <c r="AW91" s="8"/>
      <c r="AX91" s="8"/>
      <c r="AY91" s="8"/>
      <c r="BA91" s="8"/>
      <c r="BE91" s="8"/>
      <c r="BG91" s="8"/>
      <c r="BH91" s="8"/>
      <c r="BI91" s="8"/>
      <c r="BK91" s="8"/>
      <c r="BO91" s="8"/>
      <c r="BQ91" s="8"/>
      <c r="BR91" s="8"/>
      <c r="BS91" s="8"/>
      <c r="BU91" s="8"/>
      <c r="BZ91" s="8"/>
      <c r="CB91" s="8"/>
      <c r="CC91" s="8"/>
      <c r="CD91" s="8"/>
      <c r="CF91" s="8"/>
    </row>
    <row r="92" spans="1:84" s="9" customFormat="1" ht="10.8">
      <c r="D92" s="9" t="s">
        <v>31</v>
      </c>
      <c r="E92" s="9" t="s">
        <v>32</v>
      </c>
      <c r="F92" s="10" t="s">
        <v>33</v>
      </c>
      <c r="H92" s="9" t="s">
        <v>7</v>
      </c>
      <c r="I92" s="9" t="s">
        <v>8</v>
      </c>
      <c r="J92" s="10"/>
      <c r="L92" s="246"/>
      <c r="N92" s="9" t="s">
        <v>31</v>
      </c>
      <c r="O92" s="9" t="s">
        <v>32</v>
      </c>
      <c r="P92" s="10" t="s">
        <v>33</v>
      </c>
      <c r="R92" s="9" t="s">
        <v>7</v>
      </c>
      <c r="S92" s="9" t="s">
        <v>8</v>
      </c>
      <c r="T92" s="10"/>
      <c r="V92" s="246"/>
      <c r="X92" s="9" t="s">
        <v>31</v>
      </c>
      <c r="Y92" s="9" t="s">
        <v>32</v>
      </c>
      <c r="Z92" s="10" t="s">
        <v>33</v>
      </c>
      <c r="AB92" s="9" t="s">
        <v>7</v>
      </c>
      <c r="AC92" s="9" t="s">
        <v>8</v>
      </c>
      <c r="AD92" s="10"/>
      <c r="AF92" s="246"/>
      <c r="AK92" s="11"/>
      <c r="AO92" s="11"/>
      <c r="AQ92" s="11"/>
      <c r="AU92" s="11"/>
      <c r="AY92" s="11"/>
      <c r="BA92" s="11"/>
      <c r="BE92" s="11"/>
      <c r="BI92" s="11"/>
      <c r="BK92" s="11"/>
      <c r="BO92" s="11"/>
      <c r="BS92" s="11"/>
      <c r="BU92" s="11"/>
      <c r="BZ92" s="11"/>
      <c r="CD92" s="11"/>
      <c r="CF92" s="11"/>
    </row>
    <row r="93" spans="1:84" s="9" customFormat="1" ht="10.8">
      <c r="D93" s="9" t="s">
        <v>34</v>
      </c>
      <c r="E93" s="9" t="s">
        <v>35</v>
      </c>
      <c r="F93" s="10" t="s">
        <v>36</v>
      </c>
      <c r="H93" s="9" t="s">
        <v>12</v>
      </c>
      <c r="I93" s="9" t="s">
        <v>13</v>
      </c>
      <c r="J93" s="10" t="s">
        <v>37</v>
      </c>
      <c r="L93" s="246" t="s">
        <v>38</v>
      </c>
      <c r="N93" s="9" t="s">
        <v>34</v>
      </c>
      <c r="O93" s="9" t="s">
        <v>35</v>
      </c>
      <c r="P93" s="10" t="s">
        <v>36</v>
      </c>
      <c r="R93" s="9" t="s">
        <v>12</v>
      </c>
      <c r="S93" s="9" t="s">
        <v>13</v>
      </c>
      <c r="T93" s="10" t="s">
        <v>37</v>
      </c>
      <c r="V93" s="246" t="s">
        <v>38</v>
      </c>
      <c r="X93" s="9" t="s">
        <v>34</v>
      </c>
      <c r="Y93" s="9" t="s">
        <v>35</v>
      </c>
      <c r="Z93" s="10" t="s">
        <v>36</v>
      </c>
      <c r="AB93" s="9" t="s">
        <v>12</v>
      </c>
      <c r="AC93" s="9" t="s">
        <v>13</v>
      </c>
      <c r="AD93" s="10" t="s">
        <v>37</v>
      </c>
      <c r="AF93" s="246" t="s">
        <v>38</v>
      </c>
      <c r="AK93" s="11"/>
      <c r="AO93" s="11"/>
      <c r="AQ93" s="11"/>
      <c r="AU93" s="11"/>
      <c r="AY93" s="11"/>
      <c r="BA93" s="11"/>
      <c r="BE93" s="11"/>
      <c r="BI93" s="11"/>
      <c r="BK93" s="11"/>
      <c r="BO93" s="11"/>
      <c r="BS93" s="11"/>
      <c r="BU93" s="11"/>
      <c r="BZ93" s="11"/>
      <c r="CD93" s="11"/>
      <c r="CF93" s="11"/>
    </row>
    <row r="94" spans="1:84" ht="5.0999999999999996" customHeight="1">
      <c r="H94" s="52"/>
      <c r="I94" s="52"/>
      <c r="J94" s="8"/>
      <c r="R94" s="52"/>
      <c r="S94" s="52"/>
      <c r="T94" s="8"/>
      <c r="AB94" s="52"/>
      <c r="AC94" s="52"/>
      <c r="AD94" s="8"/>
      <c r="AM94" s="52"/>
      <c r="AN94" s="52"/>
      <c r="AO94" s="8"/>
      <c r="AW94" s="52"/>
      <c r="AX94" s="52"/>
      <c r="AY94" s="8"/>
      <c r="BG94" s="52"/>
      <c r="BH94" s="52"/>
      <c r="BI94" s="8"/>
      <c r="BQ94" s="52"/>
      <c r="BR94" s="52"/>
      <c r="BS94" s="8"/>
      <c r="CB94" s="52"/>
      <c r="CC94" s="52"/>
      <c r="CD94" s="8"/>
    </row>
    <row r="95" spans="1:84" ht="13.5" customHeight="1" thickBot="1">
      <c r="B95" s="12" t="s">
        <v>39</v>
      </c>
      <c r="C95" s="12"/>
      <c r="D95" s="13">
        <v>35551</v>
      </c>
      <c r="E95" s="185">
        <f>F95-D95</f>
        <v>38389</v>
      </c>
      <c r="F95" s="185">
        <v>73940</v>
      </c>
      <c r="G95" s="12"/>
      <c r="H95" s="273">
        <f>113351-F95</f>
        <v>39411</v>
      </c>
      <c r="I95" s="57">
        <f>J95-H95</f>
        <v>36815</v>
      </c>
      <c r="J95" s="57">
        <f>L95-F95</f>
        <v>76226</v>
      </c>
      <c r="K95" s="57"/>
      <c r="L95" s="57">
        <v>150166</v>
      </c>
      <c r="M95" s="12"/>
      <c r="N95" s="13">
        <v>22241</v>
      </c>
      <c r="O95" s="185">
        <f>P95-N95</f>
        <v>25073</v>
      </c>
      <c r="P95" s="185">
        <v>47314</v>
      </c>
      <c r="Q95" s="12"/>
      <c r="R95" s="273">
        <f>76313-P95</f>
        <v>28999</v>
      </c>
      <c r="S95" s="57">
        <f>T95-R95</f>
        <v>32905</v>
      </c>
      <c r="T95" s="57">
        <f>V95-P95</f>
        <v>61904</v>
      </c>
      <c r="U95" s="57"/>
      <c r="V95" s="57">
        <v>109218</v>
      </c>
      <c r="X95" s="13">
        <v>15462</v>
      </c>
      <c r="Y95" s="185">
        <f>Z95-X95</f>
        <v>18161</v>
      </c>
      <c r="Z95" s="185">
        <v>33623</v>
      </c>
      <c r="AA95" s="12"/>
      <c r="AB95" s="273">
        <f>53672-Z95</f>
        <v>20049</v>
      </c>
      <c r="AC95" s="57">
        <f>AD95-AB95</f>
        <v>22908</v>
      </c>
      <c r="AD95" s="57">
        <f>AF95-Z95</f>
        <v>42957</v>
      </c>
      <c r="AE95" s="57"/>
      <c r="AF95" s="57">
        <v>76580</v>
      </c>
      <c r="AI95" s="112"/>
      <c r="AJ95" s="112"/>
      <c r="AK95" s="112"/>
      <c r="AM95" s="58"/>
      <c r="AN95" s="58"/>
      <c r="AO95" s="58"/>
      <c r="AP95" s="58"/>
      <c r="AQ95" s="58"/>
      <c r="AS95" s="112"/>
      <c r="AT95" s="112"/>
      <c r="AU95" s="112"/>
      <c r="AW95" s="58"/>
      <c r="AX95" s="58"/>
      <c r="AY95" s="88"/>
      <c r="AZ95" s="88"/>
      <c r="BA95" s="88"/>
      <c r="BC95" s="112"/>
      <c r="BD95" s="112"/>
      <c r="BE95" s="112"/>
      <c r="BG95" s="58"/>
      <c r="BH95" s="58"/>
      <c r="BI95" s="88"/>
      <c r="BJ95" s="88"/>
      <c r="BK95" s="88"/>
      <c r="BM95" s="112"/>
      <c r="BN95" s="112"/>
      <c r="BO95" s="112"/>
      <c r="BQ95" s="58"/>
      <c r="BR95" s="58"/>
      <c r="BS95" s="88"/>
      <c r="BT95" s="88"/>
      <c r="BU95" s="88"/>
      <c r="BX95" s="112"/>
      <c r="BY95" s="112"/>
      <c r="BZ95" s="112"/>
      <c r="CB95" s="58"/>
      <c r="CC95" s="58"/>
      <c r="CD95" s="88"/>
      <c r="CE95" s="88"/>
      <c r="CF95" s="88"/>
    </row>
    <row r="96" spans="1:84" ht="13.5" customHeight="1">
      <c r="B96" t="s">
        <v>111</v>
      </c>
      <c r="D96" s="16">
        <v>29905</v>
      </c>
      <c r="E96" s="186">
        <f t="shared" ref="E96:E99" si="20">F96-D96</f>
        <v>32701</v>
      </c>
      <c r="F96" s="186">
        <v>62606</v>
      </c>
      <c r="H96" s="274">
        <f>96211-F96</f>
        <v>33605</v>
      </c>
      <c r="I96" s="85">
        <f t="shared" ref="I96:I117" si="21">J96-H96</f>
        <v>30899</v>
      </c>
      <c r="J96" s="85">
        <f t="shared" ref="J96:J117" si="22">L96-F96</f>
        <v>64504</v>
      </c>
      <c r="K96" s="58"/>
      <c r="L96" s="58">
        <v>127110</v>
      </c>
      <c r="N96" s="16">
        <v>17695</v>
      </c>
      <c r="O96" s="186">
        <f t="shared" ref="O96:O99" si="23">P96-N96</f>
        <v>20220</v>
      </c>
      <c r="P96" s="186">
        <v>37915</v>
      </c>
      <c r="R96" s="274">
        <f>61689-P96</f>
        <v>23774</v>
      </c>
      <c r="S96" s="85">
        <f t="shared" ref="S96:S117" si="24">T96-R96</f>
        <v>27661</v>
      </c>
      <c r="T96" s="85">
        <f t="shared" ref="T96:T117" si="25">V96-P96</f>
        <v>51435</v>
      </c>
      <c r="U96" s="58"/>
      <c r="V96" s="58">
        <v>89350</v>
      </c>
      <c r="X96" s="16">
        <v>11958</v>
      </c>
      <c r="Y96" s="186">
        <f t="shared" ref="Y96:Y117" si="26">Z96-X96</f>
        <v>14121</v>
      </c>
      <c r="Z96" s="186">
        <v>26079</v>
      </c>
      <c r="AB96" s="274">
        <f>41997-Z96</f>
        <v>15918</v>
      </c>
      <c r="AC96" s="85">
        <f t="shared" ref="AC96:AC117" si="27">AD96-AB96</f>
        <v>17988</v>
      </c>
      <c r="AD96" s="85">
        <f t="shared" ref="AD96:AD117" si="28">AF96-Z96</f>
        <v>33906</v>
      </c>
      <c r="AE96" s="58"/>
      <c r="AF96" s="58">
        <v>59985</v>
      </c>
      <c r="AI96" s="112"/>
      <c r="AJ96" s="112"/>
      <c r="AK96" s="112"/>
      <c r="AM96" s="74"/>
      <c r="AN96" s="58"/>
      <c r="AO96" s="58"/>
      <c r="AP96" s="58"/>
      <c r="AQ96" s="58"/>
      <c r="AS96" s="112"/>
      <c r="AT96" s="112"/>
      <c r="AU96" s="112"/>
      <c r="AW96" s="74"/>
      <c r="AX96" s="58"/>
      <c r="AY96" s="88"/>
      <c r="AZ96" s="88"/>
      <c r="BA96" s="88"/>
      <c r="BC96" s="112"/>
      <c r="BD96" s="112"/>
      <c r="BE96" s="112"/>
      <c r="BG96" s="74"/>
      <c r="BH96" s="58"/>
      <c r="BI96" s="88"/>
      <c r="BJ96" s="88"/>
      <c r="BK96" s="88"/>
      <c r="BM96" s="112"/>
      <c r="BN96" s="112"/>
      <c r="BO96" s="112"/>
      <c r="BQ96" s="97"/>
      <c r="BR96" s="58"/>
      <c r="BS96" s="88"/>
      <c r="BT96" s="88"/>
      <c r="BU96" s="88"/>
      <c r="BX96" s="112"/>
      <c r="BY96" s="112"/>
      <c r="BZ96" s="112"/>
      <c r="CB96" s="97"/>
      <c r="CC96" s="58"/>
      <c r="CD96" s="88"/>
      <c r="CE96" s="88"/>
      <c r="CF96" s="88"/>
    </row>
    <row r="97" spans="2:84" ht="13.5" customHeight="1">
      <c r="B97" t="s">
        <v>112</v>
      </c>
      <c r="D97" s="16">
        <v>487</v>
      </c>
      <c r="E97" s="186">
        <f t="shared" si="20"/>
        <v>490</v>
      </c>
      <c r="F97" s="186">
        <v>977</v>
      </c>
      <c r="H97" s="274">
        <f>1558-F97</f>
        <v>581</v>
      </c>
      <c r="I97" s="58">
        <f t="shared" si="21"/>
        <v>452</v>
      </c>
      <c r="J97" s="58">
        <f t="shared" si="22"/>
        <v>1033</v>
      </c>
      <c r="K97" s="58"/>
      <c r="L97" s="58">
        <v>2010</v>
      </c>
      <c r="N97" s="16">
        <v>415</v>
      </c>
      <c r="O97" s="186">
        <f t="shared" si="23"/>
        <v>541</v>
      </c>
      <c r="P97" s="186">
        <v>956</v>
      </c>
      <c r="R97" s="274">
        <f>1614-P97</f>
        <v>658</v>
      </c>
      <c r="S97" s="58">
        <f t="shared" si="24"/>
        <v>817</v>
      </c>
      <c r="T97" s="58">
        <f t="shared" si="25"/>
        <v>1475</v>
      </c>
      <c r="U97" s="58"/>
      <c r="V97" s="58">
        <v>2431</v>
      </c>
      <c r="X97" s="16">
        <v>227</v>
      </c>
      <c r="Y97" s="186">
        <f t="shared" si="26"/>
        <v>245</v>
      </c>
      <c r="Z97" s="186">
        <v>472</v>
      </c>
      <c r="AB97" s="274">
        <f>767-Z97</f>
        <v>295</v>
      </c>
      <c r="AC97" s="58">
        <f t="shared" si="27"/>
        <v>357</v>
      </c>
      <c r="AD97" s="58">
        <f t="shared" si="28"/>
        <v>652</v>
      </c>
      <c r="AE97" s="58"/>
      <c r="AF97" s="58">
        <v>1124</v>
      </c>
      <c r="AI97" s="112"/>
      <c r="AJ97" s="112"/>
      <c r="AK97" s="112"/>
      <c r="AM97" s="74"/>
      <c r="AN97" s="58"/>
      <c r="AO97" s="58"/>
      <c r="AP97" s="58"/>
      <c r="AQ97" s="58"/>
      <c r="AS97" s="112"/>
      <c r="AT97" s="112"/>
      <c r="AU97" s="112"/>
      <c r="AW97" s="74"/>
      <c r="AX97" s="58"/>
      <c r="AY97" s="88"/>
      <c r="AZ97" s="88"/>
      <c r="BA97" s="88"/>
      <c r="BC97" s="112"/>
      <c r="BD97" s="112"/>
      <c r="BE97" s="112"/>
      <c r="BG97" s="74"/>
      <c r="BH97" s="58"/>
      <c r="BI97" s="88"/>
      <c r="BJ97" s="88"/>
      <c r="BK97" s="88"/>
      <c r="BM97" s="112"/>
      <c r="BN97" s="112"/>
      <c r="BO97" s="112"/>
      <c r="BQ97" s="97"/>
      <c r="BR97" s="58"/>
      <c r="BS97" s="88"/>
      <c r="BT97" s="88"/>
      <c r="BU97" s="88"/>
      <c r="BX97" s="112"/>
      <c r="BY97" s="112"/>
      <c r="BZ97" s="112"/>
      <c r="CB97" s="97"/>
      <c r="CC97" s="58"/>
      <c r="CD97" s="88"/>
      <c r="CE97" s="88"/>
      <c r="CF97" s="88"/>
    </row>
    <row r="98" spans="2:84" ht="13.5" customHeight="1">
      <c r="B98" t="s">
        <v>74</v>
      </c>
      <c r="D98" s="32">
        <v>4103</v>
      </c>
      <c r="E98" s="186">
        <f t="shared" si="20"/>
        <v>4095</v>
      </c>
      <c r="F98" s="182">
        <v>8198</v>
      </c>
      <c r="H98" s="274">
        <f>12163-F98</f>
        <v>3965</v>
      </c>
      <c r="I98" s="58">
        <f t="shared" si="21"/>
        <v>4215</v>
      </c>
      <c r="J98" s="58">
        <f t="shared" si="22"/>
        <v>8180</v>
      </c>
      <c r="K98" s="58"/>
      <c r="L98" s="58">
        <v>16378</v>
      </c>
      <c r="N98" s="32">
        <v>3107</v>
      </c>
      <c r="O98" s="186">
        <f t="shared" si="23"/>
        <v>3279</v>
      </c>
      <c r="P98" s="182">
        <v>6386</v>
      </c>
      <c r="R98" s="274">
        <f>9835-P98</f>
        <v>3449</v>
      </c>
      <c r="S98" s="58">
        <f t="shared" si="24"/>
        <v>3095</v>
      </c>
      <c r="T98" s="58">
        <f t="shared" si="25"/>
        <v>6544</v>
      </c>
      <c r="U98" s="58"/>
      <c r="V98" s="58">
        <v>12930</v>
      </c>
      <c r="X98" s="32">
        <v>2217</v>
      </c>
      <c r="Y98" s="186">
        <f t="shared" si="26"/>
        <v>2733</v>
      </c>
      <c r="Z98" s="182">
        <v>4950</v>
      </c>
      <c r="AB98" s="274">
        <f>7654-Z98</f>
        <v>2704</v>
      </c>
      <c r="AC98" s="58">
        <f t="shared" si="27"/>
        <v>3267</v>
      </c>
      <c r="AD98" s="58">
        <f t="shared" si="28"/>
        <v>5971</v>
      </c>
      <c r="AE98" s="58"/>
      <c r="AF98" s="58">
        <v>10921</v>
      </c>
      <c r="AI98" s="25"/>
      <c r="AJ98" s="112"/>
      <c r="AK98" s="25"/>
      <c r="AM98" s="74"/>
      <c r="AN98" s="58"/>
      <c r="AO98" s="58"/>
      <c r="AP98" s="58"/>
      <c r="AQ98" s="58"/>
      <c r="AS98" s="112"/>
      <c r="AT98" s="112"/>
      <c r="AU98" s="25"/>
      <c r="AW98" s="74"/>
      <c r="AX98" s="58"/>
      <c r="AY98" s="88"/>
      <c r="AZ98" s="88"/>
      <c r="BA98" s="88"/>
      <c r="BC98" s="112"/>
      <c r="BD98" s="112"/>
      <c r="BE98" s="25"/>
      <c r="BG98" s="74"/>
      <c r="BH98" s="58"/>
      <c r="BI98" s="88"/>
      <c r="BJ98" s="88"/>
      <c r="BK98" s="88"/>
      <c r="BM98" s="112"/>
      <c r="BN98" s="112"/>
      <c r="BO98" s="25"/>
      <c r="BQ98" s="97"/>
      <c r="BR98" s="58"/>
      <c r="BS98" s="88"/>
      <c r="BT98" s="88"/>
      <c r="BU98" s="88"/>
      <c r="BX98" s="112"/>
      <c r="BY98" s="112"/>
      <c r="BZ98" s="25"/>
      <c r="CB98" s="97"/>
      <c r="CC98" s="58"/>
      <c r="CD98" s="88"/>
      <c r="CE98" s="88"/>
      <c r="CF98" s="88"/>
    </row>
    <row r="99" spans="2:84" ht="13.5" customHeight="1">
      <c r="B99" t="s">
        <v>119</v>
      </c>
      <c r="D99" s="16">
        <v>1056</v>
      </c>
      <c r="E99" s="186">
        <f t="shared" si="20"/>
        <v>1103</v>
      </c>
      <c r="F99" s="186">
        <v>2159</v>
      </c>
      <c r="H99" s="274">
        <f>3419-F99</f>
        <v>1260</v>
      </c>
      <c r="I99" s="58">
        <f t="shared" si="21"/>
        <v>1249</v>
      </c>
      <c r="J99" s="58">
        <f t="shared" si="22"/>
        <v>2509</v>
      </c>
      <c r="K99" s="58"/>
      <c r="L99" s="58">
        <v>4668</v>
      </c>
      <c r="N99" s="16">
        <v>1024</v>
      </c>
      <c r="O99" s="186">
        <f t="shared" si="23"/>
        <v>1033</v>
      </c>
      <c r="P99" s="186">
        <v>2057</v>
      </c>
      <c r="R99" s="274">
        <f>3175-P99</f>
        <v>1118</v>
      </c>
      <c r="S99" s="58">
        <f t="shared" si="24"/>
        <v>1332</v>
      </c>
      <c r="T99" s="58">
        <f t="shared" si="25"/>
        <v>2450</v>
      </c>
      <c r="U99" s="58"/>
      <c r="V99" s="58">
        <v>4507</v>
      </c>
      <c r="X99" s="16">
        <v>1060</v>
      </c>
      <c r="Y99" s="186">
        <f t="shared" si="26"/>
        <v>1062</v>
      </c>
      <c r="Z99" s="186">
        <v>2122</v>
      </c>
      <c r="AB99" s="274">
        <f>3254-Z99</f>
        <v>1132</v>
      </c>
      <c r="AC99" s="58">
        <f t="shared" si="27"/>
        <v>1296</v>
      </c>
      <c r="AD99" s="58">
        <f t="shared" si="28"/>
        <v>2428</v>
      </c>
      <c r="AE99" s="58"/>
      <c r="AF99" s="58">
        <v>4550</v>
      </c>
      <c r="AI99" s="112"/>
      <c r="AJ99" s="112"/>
      <c r="AK99" s="112"/>
      <c r="AM99" s="74"/>
      <c r="AN99" s="58"/>
      <c r="AO99" s="58"/>
      <c r="AP99" s="58"/>
      <c r="AQ99" s="58"/>
      <c r="AS99" s="112"/>
      <c r="AT99" s="112"/>
      <c r="AU99" s="112"/>
      <c r="AW99" s="74"/>
      <c r="AX99" s="58"/>
      <c r="AY99" s="88"/>
      <c r="AZ99" s="88"/>
      <c r="BA99" s="88"/>
      <c r="BC99" s="112"/>
      <c r="BD99" s="112"/>
      <c r="BE99" s="112"/>
      <c r="BG99" s="74"/>
      <c r="BH99" s="58"/>
      <c r="BI99" s="88"/>
      <c r="BJ99" s="88"/>
      <c r="BK99" s="88"/>
      <c r="BM99" s="112"/>
      <c r="BN99" s="112"/>
      <c r="BO99" s="112"/>
      <c r="BQ99" s="97"/>
      <c r="BR99" s="58"/>
      <c r="BS99" s="88"/>
      <c r="BT99" s="88"/>
      <c r="BU99" s="88"/>
      <c r="BX99" s="112"/>
      <c r="BY99" s="112"/>
      <c r="BZ99" s="112"/>
      <c r="CB99" s="97"/>
      <c r="CC99" s="58"/>
      <c r="CD99" s="88"/>
      <c r="CE99" s="88"/>
      <c r="CF99" s="88"/>
    </row>
    <row r="100" spans="2:84" ht="15.75" customHeight="1">
      <c r="D100" s="16"/>
      <c r="E100" s="186"/>
      <c r="F100" s="186"/>
      <c r="I100" s="58">
        <f t="shared" si="21"/>
        <v>0</v>
      </c>
      <c r="J100" s="58">
        <f t="shared" si="22"/>
        <v>0</v>
      </c>
      <c r="K100" s="58"/>
      <c r="L100" s="112"/>
      <c r="N100" s="16"/>
      <c r="O100" s="186"/>
      <c r="P100" s="186"/>
      <c r="S100" s="58">
        <f t="shared" si="24"/>
        <v>0</v>
      </c>
      <c r="T100" s="58">
        <f t="shared" si="25"/>
        <v>0</v>
      </c>
      <c r="U100" s="58"/>
      <c r="V100" s="112"/>
      <c r="X100" s="16"/>
      <c r="Y100" s="186"/>
      <c r="Z100" s="186"/>
      <c r="AC100" s="58">
        <f t="shared" si="27"/>
        <v>0</v>
      </c>
      <c r="AD100" s="58">
        <f t="shared" si="28"/>
        <v>0</v>
      </c>
      <c r="AE100" s="58"/>
      <c r="AF100" s="112"/>
      <c r="AI100" s="112"/>
      <c r="AJ100" s="112"/>
      <c r="AK100" s="112"/>
      <c r="AN100" s="58"/>
      <c r="AO100" s="58"/>
      <c r="AP100" s="58"/>
      <c r="AQ100" s="112"/>
      <c r="AS100" s="112"/>
      <c r="AT100" s="112"/>
      <c r="AU100" s="112"/>
      <c r="AX100" s="58"/>
      <c r="AY100" s="88"/>
      <c r="AZ100" s="88"/>
      <c r="BA100" s="98"/>
      <c r="BC100" s="112"/>
      <c r="BD100" s="112"/>
      <c r="BE100" s="112"/>
      <c r="BH100" s="58"/>
      <c r="BI100" s="88"/>
      <c r="BJ100" s="88"/>
      <c r="BK100" s="98"/>
      <c r="BM100" s="112"/>
      <c r="BN100" s="112"/>
      <c r="BO100" s="112"/>
      <c r="BR100" s="58"/>
      <c r="BS100" s="88"/>
      <c r="BT100" s="88"/>
      <c r="BU100" s="98"/>
      <c r="BX100" s="112"/>
      <c r="BY100" s="112"/>
      <c r="BZ100" s="112"/>
      <c r="CC100" s="58"/>
      <c r="CD100" s="88"/>
      <c r="CE100" s="88"/>
      <c r="CF100" s="98"/>
    </row>
    <row r="101" spans="2:84" ht="13.5" customHeight="1" thickBot="1">
      <c r="B101" s="12" t="s">
        <v>75</v>
      </c>
      <c r="C101" s="12"/>
      <c r="D101" s="13">
        <v>3253</v>
      </c>
      <c r="E101" s="185">
        <f t="shared" ref="E101:E105" si="29">F101-D101</f>
        <v>695</v>
      </c>
      <c r="F101" s="13">
        <v>3948</v>
      </c>
      <c r="G101" s="12"/>
      <c r="H101" s="273">
        <f>2498-F101</f>
        <v>-1450</v>
      </c>
      <c r="I101" s="57">
        <f t="shared" si="21"/>
        <v>315</v>
      </c>
      <c r="J101" s="57">
        <f t="shared" si="22"/>
        <v>-1135</v>
      </c>
      <c r="K101" s="57"/>
      <c r="L101" s="57">
        <v>2813</v>
      </c>
      <c r="M101" s="12"/>
      <c r="N101" s="13">
        <v>1620</v>
      </c>
      <c r="O101" s="185">
        <f t="shared" ref="O101:O105" si="30">P101-N101</f>
        <v>1758</v>
      </c>
      <c r="P101" s="185">
        <v>3378</v>
      </c>
      <c r="Q101" s="12"/>
      <c r="R101" s="273">
        <f>5301-P101</f>
        <v>1923</v>
      </c>
      <c r="S101" s="57">
        <f t="shared" si="24"/>
        <v>2558</v>
      </c>
      <c r="T101" s="57">
        <f t="shared" si="25"/>
        <v>4481</v>
      </c>
      <c r="U101" s="57"/>
      <c r="V101" s="57">
        <v>7859</v>
      </c>
      <c r="X101" s="13">
        <v>210</v>
      </c>
      <c r="Y101" s="185">
        <f t="shared" si="26"/>
        <v>679</v>
      </c>
      <c r="Z101" s="185">
        <v>889</v>
      </c>
      <c r="AA101" s="12"/>
      <c r="AB101" s="273">
        <f>1338-Z101</f>
        <v>449</v>
      </c>
      <c r="AC101" s="57">
        <f t="shared" si="27"/>
        <v>1204</v>
      </c>
      <c r="AD101" s="57">
        <f t="shared" si="28"/>
        <v>1653</v>
      </c>
      <c r="AE101" s="57"/>
      <c r="AF101" s="57">
        <v>2542</v>
      </c>
      <c r="AI101" s="112"/>
      <c r="AJ101" s="112"/>
      <c r="AK101" s="112"/>
      <c r="AM101" s="58"/>
      <c r="AN101" s="58"/>
      <c r="AO101" s="58"/>
      <c r="AP101" s="58"/>
      <c r="AQ101" s="58"/>
      <c r="AS101" s="112"/>
      <c r="AT101" s="112"/>
      <c r="AU101" s="112"/>
      <c r="AW101" s="58"/>
      <c r="AX101" s="58"/>
      <c r="AY101" s="88"/>
      <c r="AZ101" s="88"/>
      <c r="BA101" s="88"/>
      <c r="BC101" s="112"/>
      <c r="BD101" s="112"/>
      <c r="BE101" s="112"/>
      <c r="BG101" s="58"/>
      <c r="BH101" s="58"/>
      <c r="BI101" s="88"/>
      <c r="BJ101" s="88"/>
      <c r="BK101" s="88"/>
      <c r="BM101" s="112"/>
      <c r="BN101" s="112"/>
      <c r="BO101" s="112"/>
      <c r="BQ101" s="58"/>
      <c r="BR101" s="58"/>
      <c r="BS101" s="88"/>
      <c r="BT101" s="88"/>
      <c r="BU101" s="88"/>
      <c r="BX101" s="112"/>
      <c r="BY101" s="112"/>
      <c r="BZ101" s="112"/>
      <c r="CB101" s="58"/>
      <c r="CC101" s="58"/>
      <c r="CD101" s="88"/>
      <c r="CE101" s="88"/>
      <c r="CF101" s="88"/>
    </row>
    <row r="102" spans="2:84" ht="13.5" customHeight="1">
      <c r="B102" t="s">
        <v>111</v>
      </c>
      <c r="D102" s="16">
        <v>2474</v>
      </c>
      <c r="E102" s="186">
        <f t="shared" si="29"/>
        <v>-182</v>
      </c>
      <c r="F102" s="186">
        <v>2292</v>
      </c>
      <c r="H102" s="275">
        <f>21-F102</f>
        <v>-2271</v>
      </c>
      <c r="I102" s="85">
        <f t="shared" si="21"/>
        <v>489</v>
      </c>
      <c r="J102" s="16">
        <f t="shared" si="22"/>
        <v>-1782</v>
      </c>
      <c r="K102" s="58"/>
      <c r="L102" s="58">
        <v>510</v>
      </c>
      <c r="N102" s="16">
        <v>950</v>
      </c>
      <c r="O102" s="186">
        <f t="shared" si="30"/>
        <v>1015</v>
      </c>
      <c r="P102" s="186">
        <v>1965</v>
      </c>
      <c r="R102" s="275">
        <f>3007-P102</f>
        <v>1042</v>
      </c>
      <c r="S102" s="85">
        <f t="shared" si="24"/>
        <v>1768</v>
      </c>
      <c r="T102" s="16">
        <f t="shared" si="25"/>
        <v>2810</v>
      </c>
      <c r="U102" s="58"/>
      <c r="V102" s="58">
        <v>4775</v>
      </c>
      <c r="X102" s="16">
        <v>-184</v>
      </c>
      <c r="Y102" s="186">
        <f t="shared" si="26"/>
        <v>385</v>
      </c>
      <c r="Z102" s="186">
        <v>201</v>
      </c>
      <c r="AB102" s="275">
        <f>893-Z102</f>
        <v>692</v>
      </c>
      <c r="AC102" s="85">
        <f t="shared" si="27"/>
        <v>318</v>
      </c>
      <c r="AD102" s="16">
        <f t="shared" si="28"/>
        <v>1010</v>
      </c>
      <c r="AE102" s="58"/>
      <c r="AF102" s="58">
        <v>1211</v>
      </c>
      <c r="AI102" s="112"/>
      <c r="AJ102" s="112"/>
      <c r="AK102" s="112"/>
      <c r="AM102" s="112"/>
      <c r="AN102" s="58"/>
      <c r="AO102" s="112"/>
      <c r="AP102" s="58"/>
      <c r="AQ102" s="58"/>
      <c r="AS102" s="112"/>
      <c r="AT102" s="112"/>
      <c r="AU102" s="112"/>
      <c r="AW102" s="74"/>
      <c r="AX102" s="58"/>
      <c r="AY102" s="112"/>
      <c r="AZ102" s="88"/>
      <c r="BA102" s="88"/>
      <c r="BC102" s="112"/>
      <c r="BD102" s="112"/>
      <c r="BE102" s="112"/>
      <c r="BG102" s="74"/>
      <c r="BH102" s="58"/>
      <c r="BI102" s="88"/>
      <c r="BJ102" s="88"/>
      <c r="BK102" s="88"/>
      <c r="BM102" s="112"/>
      <c r="BN102" s="112"/>
      <c r="BO102" s="112"/>
      <c r="BQ102" s="97"/>
      <c r="BR102" s="58"/>
      <c r="BS102" s="88"/>
      <c r="BT102" s="88"/>
      <c r="BU102" s="88"/>
      <c r="BX102" s="112"/>
      <c r="BY102" s="112"/>
      <c r="BZ102" s="112"/>
      <c r="CB102" s="97"/>
      <c r="CC102" s="58"/>
      <c r="CD102" s="88"/>
      <c r="CE102" s="88"/>
      <c r="CF102" s="88"/>
    </row>
    <row r="103" spans="2:84" ht="13.5" customHeight="1">
      <c r="B103" t="s">
        <v>112</v>
      </c>
      <c r="D103" s="16">
        <v>279</v>
      </c>
      <c r="E103" s="186">
        <f t="shared" si="29"/>
        <v>325</v>
      </c>
      <c r="F103" s="186">
        <v>604</v>
      </c>
      <c r="H103" s="274">
        <f>956-F103</f>
        <v>352</v>
      </c>
      <c r="I103" s="58">
        <f t="shared" si="21"/>
        <v>184</v>
      </c>
      <c r="J103" s="58">
        <f t="shared" si="22"/>
        <v>536</v>
      </c>
      <c r="K103" s="58"/>
      <c r="L103" s="58">
        <v>1140</v>
      </c>
      <c r="N103" s="16">
        <v>153</v>
      </c>
      <c r="O103" s="186">
        <f t="shared" si="30"/>
        <v>235</v>
      </c>
      <c r="P103" s="186">
        <v>388</v>
      </c>
      <c r="R103" s="274">
        <f>716-P103</f>
        <v>328</v>
      </c>
      <c r="S103" s="58">
        <f t="shared" si="24"/>
        <v>254</v>
      </c>
      <c r="T103" s="58">
        <f t="shared" si="25"/>
        <v>582</v>
      </c>
      <c r="U103" s="58"/>
      <c r="V103" s="58">
        <v>970</v>
      </c>
      <c r="X103" s="16">
        <v>7</v>
      </c>
      <c r="Y103" s="186">
        <f t="shared" si="26"/>
        <v>8</v>
      </c>
      <c r="Z103" s="186">
        <v>15</v>
      </c>
      <c r="AB103" s="274">
        <f>66-Z103</f>
        <v>51</v>
      </c>
      <c r="AC103" s="58">
        <f t="shared" si="27"/>
        <v>-38</v>
      </c>
      <c r="AD103" s="58">
        <f t="shared" si="28"/>
        <v>13</v>
      </c>
      <c r="AE103" s="58"/>
      <c r="AF103" s="58">
        <v>28</v>
      </c>
      <c r="AI103" s="112"/>
      <c r="AJ103" s="112"/>
      <c r="AK103" s="112"/>
      <c r="AM103" s="74"/>
      <c r="AN103" s="58"/>
      <c r="AO103" s="58"/>
      <c r="AP103" s="58"/>
      <c r="AQ103" s="58"/>
      <c r="AS103" s="112"/>
      <c r="AT103" s="112"/>
      <c r="AU103" s="112"/>
      <c r="AW103" s="74"/>
      <c r="AX103" s="58"/>
      <c r="AY103" s="88"/>
      <c r="AZ103" s="88"/>
      <c r="BA103" s="88"/>
      <c r="BC103" s="112"/>
      <c r="BD103" s="112"/>
      <c r="BE103" s="112"/>
      <c r="BG103" s="74"/>
      <c r="BH103" s="58"/>
      <c r="BI103" s="88"/>
      <c r="BJ103" s="88"/>
      <c r="BK103" s="88"/>
      <c r="BM103" s="112"/>
      <c r="BN103" s="112"/>
      <c r="BO103" s="112"/>
      <c r="BQ103" s="97"/>
      <c r="BR103" s="58"/>
      <c r="BS103" s="88"/>
      <c r="BT103" s="88"/>
      <c r="BU103" s="88"/>
      <c r="BX103" s="112"/>
      <c r="BY103" s="112"/>
      <c r="BZ103" s="112"/>
      <c r="CB103" s="97"/>
      <c r="CC103" s="58"/>
      <c r="CD103" s="88"/>
      <c r="CE103" s="88"/>
      <c r="CF103" s="88"/>
    </row>
    <row r="104" spans="2:84" ht="13.5" customHeight="1">
      <c r="B104" t="s">
        <v>118</v>
      </c>
      <c r="D104" s="16">
        <v>411</v>
      </c>
      <c r="E104" s="186">
        <f t="shared" si="29"/>
        <v>399</v>
      </c>
      <c r="F104" s="186">
        <v>810</v>
      </c>
      <c r="H104" s="275">
        <f>1169-F104</f>
        <v>359</v>
      </c>
      <c r="I104" s="58">
        <f t="shared" si="21"/>
        <v>-482</v>
      </c>
      <c r="J104" s="58">
        <f t="shared" si="22"/>
        <v>-123</v>
      </c>
      <c r="K104" s="58"/>
      <c r="L104" s="58">
        <v>687</v>
      </c>
      <c r="N104" s="16">
        <v>408</v>
      </c>
      <c r="O104" s="186">
        <f t="shared" si="30"/>
        <v>379</v>
      </c>
      <c r="P104" s="186">
        <v>787</v>
      </c>
      <c r="R104" s="275">
        <f>1227-P104</f>
        <v>440</v>
      </c>
      <c r="S104" s="58">
        <f t="shared" si="24"/>
        <v>355</v>
      </c>
      <c r="T104" s="58">
        <f t="shared" si="25"/>
        <v>795</v>
      </c>
      <c r="U104" s="58"/>
      <c r="V104" s="58">
        <v>1582</v>
      </c>
      <c r="X104" s="16">
        <v>192</v>
      </c>
      <c r="Y104" s="186">
        <f t="shared" si="26"/>
        <v>177</v>
      </c>
      <c r="Z104" s="186">
        <v>369</v>
      </c>
      <c r="AB104" s="275">
        <f>-54-Z104</f>
        <v>-423</v>
      </c>
      <c r="AC104" s="58">
        <f t="shared" si="27"/>
        <v>835</v>
      </c>
      <c r="AD104" s="58">
        <f t="shared" si="28"/>
        <v>412</v>
      </c>
      <c r="AE104" s="58"/>
      <c r="AF104" s="58">
        <v>781</v>
      </c>
      <c r="AI104" s="112"/>
      <c r="AJ104" s="112"/>
      <c r="AK104" s="112"/>
      <c r="AM104" s="74"/>
      <c r="AN104" s="58"/>
      <c r="AO104" s="58"/>
      <c r="AP104" s="58"/>
      <c r="AQ104" s="58"/>
      <c r="AS104" s="112"/>
      <c r="AT104" s="112"/>
      <c r="AU104" s="112"/>
      <c r="AW104" s="74"/>
      <c r="AX104" s="58"/>
      <c r="AY104" s="88"/>
      <c r="AZ104" s="88"/>
      <c r="BA104" s="88"/>
      <c r="BC104" s="112"/>
      <c r="BD104" s="112"/>
      <c r="BE104" s="112"/>
      <c r="BG104" s="74"/>
      <c r="BH104" s="58"/>
      <c r="BI104" s="88"/>
      <c r="BJ104" s="88"/>
      <c r="BK104" s="88"/>
      <c r="BM104" s="112"/>
      <c r="BN104" s="112"/>
      <c r="BO104" s="112"/>
      <c r="BQ104" s="97"/>
      <c r="BR104" s="58"/>
      <c r="BS104" s="88"/>
      <c r="BT104" s="88"/>
      <c r="BU104" s="88"/>
      <c r="BX104" s="112"/>
      <c r="BY104" s="112"/>
      <c r="BZ104" s="112"/>
      <c r="CB104" s="97"/>
      <c r="CC104" s="58"/>
      <c r="CD104" s="88"/>
      <c r="CE104" s="88"/>
      <c r="CF104" s="88"/>
    </row>
    <row r="105" spans="2:84" ht="13.5" customHeight="1">
      <c r="B105" t="s">
        <v>119</v>
      </c>
      <c r="D105" s="16">
        <v>89</v>
      </c>
      <c r="E105" s="186">
        <f t="shared" si="29"/>
        <v>153</v>
      </c>
      <c r="F105" s="186">
        <v>242</v>
      </c>
      <c r="H105" s="274">
        <f>352-F105</f>
        <v>110</v>
      </c>
      <c r="I105" s="58">
        <f t="shared" si="21"/>
        <v>124</v>
      </c>
      <c r="J105" s="58">
        <f t="shared" si="22"/>
        <v>234</v>
      </c>
      <c r="K105" s="58"/>
      <c r="L105" s="58">
        <v>476</v>
      </c>
      <c r="N105" s="16">
        <v>109</v>
      </c>
      <c r="O105" s="186">
        <f t="shared" si="30"/>
        <v>129</v>
      </c>
      <c r="P105" s="186">
        <v>238</v>
      </c>
      <c r="R105" s="274">
        <f>351-P105</f>
        <v>113</v>
      </c>
      <c r="S105" s="58">
        <f t="shared" si="24"/>
        <v>181</v>
      </c>
      <c r="T105" s="58">
        <f t="shared" si="25"/>
        <v>294</v>
      </c>
      <c r="U105" s="58"/>
      <c r="V105" s="58">
        <v>532</v>
      </c>
      <c r="X105" s="16">
        <v>195</v>
      </c>
      <c r="Y105" s="186">
        <f t="shared" si="26"/>
        <v>109</v>
      </c>
      <c r="Z105" s="186">
        <v>304</v>
      </c>
      <c r="AB105" s="274">
        <f>433-Z105</f>
        <v>129</v>
      </c>
      <c r="AC105" s="58">
        <f t="shared" si="27"/>
        <v>89</v>
      </c>
      <c r="AD105" s="58">
        <f t="shared" si="28"/>
        <v>218</v>
      </c>
      <c r="AE105" s="58"/>
      <c r="AF105" s="58">
        <v>522</v>
      </c>
      <c r="AI105" s="112"/>
      <c r="AJ105" s="112"/>
      <c r="AK105" s="112"/>
      <c r="AM105" s="74"/>
      <c r="AN105" s="58"/>
      <c r="AO105" s="58"/>
      <c r="AP105" s="58"/>
      <c r="AQ105" s="58"/>
      <c r="AS105" s="112"/>
      <c r="AT105" s="112"/>
      <c r="AU105" s="112"/>
      <c r="AW105" s="74"/>
      <c r="AX105" s="58"/>
      <c r="AY105" s="88"/>
      <c r="AZ105" s="88"/>
      <c r="BA105" s="88"/>
      <c r="BC105" s="112"/>
      <c r="BD105" s="112"/>
      <c r="BE105" s="112"/>
      <c r="BG105" s="74"/>
      <c r="BH105" s="58"/>
      <c r="BI105" s="88"/>
      <c r="BJ105" s="88"/>
      <c r="BK105" s="88"/>
      <c r="BM105" s="112"/>
      <c r="BN105" s="112"/>
      <c r="BO105" s="112"/>
      <c r="BQ105" s="97"/>
      <c r="BR105" s="58"/>
      <c r="BS105" s="88"/>
      <c r="BT105" s="88"/>
      <c r="BU105" s="88"/>
      <c r="BX105" s="112"/>
      <c r="BY105" s="112"/>
      <c r="BZ105" s="112"/>
      <c r="CB105" s="97"/>
      <c r="CC105" s="58"/>
      <c r="CD105" s="88"/>
      <c r="CE105" s="88"/>
      <c r="CF105" s="88"/>
    </row>
    <row r="106" spans="2:84" ht="13.5" customHeight="1">
      <c r="D106" s="16"/>
      <c r="E106" s="186"/>
      <c r="F106" s="186"/>
      <c r="H106" s="148"/>
      <c r="I106" s="58">
        <f t="shared" si="21"/>
        <v>0</v>
      </c>
      <c r="J106" s="58">
        <f t="shared" si="22"/>
        <v>0</v>
      </c>
      <c r="K106" s="58"/>
      <c r="L106" s="112"/>
      <c r="N106" s="16"/>
      <c r="O106" s="186"/>
      <c r="P106" s="186"/>
      <c r="R106" s="148"/>
      <c r="S106" s="58"/>
      <c r="T106" s="58"/>
      <c r="U106" s="58"/>
      <c r="V106" s="112"/>
      <c r="X106" s="16"/>
      <c r="Y106" s="186"/>
      <c r="Z106" s="186"/>
      <c r="AB106" s="148"/>
      <c r="AC106" s="58"/>
      <c r="AD106" s="58"/>
      <c r="AE106" s="58"/>
      <c r="AF106" s="112"/>
      <c r="AI106" s="112"/>
      <c r="AJ106" s="112"/>
      <c r="AK106" s="112"/>
      <c r="AM106" s="74"/>
      <c r="AN106" s="58"/>
      <c r="AO106" s="58"/>
      <c r="AP106" s="58"/>
      <c r="AQ106" s="112"/>
      <c r="AS106" s="112"/>
      <c r="AT106" s="112"/>
      <c r="AU106" s="112"/>
      <c r="AW106" s="74"/>
      <c r="AX106" s="58"/>
      <c r="AY106" s="88"/>
      <c r="AZ106" s="88"/>
      <c r="BA106" s="98"/>
      <c r="BC106" s="112"/>
      <c r="BD106" s="112"/>
      <c r="BE106" s="112"/>
      <c r="BH106" s="58"/>
      <c r="BI106" s="88"/>
      <c r="BJ106" s="88"/>
      <c r="BK106" s="98"/>
      <c r="BM106" s="112"/>
      <c r="BN106" s="112"/>
      <c r="BO106" s="112"/>
      <c r="BR106" s="58"/>
      <c r="BS106" s="88"/>
      <c r="BT106" s="88"/>
      <c r="BU106" s="98"/>
      <c r="BX106" s="112"/>
      <c r="BY106" s="112"/>
      <c r="BZ106" s="112"/>
      <c r="CC106" s="58"/>
      <c r="CD106" s="88"/>
      <c r="CE106" s="88"/>
      <c r="CF106" s="98"/>
    </row>
    <row r="107" spans="2:84" ht="13.5" customHeight="1" thickBot="1">
      <c r="B107" s="12" t="s">
        <v>153</v>
      </c>
      <c r="C107" s="12"/>
      <c r="D107" s="13">
        <v>67</v>
      </c>
      <c r="E107" s="185">
        <f t="shared" ref="E107:E111" si="31">F107-D107</f>
        <v>-38</v>
      </c>
      <c r="F107" s="185">
        <v>29</v>
      </c>
      <c r="G107" s="12"/>
      <c r="H107" s="276">
        <f>-170-F107</f>
        <v>-199</v>
      </c>
      <c r="I107" s="57">
        <f t="shared" si="21"/>
        <v>-69</v>
      </c>
      <c r="J107" s="57">
        <f t="shared" si="22"/>
        <v>-268</v>
      </c>
      <c r="K107" s="57"/>
      <c r="L107" s="58">
        <v>-239</v>
      </c>
      <c r="M107" s="12"/>
      <c r="N107" s="13">
        <v>-48</v>
      </c>
      <c r="O107" s="185">
        <f t="shared" ref="O107:O111" si="32">P107-N107</f>
        <v>-48</v>
      </c>
      <c r="P107" s="185">
        <v>-96</v>
      </c>
      <c r="Q107" s="12"/>
      <c r="R107" s="276">
        <f>-149-P107</f>
        <v>-53</v>
      </c>
      <c r="S107" s="57">
        <f t="shared" si="24"/>
        <v>8</v>
      </c>
      <c r="T107" s="57">
        <f t="shared" si="25"/>
        <v>-45</v>
      </c>
      <c r="U107" s="57"/>
      <c r="V107" s="58">
        <v>-141</v>
      </c>
      <c r="X107" s="13">
        <v>-64</v>
      </c>
      <c r="Y107" s="185">
        <f t="shared" si="26"/>
        <v>-54</v>
      </c>
      <c r="Z107" s="185">
        <v>-118</v>
      </c>
      <c r="AA107" s="12"/>
      <c r="AB107" s="276">
        <f>-173-Z107</f>
        <v>-55</v>
      </c>
      <c r="AC107" s="57">
        <f t="shared" si="27"/>
        <v>-60</v>
      </c>
      <c r="AD107" s="57">
        <f t="shared" si="28"/>
        <v>-115</v>
      </c>
      <c r="AE107" s="57"/>
      <c r="AF107" s="58">
        <v>-233</v>
      </c>
      <c r="AI107" s="112"/>
      <c r="AJ107" s="112"/>
      <c r="AK107" s="112"/>
      <c r="AM107" s="58"/>
      <c r="AN107" s="58"/>
      <c r="AO107" s="58"/>
      <c r="AP107" s="58"/>
      <c r="AQ107" s="58"/>
      <c r="AS107" s="112"/>
      <c r="AT107" s="112"/>
      <c r="AU107" s="112"/>
      <c r="AW107" s="58"/>
      <c r="AX107" s="58"/>
      <c r="AY107" s="88"/>
      <c r="AZ107" s="88"/>
      <c r="BA107" s="88"/>
      <c r="BC107" s="112"/>
      <c r="BD107" s="112"/>
      <c r="BE107" s="112"/>
      <c r="BG107" s="58"/>
      <c r="BH107" s="58"/>
      <c r="BI107" s="88"/>
      <c r="BJ107" s="88"/>
      <c r="BK107" s="88"/>
      <c r="BM107" s="112"/>
      <c r="BN107" s="112"/>
      <c r="BO107" s="112"/>
      <c r="BQ107" s="58"/>
      <c r="BR107" s="58"/>
      <c r="BS107" s="88"/>
      <c r="BT107" s="88"/>
      <c r="BU107" s="88"/>
      <c r="BX107" s="112"/>
      <c r="BY107" s="112"/>
      <c r="BZ107" s="112"/>
      <c r="CB107" s="58"/>
      <c r="CC107" s="58"/>
      <c r="CD107" s="88"/>
      <c r="CE107" s="88"/>
      <c r="CF107" s="88"/>
    </row>
    <row r="108" spans="2:84" ht="13.5" customHeight="1">
      <c r="B108" t="s">
        <v>111</v>
      </c>
      <c r="D108" s="16">
        <v>-26</v>
      </c>
      <c r="E108" s="186">
        <f t="shared" si="31"/>
        <v>-50</v>
      </c>
      <c r="F108" s="186">
        <v>-76</v>
      </c>
      <c r="H108" s="275">
        <f>-118-F108</f>
        <v>-42</v>
      </c>
      <c r="I108" s="85">
        <f t="shared" si="21"/>
        <v>-38</v>
      </c>
      <c r="J108" s="85">
        <f t="shared" si="22"/>
        <v>-80</v>
      </c>
      <c r="K108" s="58"/>
      <c r="L108" s="85">
        <v>-156</v>
      </c>
      <c r="N108" s="16">
        <v>-13</v>
      </c>
      <c r="O108" s="186">
        <f t="shared" si="32"/>
        <v>-16</v>
      </c>
      <c r="P108" s="186">
        <v>-29</v>
      </c>
      <c r="R108" s="275">
        <f>-41-P108</f>
        <v>-12</v>
      </c>
      <c r="S108" s="85">
        <f t="shared" si="24"/>
        <v>-4</v>
      </c>
      <c r="T108" s="85">
        <f t="shared" si="25"/>
        <v>-16</v>
      </c>
      <c r="U108" s="58"/>
      <c r="V108" s="85">
        <v>-45</v>
      </c>
      <c r="X108" s="16">
        <v>-8</v>
      </c>
      <c r="Y108" s="186">
        <f t="shared" si="26"/>
        <v>-6</v>
      </c>
      <c r="Z108" s="186">
        <v>-14</v>
      </c>
      <c r="AB108" s="275">
        <f>-29-Z108</f>
        <v>-15</v>
      </c>
      <c r="AC108" s="85">
        <f t="shared" si="27"/>
        <v>-17</v>
      </c>
      <c r="AD108" s="85">
        <f t="shared" si="28"/>
        <v>-32</v>
      </c>
      <c r="AE108" s="58"/>
      <c r="AF108" s="85">
        <v>-46</v>
      </c>
      <c r="AI108" s="112"/>
      <c r="AJ108" s="112"/>
      <c r="AK108" s="112"/>
      <c r="AM108" s="58"/>
      <c r="AN108" s="58"/>
      <c r="AO108" s="58"/>
      <c r="AP108" s="58"/>
      <c r="AQ108" s="58"/>
      <c r="AS108" s="112"/>
      <c r="AT108" s="112"/>
      <c r="AU108" s="112"/>
      <c r="AW108" s="58"/>
      <c r="AX108" s="58"/>
      <c r="AY108" s="88"/>
      <c r="AZ108" s="88"/>
      <c r="BA108" s="88"/>
      <c r="BC108" s="112"/>
      <c r="BD108" s="112"/>
      <c r="BE108" s="112"/>
      <c r="BH108" s="58"/>
      <c r="BI108" s="88"/>
      <c r="BJ108" s="88"/>
      <c r="BK108" s="88"/>
      <c r="BM108" s="112"/>
      <c r="BN108" s="112"/>
      <c r="BO108" s="112"/>
      <c r="BQ108" s="58"/>
      <c r="BR108" s="58"/>
      <c r="BS108" s="88"/>
      <c r="BT108" s="88"/>
      <c r="BU108" s="88"/>
      <c r="BX108" s="112"/>
      <c r="BY108" s="112"/>
      <c r="BZ108" s="112"/>
      <c r="CC108" s="58"/>
      <c r="CD108" s="88"/>
      <c r="CE108" s="88"/>
      <c r="CF108" s="88"/>
    </row>
    <row r="109" spans="2:84" ht="13.5" customHeight="1">
      <c r="B109" t="s">
        <v>112</v>
      </c>
      <c r="D109" s="16">
        <v>-12</v>
      </c>
      <c r="E109" s="186">
        <f t="shared" si="31"/>
        <v>-2</v>
      </c>
      <c r="F109" s="186">
        <v>-14</v>
      </c>
      <c r="H109" s="275">
        <f>-25-F109</f>
        <v>-11</v>
      </c>
      <c r="I109" s="58">
        <f t="shared" si="21"/>
        <v>21</v>
      </c>
      <c r="J109" s="58">
        <f t="shared" si="22"/>
        <v>10</v>
      </c>
      <c r="K109" s="58"/>
      <c r="L109" s="58">
        <v>-4</v>
      </c>
      <c r="N109" s="16">
        <v>-17</v>
      </c>
      <c r="O109" s="186">
        <f t="shared" si="32"/>
        <v>-18</v>
      </c>
      <c r="P109" s="186">
        <v>-35</v>
      </c>
      <c r="R109" s="275">
        <f>-51-P109</f>
        <v>-16</v>
      </c>
      <c r="S109" s="58">
        <f t="shared" si="24"/>
        <v>-28</v>
      </c>
      <c r="T109" s="58">
        <f t="shared" si="25"/>
        <v>-44</v>
      </c>
      <c r="U109" s="58"/>
      <c r="V109" s="58">
        <v>-79</v>
      </c>
      <c r="X109" s="16">
        <v>-24</v>
      </c>
      <c r="Y109" s="186">
        <f t="shared" si="26"/>
        <v>-17</v>
      </c>
      <c r="Z109" s="186">
        <v>-41</v>
      </c>
      <c r="AB109" s="275">
        <f>-56-Z109</f>
        <v>-15</v>
      </c>
      <c r="AC109" s="58">
        <f t="shared" si="27"/>
        <v>-48</v>
      </c>
      <c r="AD109" s="58">
        <f t="shared" si="28"/>
        <v>-63</v>
      </c>
      <c r="AE109" s="58"/>
      <c r="AF109" s="58">
        <v>-104</v>
      </c>
      <c r="AI109" s="112"/>
      <c r="AJ109" s="112"/>
      <c r="AK109" s="112"/>
      <c r="AM109" s="112"/>
      <c r="AN109" s="58"/>
      <c r="AO109" s="58"/>
      <c r="AP109" s="58"/>
      <c r="AQ109" s="58"/>
      <c r="AS109" s="112"/>
      <c r="AT109" s="112"/>
      <c r="AU109" s="112"/>
      <c r="AW109" s="112"/>
      <c r="AX109" s="58"/>
      <c r="AY109" s="88"/>
      <c r="AZ109" s="88"/>
      <c r="BA109" s="88"/>
      <c r="BC109" s="112"/>
      <c r="BD109" s="112"/>
      <c r="BE109" s="112"/>
      <c r="BG109" s="112"/>
      <c r="BH109" s="58"/>
      <c r="BI109" s="88"/>
      <c r="BJ109" s="88"/>
      <c r="BK109" s="88"/>
      <c r="BM109" s="112"/>
      <c r="BN109" s="112"/>
      <c r="BO109" s="112"/>
      <c r="BQ109" s="58"/>
      <c r="BR109" s="58"/>
      <c r="BS109" s="88"/>
      <c r="BT109" s="88"/>
      <c r="BU109" s="88"/>
      <c r="BX109" s="112"/>
      <c r="BY109" s="112"/>
      <c r="BZ109" s="112"/>
      <c r="CC109" s="58"/>
      <c r="CD109" s="88"/>
      <c r="CE109" s="88"/>
      <c r="CF109" s="88"/>
    </row>
    <row r="110" spans="2:84" ht="13.5" customHeight="1">
      <c r="B110" t="s">
        <v>74</v>
      </c>
      <c r="D110" s="16">
        <v>113</v>
      </c>
      <c r="E110" s="186">
        <f t="shared" si="31"/>
        <v>48</v>
      </c>
      <c r="F110" s="186">
        <v>161</v>
      </c>
      <c r="H110" s="275">
        <f>1-F110</f>
        <v>-160</v>
      </c>
      <c r="I110" s="58">
        <f t="shared" si="21"/>
        <v>-53</v>
      </c>
      <c r="J110" s="58">
        <f t="shared" si="22"/>
        <v>-213</v>
      </c>
      <c r="K110" s="58"/>
      <c r="L110" s="58">
        <v>-52</v>
      </c>
      <c r="N110" s="16">
        <v>-12</v>
      </c>
      <c r="O110" s="186">
        <f t="shared" si="32"/>
        <v>0</v>
      </c>
      <c r="P110" s="186">
        <v>-12</v>
      </c>
      <c r="R110" s="275">
        <f>3-P110</f>
        <v>15</v>
      </c>
      <c r="S110" s="58">
        <f t="shared" si="24"/>
        <v>54</v>
      </c>
      <c r="T110" s="58">
        <f t="shared" si="25"/>
        <v>69</v>
      </c>
      <c r="U110" s="58"/>
      <c r="V110" s="58">
        <v>57</v>
      </c>
      <c r="X110" s="16">
        <v>-29</v>
      </c>
      <c r="Y110" s="186">
        <f t="shared" si="26"/>
        <v>-24</v>
      </c>
      <c r="Z110" s="186">
        <v>-53</v>
      </c>
      <c r="AB110" s="275">
        <f>-72-Z110</f>
        <v>-19</v>
      </c>
      <c r="AC110" s="58">
        <f t="shared" si="27"/>
        <v>11</v>
      </c>
      <c r="AD110" s="58">
        <f t="shared" si="28"/>
        <v>-8</v>
      </c>
      <c r="AE110" s="58"/>
      <c r="AF110" s="58">
        <v>-61</v>
      </c>
      <c r="AI110" s="112"/>
      <c r="AJ110" s="112"/>
      <c r="AK110" s="112"/>
      <c r="AM110" s="178"/>
      <c r="AN110" s="58"/>
      <c r="AO110" s="58"/>
      <c r="AP110" s="58"/>
      <c r="AQ110" s="58"/>
      <c r="AS110" s="112"/>
      <c r="AT110" s="112"/>
      <c r="AU110" s="112"/>
      <c r="AW110" s="178"/>
      <c r="AX110" s="58"/>
      <c r="AY110" s="88"/>
      <c r="AZ110" s="88"/>
      <c r="BA110" s="88"/>
      <c r="BC110" s="112"/>
      <c r="BD110" s="112"/>
      <c r="BE110" s="112"/>
      <c r="BH110" s="58"/>
      <c r="BI110" s="88"/>
      <c r="BJ110" s="88"/>
      <c r="BK110" s="88"/>
      <c r="BM110" s="112"/>
      <c r="BN110" s="112"/>
      <c r="BO110" s="112"/>
      <c r="BQ110" s="58"/>
      <c r="BR110" s="58"/>
      <c r="BS110" s="88"/>
      <c r="BT110" s="88"/>
      <c r="BU110" s="88"/>
      <c r="BX110" s="112"/>
      <c r="BY110" s="112"/>
      <c r="BZ110" s="112"/>
      <c r="CC110" s="58"/>
      <c r="CD110" s="88"/>
      <c r="CE110" s="88"/>
      <c r="CF110" s="88"/>
    </row>
    <row r="111" spans="2:84" ht="13.5" customHeight="1">
      <c r="B111" t="s">
        <v>119</v>
      </c>
      <c r="D111" s="16">
        <v>-8</v>
      </c>
      <c r="E111" s="186">
        <f t="shared" si="31"/>
        <v>-34</v>
      </c>
      <c r="F111" s="186">
        <v>-42</v>
      </c>
      <c r="H111" s="275">
        <f>-28-F111</f>
        <v>14</v>
      </c>
      <c r="I111" s="58">
        <f t="shared" si="21"/>
        <v>1</v>
      </c>
      <c r="J111" s="58">
        <f t="shared" si="22"/>
        <v>15</v>
      </c>
      <c r="K111" s="58"/>
      <c r="L111" s="58">
        <v>-27</v>
      </c>
      <c r="N111" s="16">
        <v>-6</v>
      </c>
      <c r="O111" s="186">
        <f t="shared" si="32"/>
        <v>-14</v>
      </c>
      <c r="P111" s="186">
        <v>-20</v>
      </c>
      <c r="R111" s="275">
        <f>-60-P111</f>
        <v>-40</v>
      </c>
      <c r="S111" s="58">
        <f t="shared" si="24"/>
        <v>-14</v>
      </c>
      <c r="T111" s="58">
        <f t="shared" si="25"/>
        <v>-54</v>
      </c>
      <c r="U111" s="58"/>
      <c r="V111" s="58">
        <v>-74</v>
      </c>
      <c r="X111" s="16">
        <v>-3</v>
      </c>
      <c r="Y111" s="186">
        <f t="shared" si="26"/>
        <v>-7</v>
      </c>
      <c r="Z111" s="186">
        <v>-10</v>
      </c>
      <c r="AB111" s="275">
        <f>-16-Z111</f>
        <v>-6</v>
      </c>
      <c r="AC111" s="58">
        <f t="shared" si="27"/>
        <v>-6</v>
      </c>
      <c r="AD111" s="58">
        <f t="shared" si="28"/>
        <v>-12</v>
      </c>
      <c r="AE111" s="58"/>
      <c r="AF111" s="58">
        <v>-22</v>
      </c>
      <c r="AI111" s="112"/>
      <c r="AJ111" s="112"/>
      <c r="AK111" s="112"/>
      <c r="AM111" s="178"/>
      <c r="AN111" s="58"/>
      <c r="AO111" s="58"/>
      <c r="AP111" s="58"/>
      <c r="AQ111" s="58"/>
      <c r="AS111" s="112"/>
      <c r="AT111" s="112"/>
      <c r="AU111" s="112"/>
      <c r="AW111" s="178"/>
      <c r="AX111" s="58"/>
      <c r="AY111" s="88"/>
      <c r="AZ111" s="88"/>
      <c r="BA111" s="88"/>
      <c r="BC111" s="112"/>
      <c r="BD111" s="112"/>
      <c r="BE111" s="112"/>
      <c r="BH111" s="58"/>
      <c r="BI111" s="88"/>
      <c r="BJ111" s="88"/>
      <c r="BK111" s="88"/>
      <c r="BM111" s="112"/>
      <c r="BN111" s="112"/>
      <c r="BO111" s="112"/>
      <c r="BQ111" s="58"/>
      <c r="BR111" s="58"/>
      <c r="BS111" s="88"/>
      <c r="BT111" s="88"/>
      <c r="BU111" s="88"/>
      <c r="BX111" s="112"/>
      <c r="BY111" s="112"/>
      <c r="BZ111" s="112"/>
      <c r="CC111" s="58"/>
      <c r="CD111" s="88"/>
      <c r="CE111" s="88"/>
      <c r="CF111" s="88"/>
    </row>
    <row r="112" spans="2:84" ht="13.5" customHeight="1">
      <c r="D112" s="16"/>
      <c r="E112" s="186"/>
      <c r="F112" s="186"/>
      <c r="I112" s="58">
        <f t="shared" si="21"/>
        <v>0</v>
      </c>
      <c r="J112" s="58">
        <f t="shared" si="22"/>
        <v>0</v>
      </c>
      <c r="K112" s="58"/>
      <c r="L112" s="112"/>
      <c r="N112" s="16"/>
      <c r="O112" s="186"/>
      <c r="P112" s="186"/>
      <c r="S112" s="58">
        <f t="shared" si="24"/>
        <v>0</v>
      </c>
      <c r="T112" s="58">
        <f t="shared" si="25"/>
        <v>0</v>
      </c>
      <c r="U112" s="58"/>
      <c r="V112" s="112"/>
      <c r="X112" s="16"/>
      <c r="Y112" s="186"/>
      <c r="Z112" s="186"/>
      <c r="AC112" s="58">
        <f t="shared" si="27"/>
        <v>0</v>
      </c>
      <c r="AD112" s="58">
        <f t="shared" si="28"/>
        <v>0</v>
      </c>
      <c r="AE112" s="58"/>
      <c r="AF112" s="112"/>
      <c r="AI112" s="112"/>
      <c r="AJ112" s="112"/>
      <c r="AK112" s="112"/>
      <c r="AN112" s="58"/>
      <c r="AO112" s="58"/>
      <c r="AP112" s="58"/>
      <c r="AQ112" s="112"/>
      <c r="AS112" s="112"/>
      <c r="AT112" s="112"/>
      <c r="AU112" s="112"/>
      <c r="AX112" s="58"/>
      <c r="AY112" s="88"/>
      <c r="AZ112" s="88"/>
      <c r="BA112" s="98"/>
      <c r="BC112" s="112"/>
      <c r="BD112" s="112"/>
      <c r="BE112" s="112"/>
      <c r="BH112" s="58"/>
      <c r="BI112" s="88"/>
      <c r="BJ112" s="88"/>
      <c r="BK112" s="98"/>
      <c r="BM112" s="112"/>
      <c r="BN112" s="112"/>
      <c r="BO112" s="112"/>
      <c r="BR112" s="58"/>
      <c r="BS112" s="88"/>
      <c r="BT112" s="88"/>
      <c r="BU112" s="98"/>
      <c r="BX112" s="112"/>
      <c r="BY112" s="112"/>
      <c r="BZ112" s="112"/>
      <c r="CC112" s="58"/>
      <c r="CD112" s="88"/>
      <c r="CE112" s="88"/>
      <c r="CF112" s="98"/>
    </row>
    <row r="113" spans="1:84" ht="13.5" customHeight="1" thickBot="1">
      <c r="B113" s="12" t="s">
        <v>166</v>
      </c>
      <c r="C113" s="12"/>
      <c r="D113" s="13">
        <v>2214</v>
      </c>
      <c r="E113" s="185">
        <f t="shared" ref="E113:E117" si="33">F113-D113</f>
        <v>274</v>
      </c>
      <c r="F113" s="185">
        <v>2488</v>
      </c>
      <c r="G113" s="12"/>
      <c r="H113" s="273">
        <f>960-F113</f>
        <v>-1528</v>
      </c>
      <c r="I113" s="57">
        <f t="shared" si="21"/>
        <v>478</v>
      </c>
      <c r="J113" s="57">
        <f t="shared" si="22"/>
        <v>-1050</v>
      </c>
      <c r="K113" s="57"/>
      <c r="L113" s="57">
        <v>1438</v>
      </c>
      <c r="M113" s="12"/>
      <c r="N113" s="13">
        <v>976</v>
      </c>
      <c r="O113" s="185">
        <f t="shared" ref="O113:O117" si="34">P113-N113</f>
        <v>1138</v>
      </c>
      <c r="P113" s="185">
        <v>2114</v>
      </c>
      <c r="Q113" s="12"/>
      <c r="R113" s="273">
        <f>3318-P113</f>
        <v>1204</v>
      </c>
      <c r="S113" s="57">
        <f t="shared" si="24"/>
        <v>2053</v>
      </c>
      <c r="T113" s="57">
        <f t="shared" si="25"/>
        <v>3257</v>
      </c>
      <c r="U113" s="57"/>
      <c r="V113" s="57">
        <v>5371</v>
      </c>
      <c r="X113" s="13">
        <v>-49</v>
      </c>
      <c r="Y113" s="185">
        <f t="shared" si="26"/>
        <v>413</v>
      </c>
      <c r="Z113" s="185">
        <v>364</v>
      </c>
      <c r="AA113" s="12"/>
      <c r="AB113" s="273">
        <f>670-Z113</f>
        <v>306</v>
      </c>
      <c r="AC113" s="57">
        <f t="shared" si="27"/>
        <v>470</v>
      </c>
      <c r="AD113" s="57">
        <f t="shared" si="28"/>
        <v>776</v>
      </c>
      <c r="AE113" s="57"/>
      <c r="AF113" s="57">
        <v>1140</v>
      </c>
      <c r="AI113" s="112"/>
      <c r="AJ113" s="112"/>
      <c r="AK113" s="112"/>
      <c r="AM113" s="58"/>
      <c r="AN113" s="58"/>
      <c r="AO113" s="58"/>
      <c r="AP113" s="58"/>
      <c r="AQ113" s="58"/>
      <c r="AS113" s="112"/>
      <c r="AT113" s="112"/>
      <c r="AU113" s="112"/>
      <c r="AW113" s="58"/>
      <c r="AX113" s="58"/>
      <c r="AY113" s="88"/>
      <c r="AZ113" s="88"/>
      <c r="BA113" s="88"/>
      <c r="BC113" s="112"/>
      <c r="BD113" s="112"/>
      <c r="BE113" s="112"/>
      <c r="BG113" s="58"/>
      <c r="BH113" s="58"/>
      <c r="BI113" s="88"/>
      <c r="BJ113" s="88"/>
      <c r="BK113" s="88"/>
      <c r="BM113" s="112"/>
      <c r="BN113" s="112"/>
      <c r="BO113" s="112"/>
      <c r="BQ113" s="58"/>
      <c r="BR113" s="58"/>
      <c r="BS113" s="88"/>
      <c r="BT113" s="88"/>
      <c r="BU113" s="88"/>
      <c r="BX113" s="112"/>
      <c r="BY113" s="112"/>
      <c r="BZ113" s="112"/>
      <c r="CB113" s="58"/>
      <c r="CC113" s="58"/>
      <c r="CD113" s="88"/>
      <c r="CE113" s="88"/>
      <c r="CF113" s="88"/>
    </row>
    <row r="114" spans="1:84" ht="13.5" customHeight="1">
      <c r="B114" t="s">
        <v>111</v>
      </c>
      <c r="D114" s="16">
        <v>1777</v>
      </c>
      <c r="E114" s="186">
        <f t="shared" si="33"/>
        <v>-195</v>
      </c>
      <c r="F114" s="186">
        <v>1582</v>
      </c>
      <c r="H114" s="275">
        <f>-155-F114</f>
        <v>-1737</v>
      </c>
      <c r="I114" s="85">
        <f t="shared" si="21"/>
        <v>606</v>
      </c>
      <c r="J114" s="85">
        <f t="shared" si="22"/>
        <v>-1131</v>
      </c>
      <c r="K114" s="58"/>
      <c r="L114" s="58">
        <v>451</v>
      </c>
      <c r="N114" s="16">
        <v>651</v>
      </c>
      <c r="O114" s="186">
        <f t="shared" si="34"/>
        <v>696</v>
      </c>
      <c r="P114" s="186">
        <v>1347</v>
      </c>
      <c r="R114" s="275">
        <f>2123-P114</f>
        <v>776</v>
      </c>
      <c r="S114" s="85">
        <f t="shared" si="24"/>
        <v>1297</v>
      </c>
      <c r="T114" s="85">
        <f t="shared" si="25"/>
        <v>2073</v>
      </c>
      <c r="U114" s="58"/>
      <c r="V114" s="58">
        <v>3420</v>
      </c>
      <c r="X114" s="16">
        <v>-206</v>
      </c>
      <c r="Y114" s="186">
        <f t="shared" si="26"/>
        <v>294</v>
      </c>
      <c r="Z114" s="186">
        <v>88</v>
      </c>
      <c r="AB114" s="275">
        <f>500-Z114</f>
        <v>412</v>
      </c>
      <c r="AC114" s="85">
        <f t="shared" si="27"/>
        <v>136</v>
      </c>
      <c r="AD114" s="85">
        <f t="shared" si="28"/>
        <v>548</v>
      </c>
      <c r="AE114" s="58"/>
      <c r="AF114" s="58">
        <v>636</v>
      </c>
      <c r="AI114" s="112"/>
      <c r="AJ114" s="112"/>
      <c r="AK114" s="112"/>
      <c r="AM114" s="112"/>
      <c r="AN114" s="58"/>
      <c r="AO114" s="58"/>
      <c r="AP114" s="58"/>
      <c r="AQ114" s="58"/>
      <c r="AS114" s="112"/>
      <c r="AT114" s="112"/>
      <c r="AU114" s="112"/>
      <c r="AW114" s="112"/>
      <c r="AX114" s="58"/>
      <c r="AY114" s="88"/>
      <c r="AZ114" s="88"/>
      <c r="BA114" s="88"/>
      <c r="BC114" s="112"/>
      <c r="BD114" s="112"/>
      <c r="BE114" s="112"/>
      <c r="BG114" s="112"/>
      <c r="BH114" s="58"/>
      <c r="BI114" s="88"/>
      <c r="BJ114" s="88"/>
      <c r="BK114" s="88"/>
      <c r="BM114" s="112"/>
      <c r="BN114" s="112"/>
      <c r="BO114" s="112"/>
      <c r="BQ114" s="112"/>
      <c r="BR114" s="58"/>
      <c r="BS114" s="88"/>
      <c r="BT114" s="88"/>
      <c r="BU114" s="88"/>
      <c r="BX114" s="112"/>
      <c r="BY114" s="112"/>
      <c r="BZ114" s="112"/>
      <c r="CB114" s="112"/>
      <c r="CC114" s="58"/>
      <c r="CD114" s="88"/>
      <c r="CE114" s="88"/>
      <c r="CF114" s="88"/>
    </row>
    <row r="115" spans="1:84" ht="13.5" customHeight="1">
      <c r="B115" t="s">
        <v>112</v>
      </c>
      <c r="D115" s="16">
        <v>128</v>
      </c>
      <c r="E115" s="186">
        <f t="shared" si="33"/>
        <v>104</v>
      </c>
      <c r="F115" s="186">
        <v>232</v>
      </c>
      <c r="H115" s="274">
        <f>361-F115</f>
        <v>129</v>
      </c>
      <c r="I115" s="58">
        <f t="shared" si="21"/>
        <v>158</v>
      </c>
      <c r="J115" s="58">
        <f t="shared" si="22"/>
        <v>287</v>
      </c>
      <c r="K115" s="58"/>
      <c r="L115" s="58">
        <v>519</v>
      </c>
      <c r="N115" s="16">
        <v>58</v>
      </c>
      <c r="O115" s="186">
        <f t="shared" si="34"/>
        <v>154</v>
      </c>
      <c r="P115" s="186">
        <v>212</v>
      </c>
      <c r="R115" s="274">
        <f>316-P115</f>
        <v>104</v>
      </c>
      <c r="S115" s="58">
        <f t="shared" si="24"/>
        <v>535</v>
      </c>
      <c r="T115" s="58">
        <f t="shared" si="25"/>
        <v>639</v>
      </c>
      <c r="U115" s="58"/>
      <c r="V115" s="58">
        <v>851</v>
      </c>
      <c r="X115" s="16">
        <v>-46</v>
      </c>
      <c r="Y115" s="186">
        <f t="shared" si="26"/>
        <v>-30</v>
      </c>
      <c r="Z115" s="186">
        <v>-76</v>
      </c>
      <c r="AB115" s="274">
        <f>-49-Z115</f>
        <v>27</v>
      </c>
      <c r="AC115" s="58">
        <f t="shared" si="27"/>
        <v>-306</v>
      </c>
      <c r="AD115" s="58">
        <f t="shared" si="28"/>
        <v>-279</v>
      </c>
      <c r="AE115" s="58"/>
      <c r="AF115" s="58">
        <v>-355</v>
      </c>
      <c r="AI115" s="112"/>
      <c r="AJ115" s="112"/>
      <c r="AK115" s="112"/>
      <c r="AM115" s="74"/>
      <c r="AN115" s="58"/>
      <c r="AO115" s="58"/>
      <c r="AP115" s="58"/>
      <c r="AQ115" s="58"/>
      <c r="AS115" s="112"/>
      <c r="AT115" s="112"/>
      <c r="AU115" s="112"/>
      <c r="AW115" s="74"/>
      <c r="AX115" s="58"/>
      <c r="AY115" s="88"/>
      <c r="AZ115" s="88"/>
      <c r="BA115" s="88"/>
      <c r="BC115" s="112"/>
      <c r="BD115" s="112"/>
      <c r="BE115" s="112"/>
      <c r="BG115" s="74"/>
      <c r="BH115" s="58"/>
      <c r="BI115" s="88"/>
      <c r="BJ115" s="88"/>
      <c r="BK115" s="88"/>
      <c r="BM115" s="112"/>
      <c r="BN115" s="112"/>
      <c r="BO115" s="112"/>
      <c r="BQ115" s="97"/>
      <c r="BR115" s="58"/>
      <c r="BS115" s="88"/>
      <c r="BT115" s="88"/>
      <c r="BU115" s="88"/>
      <c r="BX115" s="112"/>
      <c r="BY115" s="112"/>
      <c r="BZ115" s="112"/>
      <c r="CB115" s="97"/>
      <c r="CC115" s="58"/>
      <c r="CD115" s="88"/>
      <c r="CE115" s="88"/>
      <c r="CF115" s="88"/>
    </row>
    <row r="116" spans="1:84" ht="13.5" customHeight="1">
      <c r="B116" t="s">
        <v>74</v>
      </c>
      <c r="D116" s="16">
        <v>361</v>
      </c>
      <c r="E116" s="186">
        <f t="shared" si="33"/>
        <v>216</v>
      </c>
      <c r="F116" s="186">
        <v>577</v>
      </c>
      <c r="H116" s="275">
        <f>671-F116</f>
        <v>94</v>
      </c>
      <c r="I116" s="58">
        <f t="shared" si="21"/>
        <v>-306</v>
      </c>
      <c r="J116" s="58">
        <f t="shared" si="22"/>
        <v>-212</v>
      </c>
      <c r="K116" s="58"/>
      <c r="L116" s="58">
        <v>365</v>
      </c>
      <c r="N116" s="16">
        <v>227</v>
      </c>
      <c r="O116" s="186">
        <f t="shared" si="34"/>
        <v>277</v>
      </c>
      <c r="P116" s="186">
        <v>504</v>
      </c>
      <c r="R116" s="275">
        <f>800-P116</f>
        <v>296</v>
      </c>
      <c r="S116" s="58">
        <f t="shared" si="24"/>
        <v>131</v>
      </c>
      <c r="T116" s="58">
        <f t="shared" si="25"/>
        <v>427</v>
      </c>
      <c r="U116" s="58"/>
      <c r="V116" s="58">
        <v>931</v>
      </c>
      <c r="X116" s="16">
        <v>128</v>
      </c>
      <c r="Y116" s="186">
        <f t="shared" si="26"/>
        <v>87</v>
      </c>
      <c r="Z116" s="186">
        <v>215</v>
      </c>
      <c r="AB116" s="275">
        <f>26-Z116</f>
        <v>-189</v>
      </c>
      <c r="AC116" s="58">
        <f t="shared" si="27"/>
        <v>619</v>
      </c>
      <c r="AD116" s="58">
        <f t="shared" si="28"/>
        <v>430</v>
      </c>
      <c r="AE116" s="58"/>
      <c r="AF116" s="58">
        <v>645</v>
      </c>
      <c r="AI116" s="112"/>
      <c r="AJ116" s="112"/>
      <c r="AK116" s="112"/>
      <c r="AM116" s="74"/>
      <c r="AN116" s="58"/>
      <c r="AO116" s="58"/>
      <c r="AP116" s="58"/>
      <c r="AQ116" s="58"/>
      <c r="AS116" s="112"/>
      <c r="AT116" s="112"/>
      <c r="AU116" s="112"/>
      <c r="AW116" s="74"/>
      <c r="AX116" s="58"/>
      <c r="AY116" s="88"/>
      <c r="AZ116" s="88"/>
      <c r="BA116" s="88"/>
      <c r="BC116" s="112"/>
      <c r="BD116" s="112"/>
      <c r="BE116" s="112"/>
      <c r="BG116" s="74"/>
      <c r="BH116" s="58"/>
      <c r="BI116" s="88"/>
      <c r="BJ116" s="88"/>
      <c r="BK116" s="88"/>
      <c r="BM116" s="112"/>
      <c r="BN116" s="112"/>
      <c r="BO116" s="112"/>
      <c r="BQ116" s="97"/>
      <c r="BR116" s="58"/>
      <c r="BS116" s="88"/>
      <c r="BT116" s="88"/>
      <c r="BU116" s="88"/>
      <c r="BX116" s="112"/>
      <c r="BY116" s="112"/>
      <c r="BZ116" s="112"/>
      <c r="CB116" s="97"/>
      <c r="CC116" s="58"/>
      <c r="CD116" s="88"/>
      <c r="CE116" s="88"/>
      <c r="CF116" s="88"/>
    </row>
    <row r="117" spans="1:84" ht="13.5" customHeight="1">
      <c r="B117" t="s">
        <v>119</v>
      </c>
      <c r="D117" s="16">
        <v>-52</v>
      </c>
      <c r="E117" s="186">
        <f t="shared" si="33"/>
        <v>149</v>
      </c>
      <c r="F117" s="186">
        <v>97</v>
      </c>
      <c r="H117" s="275">
        <f>83-F117</f>
        <v>-14</v>
      </c>
      <c r="I117" s="58">
        <f t="shared" si="21"/>
        <v>20</v>
      </c>
      <c r="J117" s="58">
        <f t="shared" si="22"/>
        <v>6</v>
      </c>
      <c r="K117" s="58"/>
      <c r="L117" s="58">
        <v>103</v>
      </c>
      <c r="N117" s="16">
        <v>40</v>
      </c>
      <c r="O117" s="186">
        <f t="shared" si="34"/>
        <v>11</v>
      </c>
      <c r="P117" s="186">
        <v>51</v>
      </c>
      <c r="R117" s="274">
        <f>79-P117</f>
        <v>28</v>
      </c>
      <c r="S117" s="58">
        <f t="shared" si="24"/>
        <v>90</v>
      </c>
      <c r="T117" s="58">
        <f t="shared" si="25"/>
        <v>118</v>
      </c>
      <c r="U117" s="58"/>
      <c r="V117" s="58">
        <v>169</v>
      </c>
      <c r="X117" s="16">
        <v>75</v>
      </c>
      <c r="Y117" s="186">
        <f t="shared" si="26"/>
        <v>62</v>
      </c>
      <c r="Z117" s="186">
        <v>137</v>
      </c>
      <c r="AB117" s="274">
        <f>193-Z117</f>
        <v>56</v>
      </c>
      <c r="AC117" s="58">
        <f t="shared" si="27"/>
        <v>21</v>
      </c>
      <c r="AD117" s="58">
        <f t="shared" si="28"/>
        <v>77</v>
      </c>
      <c r="AE117" s="58"/>
      <c r="AF117" s="58">
        <v>214</v>
      </c>
      <c r="AI117" s="112"/>
      <c r="AJ117" s="112"/>
      <c r="AK117" s="112"/>
      <c r="AM117" s="74"/>
      <c r="AN117" s="58"/>
      <c r="AO117" s="58"/>
      <c r="AP117" s="58"/>
      <c r="AQ117" s="58"/>
      <c r="AS117" s="112"/>
      <c r="AT117" s="112"/>
      <c r="AU117" s="112"/>
      <c r="AW117" s="74"/>
      <c r="AX117" s="58"/>
      <c r="AY117" s="88"/>
      <c r="AZ117" s="88"/>
      <c r="BA117" s="88"/>
      <c r="BC117" s="112"/>
      <c r="BD117" s="112"/>
      <c r="BE117" s="112"/>
      <c r="BG117" s="74"/>
      <c r="BH117" s="58"/>
      <c r="BI117" s="88"/>
      <c r="BJ117" s="88"/>
      <c r="BK117" s="88"/>
      <c r="BM117" s="112"/>
      <c r="BN117" s="112"/>
      <c r="BO117" s="112"/>
      <c r="BQ117" s="97"/>
      <c r="BR117" s="58"/>
      <c r="BS117" s="88"/>
      <c r="BT117" s="88"/>
      <c r="BU117" s="88"/>
      <c r="BX117" s="112"/>
      <c r="BY117" s="112"/>
      <c r="BZ117" s="112"/>
      <c r="CB117" s="97"/>
      <c r="CC117" s="58"/>
      <c r="CD117" s="88"/>
      <c r="CE117" s="88"/>
      <c r="CF117" s="88"/>
    </row>
    <row r="118" spans="1:84" ht="5.0999999999999996" customHeight="1">
      <c r="D118" s="16"/>
      <c r="E118" s="16"/>
      <c r="F118" s="16"/>
      <c r="I118" s="58"/>
      <c r="J118" s="58"/>
      <c r="K118" s="58"/>
      <c r="L118" s="181"/>
      <c r="N118" s="16"/>
      <c r="O118" s="16"/>
      <c r="P118" s="16"/>
      <c r="S118" s="58"/>
      <c r="T118" s="58"/>
      <c r="U118" s="58"/>
      <c r="V118" s="181"/>
      <c r="X118" s="16"/>
      <c r="Y118" s="16"/>
      <c r="Z118" s="16"/>
      <c r="AC118" s="58"/>
      <c r="AD118" s="58"/>
      <c r="AE118" s="58"/>
      <c r="AF118" s="181"/>
      <c r="AI118" s="112"/>
      <c r="AJ118" s="112"/>
      <c r="AK118" s="112"/>
      <c r="AN118" s="58"/>
      <c r="AO118" s="58"/>
      <c r="AP118" s="58"/>
      <c r="AQ118" s="58"/>
      <c r="AS118" s="112"/>
      <c r="AT118" s="112"/>
      <c r="AU118" s="112"/>
      <c r="AX118" s="58"/>
      <c r="AY118" s="88"/>
      <c r="AZ118" s="88"/>
      <c r="BA118" s="88"/>
      <c r="BC118" s="112"/>
      <c r="BD118" s="112"/>
      <c r="BE118" s="112"/>
      <c r="BH118" s="58"/>
      <c r="BI118" s="88"/>
      <c r="BJ118" s="88"/>
      <c r="BK118" s="88"/>
      <c r="BM118" s="112"/>
      <c r="BN118" s="112"/>
      <c r="BO118" s="112"/>
      <c r="BR118" s="58"/>
      <c r="BS118" s="88"/>
      <c r="BT118" s="88"/>
      <c r="BU118" s="88"/>
      <c r="BX118" s="112"/>
      <c r="BY118" s="112"/>
      <c r="BZ118" s="112"/>
      <c r="CC118" s="58"/>
      <c r="CD118" s="88"/>
      <c r="CE118" s="88"/>
      <c r="CF118" s="88"/>
    </row>
    <row r="120" spans="1:84">
      <c r="A120" s="251"/>
      <c r="B120" s="252" t="s">
        <v>156</v>
      </c>
    </row>
    <row r="121" spans="1:84">
      <c r="B121" t="s">
        <v>1</v>
      </c>
      <c r="D121" s="244" t="str">
        <f>D5</f>
        <v>2022年度　（2022年4月-2023年3月）</v>
      </c>
      <c r="E121" s="244"/>
      <c r="F121" s="244"/>
      <c r="G121" s="244"/>
      <c r="H121" s="244"/>
      <c r="I121" s="244"/>
      <c r="J121" s="244"/>
      <c r="K121" s="244"/>
      <c r="L121" s="244"/>
      <c r="N121" s="244" t="str">
        <f>N5</f>
        <v>2021年度　（2021年4月-2022年3月）</v>
      </c>
      <c r="O121" s="244"/>
      <c r="P121" s="244"/>
      <c r="Q121" s="244"/>
      <c r="R121" s="244"/>
      <c r="S121" s="244"/>
      <c r="T121" s="244"/>
      <c r="U121" s="244"/>
      <c r="V121" s="244"/>
      <c r="X121" s="244" t="str">
        <f>X5</f>
        <v>2020年度　（2020年4月-2021年3月）</v>
      </c>
      <c r="Y121" s="244"/>
      <c r="Z121" s="244"/>
      <c r="AA121" s="244"/>
      <c r="AB121" s="244"/>
      <c r="AC121" s="244"/>
      <c r="AD121" s="244"/>
      <c r="AE121" s="244"/>
      <c r="AF121" s="244"/>
      <c r="AI121" s="5"/>
      <c r="AJ121" s="5"/>
      <c r="AK121" s="5"/>
      <c r="AL121" s="5"/>
      <c r="AM121" s="5"/>
      <c r="AN121" s="5"/>
      <c r="AO121" s="5"/>
      <c r="AP121" s="5"/>
      <c r="AQ121" s="5"/>
      <c r="AS121" s="5"/>
      <c r="AT121" s="5"/>
      <c r="AU121" s="5"/>
      <c r="AV121" s="5"/>
      <c r="AW121" s="5"/>
      <c r="AX121" s="5"/>
      <c r="AY121" s="5"/>
      <c r="AZ121" s="5"/>
      <c r="BA121" s="5"/>
      <c r="BC121" s="5"/>
      <c r="BD121" s="5"/>
      <c r="BE121" s="5"/>
      <c r="BF121" s="5"/>
      <c r="BG121" s="5"/>
      <c r="BH121" s="5"/>
      <c r="BI121" s="5"/>
      <c r="BJ121" s="5"/>
      <c r="BK121" s="5"/>
      <c r="BM121" s="5"/>
      <c r="BN121" s="5"/>
      <c r="BO121" s="5"/>
      <c r="BP121" s="5"/>
      <c r="BQ121" s="5"/>
      <c r="BR121" s="5"/>
      <c r="BS121" s="5"/>
      <c r="BT121" s="5"/>
      <c r="BU121" s="5"/>
      <c r="BX121" s="5"/>
      <c r="BY121" s="5"/>
      <c r="BZ121" s="5"/>
      <c r="CA121" s="5"/>
      <c r="CB121" s="5"/>
      <c r="CC121" s="5"/>
      <c r="CD121" s="5"/>
      <c r="CE121" s="5"/>
      <c r="CF121" s="5"/>
    </row>
    <row r="122" spans="1:84" ht="3.75" customHeight="1">
      <c r="D122" s="5"/>
      <c r="E122" s="5"/>
      <c r="F122" s="5"/>
      <c r="G122" s="5"/>
      <c r="H122" s="5"/>
      <c r="I122" s="5"/>
      <c r="J122" s="5"/>
      <c r="K122" s="5"/>
      <c r="L122" s="244"/>
      <c r="N122" s="5"/>
      <c r="O122" s="5"/>
      <c r="P122" s="5"/>
      <c r="Q122" s="5"/>
      <c r="R122" s="5"/>
      <c r="S122" s="5"/>
      <c r="T122" s="5"/>
      <c r="U122" s="5"/>
      <c r="V122" s="244"/>
      <c r="X122" s="5"/>
      <c r="Y122" s="5"/>
      <c r="Z122" s="5"/>
      <c r="AA122" s="5"/>
      <c r="AB122" s="5"/>
      <c r="AC122" s="5"/>
      <c r="AD122" s="5"/>
      <c r="AE122" s="5"/>
      <c r="AF122" s="244"/>
      <c r="AI122" s="5"/>
      <c r="AJ122" s="5"/>
      <c r="AK122" s="5"/>
      <c r="AL122" s="5"/>
      <c r="AM122" s="5"/>
      <c r="AN122" s="5"/>
      <c r="AO122" s="5"/>
      <c r="AP122" s="5"/>
      <c r="AQ122" s="5"/>
      <c r="AS122" s="5"/>
      <c r="AT122" s="5"/>
      <c r="AU122" s="5"/>
      <c r="AV122" s="5"/>
      <c r="AW122" s="5"/>
      <c r="AX122" s="5"/>
      <c r="AY122" s="5"/>
      <c r="AZ122" s="5"/>
      <c r="BA122" s="5"/>
      <c r="BC122" s="5"/>
      <c r="BD122" s="5"/>
      <c r="BE122" s="5"/>
      <c r="BF122" s="5"/>
      <c r="BG122" s="5"/>
      <c r="BH122" s="5"/>
      <c r="BI122" s="5"/>
      <c r="BJ122" s="5"/>
      <c r="BK122" s="5"/>
      <c r="BM122" s="5"/>
      <c r="BN122" s="5"/>
      <c r="BO122" s="5"/>
      <c r="BP122" s="5"/>
      <c r="BQ122" s="5"/>
      <c r="BR122" s="5"/>
      <c r="BS122" s="5"/>
      <c r="BT122" s="5"/>
      <c r="BU122" s="5"/>
      <c r="BX122" s="5"/>
      <c r="BY122" s="5"/>
      <c r="BZ122" s="5"/>
      <c r="CA122" s="5"/>
      <c r="CB122" s="5"/>
      <c r="CC122" s="5"/>
      <c r="CD122" s="5"/>
      <c r="CE122" s="5"/>
      <c r="CF122" s="5"/>
    </row>
    <row r="123" spans="1:84">
      <c r="D123" s="6"/>
      <c r="E123" s="6"/>
      <c r="F123" s="7" t="s">
        <v>28</v>
      </c>
      <c r="H123" s="7"/>
      <c r="I123" s="7"/>
      <c r="J123" s="7" t="s">
        <v>29</v>
      </c>
      <c r="L123" s="245" t="s">
        <v>30</v>
      </c>
      <c r="N123" s="6"/>
      <c r="O123" s="6"/>
      <c r="P123" s="7" t="s">
        <v>28</v>
      </c>
      <c r="R123" s="7"/>
      <c r="S123" s="7"/>
      <c r="T123" s="7" t="s">
        <v>29</v>
      </c>
      <c r="V123" s="245" t="s">
        <v>30</v>
      </c>
      <c r="X123" s="6"/>
      <c r="Y123" s="6"/>
      <c r="Z123" s="7" t="s">
        <v>28</v>
      </c>
      <c r="AB123" s="7"/>
      <c r="AC123" s="7"/>
      <c r="AD123" s="7" t="s">
        <v>29</v>
      </c>
      <c r="AF123" s="245" t="s">
        <v>30</v>
      </c>
      <c r="AK123" s="8"/>
      <c r="AM123" s="8"/>
      <c r="AN123" s="8"/>
      <c r="AO123" s="8"/>
      <c r="AQ123" s="8"/>
      <c r="AU123" s="8"/>
      <c r="AW123" s="8"/>
      <c r="AX123" s="8"/>
      <c r="AY123" s="8"/>
      <c r="BA123" s="8"/>
      <c r="BE123" s="8"/>
      <c r="BG123" s="8"/>
      <c r="BH123" s="8"/>
      <c r="BI123" s="8"/>
      <c r="BK123" s="8"/>
      <c r="BO123" s="8"/>
      <c r="BQ123" s="8"/>
      <c r="BR123" s="8"/>
      <c r="BS123" s="8"/>
      <c r="BU123" s="8"/>
      <c r="BZ123" s="8"/>
      <c r="CB123" s="8"/>
      <c r="CC123" s="8"/>
      <c r="CD123" s="8"/>
      <c r="CF123" s="8"/>
    </row>
    <row r="124" spans="1:84" s="9" customFormat="1" ht="10.8">
      <c r="D124" s="9" t="s">
        <v>31</v>
      </c>
      <c r="E124" s="9" t="s">
        <v>32</v>
      </c>
      <c r="F124" s="10" t="s">
        <v>33</v>
      </c>
      <c r="H124" s="9" t="s">
        <v>7</v>
      </c>
      <c r="I124" s="9" t="s">
        <v>8</v>
      </c>
      <c r="J124" s="10"/>
      <c r="L124" s="246"/>
      <c r="N124" s="9" t="s">
        <v>31</v>
      </c>
      <c r="O124" s="9" t="s">
        <v>32</v>
      </c>
      <c r="P124" s="10" t="s">
        <v>33</v>
      </c>
      <c r="R124" s="9" t="s">
        <v>7</v>
      </c>
      <c r="S124" s="9" t="s">
        <v>8</v>
      </c>
      <c r="T124" s="10"/>
      <c r="V124" s="246"/>
      <c r="X124" s="9" t="s">
        <v>31</v>
      </c>
      <c r="Y124" s="9" t="s">
        <v>32</v>
      </c>
      <c r="Z124" s="10" t="s">
        <v>33</v>
      </c>
      <c r="AB124" s="9" t="s">
        <v>7</v>
      </c>
      <c r="AC124" s="9" t="s">
        <v>8</v>
      </c>
      <c r="AD124" s="10"/>
      <c r="AF124" s="246"/>
      <c r="AK124" s="11"/>
      <c r="AO124" s="11"/>
      <c r="AQ124" s="11"/>
      <c r="AU124" s="11"/>
      <c r="AY124" s="11"/>
      <c r="BA124" s="11"/>
      <c r="BE124" s="11"/>
      <c r="BI124" s="11"/>
      <c r="BK124" s="11"/>
      <c r="BO124" s="11"/>
      <c r="BS124" s="11"/>
      <c r="BU124" s="11"/>
      <c r="BZ124" s="11"/>
      <c r="CD124" s="11"/>
      <c r="CF124" s="11"/>
    </row>
    <row r="125" spans="1:84" s="9" customFormat="1" ht="10.8">
      <c r="D125" s="9" t="s">
        <v>34</v>
      </c>
      <c r="E125" s="9" t="s">
        <v>35</v>
      </c>
      <c r="F125" s="10" t="s">
        <v>36</v>
      </c>
      <c r="H125" s="9" t="s">
        <v>12</v>
      </c>
      <c r="I125" s="9" t="s">
        <v>13</v>
      </c>
      <c r="J125" s="10" t="s">
        <v>37</v>
      </c>
      <c r="L125" s="246" t="s">
        <v>38</v>
      </c>
      <c r="N125" s="9" t="s">
        <v>34</v>
      </c>
      <c r="O125" s="9" t="s">
        <v>35</v>
      </c>
      <c r="P125" s="10" t="s">
        <v>36</v>
      </c>
      <c r="R125" s="9" t="s">
        <v>12</v>
      </c>
      <c r="S125" s="9" t="s">
        <v>13</v>
      </c>
      <c r="T125" s="10" t="s">
        <v>37</v>
      </c>
      <c r="V125" s="246" t="s">
        <v>38</v>
      </c>
      <c r="X125" s="9" t="s">
        <v>34</v>
      </c>
      <c r="Y125" s="9" t="s">
        <v>35</v>
      </c>
      <c r="Z125" s="10" t="s">
        <v>36</v>
      </c>
      <c r="AB125" s="9" t="s">
        <v>12</v>
      </c>
      <c r="AC125" s="9" t="s">
        <v>13</v>
      </c>
      <c r="AD125" s="10" t="s">
        <v>37</v>
      </c>
      <c r="AF125" s="246" t="s">
        <v>38</v>
      </c>
      <c r="AK125" s="11"/>
      <c r="AO125" s="11"/>
      <c r="AQ125" s="11"/>
      <c r="AU125" s="11"/>
      <c r="AY125" s="11"/>
      <c r="BA125" s="11"/>
      <c r="BE125" s="11"/>
      <c r="BI125" s="11"/>
      <c r="BK125" s="11"/>
      <c r="BO125" s="11"/>
      <c r="BS125" s="11"/>
      <c r="BU125" s="11"/>
      <c r="BZ125" s="11"/>
      <c r="CD125" s="11"/>
      <c r="CF125" s="11"/>
    </row>
    <row r="126" spans="1:84" ht="5.0999999999999996" customHeight="1"/>
    <row r="127" spans="1:84" ht="13.5" customHeight="1" thickBot="1">
      <c r="B127" s="12" t="s">
        <v>154</v>
      </c>
      <c r="C127" s="12"/>
      <c r="D127" s="57">
        <v>3253</v>
      </c>
      <c r="E127" s="200">
        <f>F127-D127</f>
        <v>695</v>
      </c>
      <c r="F127" s="57">
        <v>3948</v>
      </c>
      <c r="G127" s="57"/>
      <c r="H127" s="273">
        <f>2498-F127</f>
        <v>-1450</v>
      </c>
      <c r="I127" s="57">
        <f>J127-H127</f>
        <v>315</v>
      </c>
      <c r="J127" s="57">
        <f>L127-F127</f>
        <v>-1135</v>
      </c>
      <c r="K127" s="57"/>
      <c r="L127" s="57">
        <v>2813</v>
      </c>
      <c r="M127" s="12"/>
      <c r="N127" s="57">
        <v>1620</v>
      </c>
      <c r="O127" s="200">
        <f>P127-N127</f>
        <v>1758</v>
      </c>
      <c r="P127" s="200">
        <v>3378</v>
      </c>
      <c r="Q127" s="57"/>
      <c r="R127" s="273">
        <f>5301-P127</f>
        <v>1923</v>
      </c>
      <c r="S127" s="57">
        <f>T127-R127</f>
        <v>2558</v>
      </c>
      <c r="T127" s="57">
        <f>V127-P127</f>
        <v>4481</v>
      </c>
      <c r="U127" s="57"/>
      <c r="V127" s="57">
        <v>7859</v>
      </c>
      <c r="X127" s="57">
        <v>210</v>
      </c>
      <c r="Y127" s="200">
        <f>Z127-X127</f>
        <v>679</v>
      </c>
      <c r="Z127" s="200">
        <v>889</v>
      </c>
      <c r="AA127" s="57"/>
      <c r="AB127" s="273">
        <f>1338-Z127</f>
        <v>449</v>
      </c>
      <c r="AC127" s="57">
        <f>AD127-AB127</f>
        <v>1204</v>
      </c>
      <c r="AD127" s="57">
        <f>AF127-Z127</f>
        <v>1653</v>
      </c>
      <c r="AE127" s="57"/>
      <c r="AF127" s="57">
        <v>2542</v>
      </c>
      <c r="AI127" s="58"/>
      <c r="AJ127" s="58"/>
      <c r="AK127" s="58"/>
      <c r="AL127" s="58"/>
      <c r="AM127" s="58"/>
      <c r="AN127" s="58"/>
      <c r="AO127" s="58"/>
      <c r="AP127" s="58"/>
      <c r="AQ127" s="58"/>
      <c r="AS127" s="58"/>
      <c r="AT127" s="58"/>
      <c r="AU127" s="58"/>
      <c r="AV127" s="58"/>
      <c r="AW127" s="58"/>
      <c r="AX127" s="58"/>
      <c r="AY127" s="58"/>
      <c r="AZ127" s="58"/>
      <c r="BA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row>
    <row r="128" spans="1:84" ht="13.5" customHeight="1" thickBot="1">
      <c r="B128" t="s">
        <v>155</v>
      </c>
      <c r="D128" s="58">
        <v>1172</v>
      </c>
      <c r="E128" s="181">
        <f t="shared" ref="E128:E141" si="35">F128-D128</f>
        <v>-6</v>
      </c>
      <c r="F128" s="181">
        <v>1166</v>
      </c>
      <c r="G128" s="58"/>
      <c r="H128" s="277">
        <f>1714-F128</f>
        <v>548</v>
      </c>
      <c r="I128" s="58">
        <f t="shared" ref="I128:I141" si="36">J128-H128</f>
        <v>751</v>
      </c>
      <c r="J128" s="58">
        <f t="shared" ref="J128:J141" si="37">L128-F128</f>
        <v>1299</v>
      </c>
      <c r="K128" s="58"/>
      <c r="L128" s="58">
        <v>2465</v>
      </c>
      <c r="N128" s="58">
        <v>745</v>
      </c>
      <c r="O128" s="181">
        <f t="shared" ref="O128:O141" si="38">P128-N128</f>
        <v>941</v>
      </c>
      <c r="P128" s="181">
        <v>1686</v>
      </c>
      <c r="Q128" s="58"/>
      <c r="R128" s="277">
        <f>2733-P128</f>
        <v>1047</v>
      </c>
      <c r="S128" s="58">
        <f t="shared" ref="S128:S141" si="39">T128-R128</f>
        <v>1423</v>
      </c>
      <c r="T128" s="58">
        <f t="shared" ref="T128:T141" si="40">V128-P128</f>
        <v>2470</v>
      </c>
      <c r="U128" s="58"/>
      <c r="V128" s="58">
        <f>V127-V134</f>
        <v>4156</v>
      </c>
      <c r="X128" s="58">
        <v>832</v>
      </c>
      <c r="Y128" s="181">
        <f t="shared" ref="Y128:Y141" si="41">Z128-X128</f>
        <v>427</v>
      </c>
      <c r="Z128" s="181">
        <v>1259</v>
      </c>
      <c r="AA128" s="58"/>
      <c r="AB128" s="277">
        <f>893-(-271)-Z128</f>
        <v>-95</v>
      </c>
      <c r="AC128" s="58">
        <f t="shared" ref="AC128:AC141" si="42">AD128-AB128</f>
        <v>991</v>
      </c>
      <c r="AD128" s="58">
        <f t="shared" ref="AD128:AD141" si="43">AF128-Z128</f>
        <v>896</v>
      </c>
      <c r="AE128" s="58"/>
      <c r="AF128" s="58">
        <f>AF127-AF134</f>
        <v>2155</v>
      </c>
      <c r="AI128" s="58"/>
      <c r="AJ128" s="58"/>
      <c r="AK128" s="58"/>
      <c r="AL128" s="58"/>
      <c r="AM128" s="58"/>
      <c r="AN128" s="58"/>
      <c r="AO128" s="58"/>
      <c r="AP128" s="58"/>
      <c r="AQ128" s="58"/>
      <c r="AS128" s="58"/>
      <c r="AT128" s="58"/>
      <c r="AU128" s="58"/>
      <c r="AV128" s="58"/>
      <c r="AW128" s="58"/>
      <c r="AX128" s="58"/>
      <c r="AY128" s="58"/>
      <c r="AZ128" s="58"/>
      <c r="BA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row>
    <row r="129" spans="2:84" ht="13.5" customHeight="1">
      <c r="B129" s="59" t="s">
        <v>113</v>
      </c>
      <c r="C129" s="60"/>
      <c r="D129" s="61">
        <v>393</v>
      </c>
      <c r="E129" s="261">
        <f t="shared" si="35"/>
        <v>1899</v>
      </c>
      <c r="F129" s="261">
        <v>2292</v>
      </c>
      <c r="G129" s="61"/>
      <c r="H129" s="278">
        <f>21-F129</f>
        <v>-2271</v>
      </c>
      <c r="I129" s="61">
        <f t="shared" si="36"/>
        <v>141</v>
      </c>
      <c r="J129" s="61">
        <f t="shared" si="37"/>
        <v>-2130</v>
      </c>
      <c r="K129" s="61"/>
      <c r="L129" s="61">
        <v>162</v>
      </c>
      <c r="M129" s="60"/>
      <c r="N129" s="61">
        <v>950</v>
      </c>
      <c r="O129" s="261">
        <f t="shared" si="38"/>
        <v>1015</v>
      </c>
      <c r="P129" s="261">
        <v>1965</v>
      </c>
      <c r="Q129" s="61"/>
      <c r="R129" s="278">
        <f>3007-P129</f>
        <v>1042</v>
      </c>
      <c r="S129" s="61">
        <f t="shared" si="39"/>
        <v>1768</v>
      </c>
      <c r="T129" s="61">
        <f t="shared" si="40"/>
        <v>2810</v>
      </c>
      <c r="U129" s="61"/>
      <c r="V129" s="61">
        <v>4775</v>
      </c>
      <c r="X129" s="61">
        <v>-184</v>
      </c>
      <c r="Y129" s="261">
        <f t="shared" si="41"/>
        <v>385</v>
      </c>
      <c r="Z129" s="261">
        <v>201</v>
      </c>
      <c r="AA129" s="61"/>
      <c r="AB129" s="278">
        <f>893-Z129</f>
        <v>692</v>
      </c>
      <c r="AC129" s="61">
        <f t="shared" si="42"/>
        <v>318</v>
      </c>
      <c r="AD129" s="61">
        <f t="shared" si="43"/>
        <v>1010</v>
      </c>
      <c r="AE129" s="61"/>
      <c r="AF129" s="61">
        <v>1211</v>
      </c>
      <c r="AI129" s="58"/>
      <c r="AJ129" s="58"/>
      <c r="AK129" s="58"/>
      <c r="AL129" s="58"/>
      <c r="AM129" s="58"/>
      <c r="AN129" s="58"/>
      <c r="AO129" s="58"/>
      <c r="AP129" s="58"/>
      <c r="AQ129" s="58"/>
      <c r="AS129" s="58"/>
      <c r="AT129" s="58"/>
      <c r="AU129" s="58"/>
      <c r="AV129" s="58"/>
      <c r="AW129" s="58"/>
      <c r="AX129" s="58"/>
      <c r="AY129" s="58"/>
      <c r="AZ129" s="58"/>
      <c r="BA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row>
    <row r="130" spans="2:84" ht="13.5" customHeight="1">
      <c r="B130" t="s">
        <v>184</v>
      </c>
      <c r="D130" s="58">
        <v>373</v>
      </c>
      <c r="E130" s="181">
        <f t="shared" si="35"/>
        <v>-742</v>
      </c>
      <c r="F130" s="181">
        <v>-369</v>
      </c>
      <c r="G130" s="58"/>
      <c r="H130" s="277">
        <f>-381-F130</f>
        <v>-12</v>
      </c>
      <c r="I130" s="58">
        <f t="shared" si="36"/>
        <v>1076</v>
      </c>
      <c r="J130" s="58">
        <f t="shared" si="37"/>
        <v>1064</v>
      </c>
      <c r="K130" s="58"/>
      <c r="L130" s="58">
        <v>695</v>
      </c>
      <c r="N130" s="58">
        <v>-4</v>
      </c>
      <c r="O130" s="181">
        <f t="shared" si="38"/>
        <v>107</v>
      </c>
      <c r="P130" s="181">
        <v>103</v>
      </c>
      <c r="Q130" s="58"/>
      <c r="R130" s="277">
        <f>416-P130</f>
        <v>313</v>
      </c>
      <c r="S130" s="58">
        <f t="shared" si="39"/>
        <v>846</v>
      </c>
      <c r="T130" s="58">
        <f t="shared" si="40"/>
        <v>1159</v>
      </c>
      <c r="U130" s="58"/>
      <c r="V130" s="58">
        <v>1262</v>
      </c>
      <c r="X130" s="58">
        <v>335</v>
      </c>
      <c r="Y130" s="181">
        <f t="shared" si="41"/>
        <v>127</v>
      </c>
      <c r="Z130" s="181">
        <v>462</v>
      </c>
      <c r="AA130" s="58"/>
      <c r="AB130" s="277">
        <f>1136-Z130</f>
        <v>674</v>
      </c>
      <c r="AC130" s="58">
        <f t="shared" si="42"/>
        <v>106</v>
      </c>
      <c r="AD130" s="58">
        <f t="shared" si="43"/>
        <v>780</v>
      </c>
      <c r="AE130" s="58"/>
      <c r="AF130" s="58">
        <v>1242</v>
      </c>
      <c r="AI130" s="58"/>
      <c r="AJ130" s="58"/>
      <c r="AK130" s="58"/>
      <c r="AL130" s="58"/>
      <c r="AM130" s="58"/>
      <c r="AN130" s="58"/>
      <c r="AO130" s="58"/>
      <c r="AP130" s="58"/>
      <c r="AQ130" s="58"/>
      <c r="AS130" s="58"/>
      <c r="AT130" s="58"/>
      <c r="AU130" s="58"/>
      <c r="AV130" s="58"/>
      <c r="AW130" s="58"/>
      <c r="AX130" s="58"/>
      <c r="AY130" s="58"/>
      <c r="AZ130" s="58"/>
      <c r="BA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row>
    <row r="131" spans="2:84" ht="13.5" customHeight="1">
      <c r="B131" t="s">
        <v>185</v>
      </c>
      <c r="D131" s="58">
        <v>64</v>
      </c>
      <c r="E131" s="181">
        <f t="shared" si="35"/>
        <v>-158</v>
      </c>
      <c r="F131" s="181">
        <v>-94</v>
      </c>
      <c r="G131" s="58"/>
      <c r="H131" s="277">
        <f>-330-F131</f>
        <v>-236</v>
      </c>
      <c r="I131" s="58">
        <f t="shared" si="36"/>
        <v>-37</v>
      </c>
      <c r="J131" s="58">
        <f t="shared" si="37"/>
        <v>-273</v>
      </c>
      <c r="K131" s="58"/>
      <c r="L131" s="58">
        <v>-367</v>
      </c>
      <c r="N131" s="58">
        <v>37</v>
      </c>
      <c r="O131" s="181">
        <f t="shared" si="38"/>
        <v>28</v>
      </c>
      <c r="P131" s="181">
        <v>65</v>
      </c>
      <c r="Q131" s="58"/>
      <c r="R131" s="277">
        <f>-29-P131</f>
        <v>-94</v>
      </c>
      <c r="S131" s="58">
        <f t="shared" si="39"/>
        <v>-39</v>
      </c>
      <c r="T131" s="58">
        <f t="shared" si="40"/>
        <v>-133</v>
      </c>
      <c r="U131" s="58"/>
      <c r="V131" s="58">
        <v>-68</v>
      </c>
      <c r="X131" s="58">
        <v>-27</v>
      </c>
      <c r="Y131" s="181">
        <f t="shared" si="41"/>
        <v>-68</v>
      </c>
      <c r="Z131" s="181">
        <v>-95</v>
      </c>
      <c r="AA131" s="58"/>
      <c r="AB131" s="277">
        <f>-168-Z131</f>
        <v>-73</v>
      </c>
      <c r="AC131" s="58">
        <f t="shared" si="42"/>
        <v>-90</v>
      </c>
      <c r="AD131" s="58">
        <f t="shared" si="43"/>
        <v>-163</v>
      </c>
      <c r="AE131" s="58"/>
      <c r="AF131" s="58">
        <v>-258</v>
      </c>
      <c r="AI131" s="58"/>
      <c r="AJ131" s="58"/>
      <c r="AK131" s="58"/>
      <c r="AL131" s="58"/>
      <c r="AM131" s="58"/>
      <c r="AN131" s="58"/>
      <c r="AO131" s="58"/>
      <c r="AP131" s="58"/>
      <c r="AQ131" s="58"/>
      <c r="AS131" s="58"/>
      <c r="AT131" s="58"/>
      <c r="AU131" s="58"/>
      <c r="AV131" s="58"/>
      <c r="AW131" s="58"/>
      <c r="AX131" s="58"/>
      <c r="AY131" s="58"/>
      <c r="AZ131" s="58"/>
      <c r="BA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row>
    <row r="132" spans="2:84" ht="13.5" customHeight="1">
      <c r="B132" t="s">
        <v>186</v>
      </c>
      <c r="D132" s="58">
        <v>-90</v>
      </c>
      <c r="E132" s="181">
        <f t="shared" si="35"/>
        <v>-79</v>
      </c>
      <c r="F132" s="181">
        <v>-169</v>
      </c>
      <c r="G132" s="58"/>
      <c r="H132" s="277">
        <f>-264-F132</f>
        <v>-95</v>
      </c>
      <c r="I132" s="58">
        <f t="shared" si="36"/>
        <v>-181</v>
      </c>
      <c r="J132" s="58">
        <f t="shared" si="37"/>
        <v>-276</v>
      </c>
      <c r="K132" s="58"/>
      <c r="L132" s="58">
        <v>-445</v>
      </c>
      <c r="N132" s="58">
        <v>3</v>
      </c>
      <c r="O132" s="181">
        <f t="shared" si="38"/>
        <v>17</v>
      </c>
      <c r="P132" s="181">
        <v>20</v>
      </c>
      <c r="Q132" s="58"/>
      <c r="R132" s="277">
        <f>-64-P132</f>
        <v>-84</v>
      </c>
      <c r="S132" s="58">
        <f t="shared" si="39"/>
        <v>-126</v>
      </c>
      <c r="T132" s="58">
        <f t="shared" si="40"/>
        <v>-210</v>
      </c>
      <c r="U132" s="58"/>
      <c r="V132" s="58">
        <v>-190</v>
      </c>
      <c r="X132" s="58">
        <v>62</v>
      </c>
      <c r="Y132" s="181">
        <f t="shared" si="41"/>
        <v>40</v>
      </c>
      <c r="Z132" s="181">
        <v>102</v>
      </c>
      <c r="AA132" s="58"/>
      <c r="AB132" s="277">
        <f>74-Z132</f>
        <v>-28</v>
      </c>
      <c r="AC132" s="58">
        <f t="shared" si="42"/>
        <v>-346</v>
      </c>
      <c r="AD132" s="58">
        <f t="shared" si="43"/>
        <v>-374</v>
      </c>
      <c r="AE132" s="58"/>
      <c r="AF132" s="58">
        <v>-272</v>
      </c>
      <c r="AI132" s="58"/>
      <c r="AJ132" s="58"/>
      <c r="AK132" s="58"/>
      <c r="AL132" s="58"/>
      <c r="AM132" s="58"/>
      <c r="AN132" s="58"/>
      <c r="AO132" s="58"/>
      <c r="AP132" s="58"/>
      <c r="AQ132" s="58"/>
      <c r="AS132" s="58"/>
      <c r="AT132" s="58"/>
      <c r="AU132" s="58"/>
      <c r="AV132" s="58"/>
      <c r="AW132" s="58"/>
      <c r="AX132" s="58"/>
      <c r="AY132" s="58"/>
      <c r="AZ132" s="58"/>
      <c r="BA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row>
    <row r="133" spans="2:84" ht="13.5" customHeight="1">
      <c r="B133" t="s">
        <v>187</v>
      </c>
      <c r="D133" s="58">
        <v>46</v>
      </c>
      <c r="E133" s="181">
        <f t="shared" si="35"/>
        <v>96</v>
      </c>
      <c r="F133" s="181">
        <v>142</v>
      </c>
      <c r="G133" s="58"/>
      <c r="H133" s="277">
        <f>212-F133</f>
        <v>70</v>
      </c>
      <c r="I133" s="58">
        <f t="shared" si="36"/>
        <v>67</v>
      </c>
      <c r="J133" s="58">
        <f t="shared" si="37"/>
        <v>137</v>
      </c>
      <c r="K133" s="58"/>
      <c r="L133" s="58">
        <v>279</v>
      </c>
      <c r="N133" s="58">
        <v>39</v>
      </c>
      <c r="O133" s="181">
        <f t="shared" si="38"/>
        <v>46</v>
      </c>
      <c r="P133" s="181">
        <v>85</v>
      </c>
      <c r="Q133" s="58"/>
      <c r="R133" s="277">
        <f>116-P133</f>
        <v>31</v>
      </c>
      <c r="S133" s="58">
        <f t="shared" si="39"/>
        <v>-48</v>
      </c>
      <c r="T133" s="58">
        <f t="shared" si="40"/>
        <v>-17</v>
      </c>
      <c r="U133" s="58"/>
      <c r="V133" s="58">
        <v>68</v>
      </c>
      <c r="X133" s="58">
        <v>68</v>
      </c>
      <c r="Y133" s="181">
        <f t="shared" si="41"/>
        <v>34</v>
      </c>
      <c r="Z133" s="181">
        <v>102</v>
      </c>
      <c r="AA133" s="58"/>
      <c r="AB133" s="277">
        <f>122-Z133</f>
        <v>20</v>
      </c>
      <c r="AC133" s="58">
        <f t="shared" si="42"/>
        <v>-10</v>
      </c>
      <c r="AD133" s="58">
        <f t="shared" si="43"/>
        <v>10</v>
      </c>
      <c r="AE133" s="58"/>
      <c r="AF133" s="58">
        <v>112</v>
      </c>
      <c r="AI133" s="58"/>
      <c r="AJ133" s="58"/>
      <c r="AK133" s="58"/>
      <c r="AL133" s="58"/>
      <c r="AM133" s="58"/>
      <c r="AN133" s="58"/>
      <c r="AO133" s="58"/>
      <c r="AP133" s="58"/>
      <c r="AQ133" s="58"/>
      <c r="AS133" s="58"/>
      <c r="AT133" s="58"/>
      <c r="AU133" s="58"/>
      <c r="AV133" s="58"/>
      <c r="AW133" s="58"/>
      <c r="AX133" s="58"/>
      <c r="AY133" s="58"/>
      <c r="AZ133" s="58"/>
      <c r="BA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row>
    <row r="134" spans="2:84" ht="13.5" customHeight="1">
      <c r="B134" t="s">
        <v>83</v>
      </c>
      <c r="D134" s="58">
        <v>2081</v>
      </c>
      <c r="E134" s="181">
        <f t="shared" si="35"/>
        <v>701</v>
      </c>
      <c r="F134" s="181">
        <v>2782</v>
      </c>
      <c r="G134" s="58"/>
      <c r="H134" s="277">
        <f>784-F134</f>
        <v>-1998</v>
      </c>
      <c r="I134" s="58">
        <f t="shared" si="36"/>
        <v>-436</v>
      </c>
      <c r="J134" s="58">
        <f t="shared" si="37"/>
        <v>-2434</v>
      </c>
      <c r="K134" s="58"/>
      <c r="L134" s="58">
        <v>348</v>
      </c>
      <c r="N134" s="58">
        <v>875</v>
      </c>
      <c r="O134" s="181">
        <f t="shared" si="38"/>
        <v>817</v>
      </c>
      <c r="P134" s="181">
        <v>1692</v>
      </c>
      <c r="Q134" s="58"/>
      <c r="R134" s="277">
        <f>2568-P134</f>
        <v>876</v>
      </c>
      <c r="S134" s="58">
        <f t="shared" si="39"/>
        <v>1135</v>
      </c>
      <c r="T134" s="58">
        <f t="shared" si="40"/>
        <v>2011</v>
      </c>
      <c r="U134" s="58"/>
      <c r="V134" s="58">
        <v>3703</v>
      </c>
      <c r="X134" s="58">
        <v>-622</v>
      </c>
      <c r="Y134" s="181">
        <f t="shared" si="41"/>
        <v>252</v>
      </c>
      <c r="Z134" s="181">
        <v>-370</v>
      </c>
      <c r="AA134" s="58"/>
      <c r="AB134" s="277">
        <f>-271-Z134</f>
        <v>99</v>
      </c>
      <c r="AC134" s="58">
        <f t="shared" si="42"/>
        <v>658</v>
      </c>
      <c r="AD134" s="58">
        <f t="shared" si="43"/>
        <v>757</v>
      </c>
      <c r="AE134" s="58"/>
      <c r="AF134" s="58">
        <v>387</v>
      </c>
      <c r="AI134" s="58"/>
      <c r="AJ134" s="58"/>
      <c r="AK134" s="58"/>
      <c r="AL134" s="58"/>
      <c r="AM134" s="58"/>
      <c r="AN134" s="58"/>
      <c r="AO134" s="58"/>
      <c r="AP134" s="58"/>
      <c r="AQ134" s="58"/>
      <c r="AS134" s="58"/>
      <c r="AT134" s="58"/>
      <c r="AU134" s="58"/>
      <c r="AV134" s="58"/>
      <c r="AW134" s="58"/>
      <c r="AX134" s="58"/>
      <c r="AY134" s="58"/>
      <c r="AZ134" s="58"/>
      <c r="BA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row>
    <row r="135" spans="2:84" ht="13.5" customHeight="1">
      <c r="B135" s="62" t="s">
        <v>114</v>
      </c>
      <c r="C135" s="34"/>
      <c r="D135" s="63">
        <v>279</v>
      </c>
      <c r="E135" s="262">
        <f t="shared" si="35"/>
        <v>325</v>
      </c>
      <c r="F135" s="262">
        <v>604</v>
      </c>
      <c r="G135" s="63"/>
      <c r="H135" s="279">
        <f>956-F135</f>
        <v>352</v>
      </c>
      <c r="I135" s="63">
        <f t="shared" si="36"/>
        <v>184</v>
      </c>
      <c r="J135" s="63">
        <f t="shared" si="37"/>
        <v>536</v>
      </c>
      <c r="K135" s="63"/>
      <c r="L135" s="63">
        <v>1140</v>
      </c>
      <c r="M135" s="34"/>
      <c r="N135" s="63">
        <v>153</v>
      </c>
      <c r="O135" s="262">
        <f t="shared" si="38"/>
        <v>235</v>
      </c>
      <c r="P135" s="262">
        <v>388</v>
      </c>
      <c r="Q135" s="63"/>
      <c r="R135" s="279">
        <f>716-P135</f>
        <v>328</v>
      </c>
      <c r="S135" s="63">
        <f t="shared" si="39"/>
        <v>254</v>
      </c>
      <c r="T135" s="63">
        <f t="shared" si="40"/>
        <v>582</v>
      </c>
      <c r="U135" s="63"/>
      <c r="V135" s="63">
        <v>970</v>
      </c>
      <c r="X135" s="63">
        <v>7</v>
      </c>
      <c r="Y135" s="262">
        <f t="shared" si="41"/>
        <v>8</v>
      </c>
      <c r="Z135" s="262">
        <v>15</v>
      </c>
      <c r="AA135" s="63"/>
      <c r="AB135" s="279">
        <f>66-Z135</f>
        <v>51</v>
      </c>
      <c r="AC135" s="63">
        <f t="shared" si="42"/>
        <v>-38</v>
      </c>
      <c r="AD135" s="63">
        <f t="shared" si="43"/>
        <v>13</v>
      </c>
      <c r="AE135" s="63"/>
      <c r="AF135" s="63">
        <v>28</v>
      </c>
      <c r="AI135" s="58"/>
      <c r="AJ135" s="58"/>
      <c r="AK135" s="58"/>
      <c r="AL135" s="58"/>
      <c r="AM135" s="58"/>
      <c r="AN135" s="58"/>
      <c r="AO135" s="58"/>
      <c r="AP135" s="58"/>
      <c r="AQ135" s="58"/>
      <c r="AS135" s="58"/>
      <c r="AT135" s="58"/>
      <c r="AU135" s="58"/>
      <c r="AV135" s="58"/>
      <c r="AW135" s="58"/>
      <c r="AX135" s="58"/>
      <c r="AY135" s="58"/>
      <c r="AZ135" s="58"/>
      <c r="BA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row>
    <row r="136" spans="2:84" ht="13.5" customHeight="1">
      <c r="B136" s="64" t="s">
        <v>84</v>
      </c>
      <c r="C136" s="27"/>
      <c r="D136" s="65">
        <v>411</v>
      </c>
      <c r="E136" s="263">
        <f t="shared" si="35"/>
        <v>399</v>
      </c>
      <c r="F136" s="263">
        <v>810</v>
      </c>
      <c r="G136" s="65"/>
      <c r="H136" s="280">
        <f>1169-F136</f>
        <v>359</v>
      </c>
      <c r="I136" s="65">
        <f t="shared" si="36"/>
        <v>-482</v>
      </c>
      <c r="J136" s="65">
        <f t="shared" si="37"/>
        <v>-123</v>
      </c>
      <c r="K136" s="65"/>
      <c r="L136" s="65">
        <v>687</v>
      </c>
      <c r="M136" s="27"/>
      <c r="N136" s="65">
        <v>408</v>
      </c>
      <c r="O136" s="263">
        <f t="shared" si="38"/>
        <v>379</v>
      </c>
      <c r="P136" s="263">
        <v>787</v>
      </c>
      <c r="Q136" s="65"/>
      <c r="R136" s="280">
        <f>1227-P136</f>
        <v>440</v>
      </c>
      <c r="S136" s="65">
        <f t="shared" si="39"/>
        <v>355</v>
      </c>
      <c r="T136" s="65">
        <f t="shared" si="40"/>
        <v>795</v>
      </c>
      <c r="U136" s="65"/>
      <c r="V136" s="65">
        <v>1582</v>
      </c>
      <c r="X136" s="65">
        <v>192</v>
      </c>
      <c r="Y136" s="263">
        <f t="shared" si="41"/>
        <v>177</v>
      </c>
      <c r="Z136" s="263">
        <v>369</v>
      </c>
      <c r="AA136" s="65"/>
      <c r="AB136" s="280">
        <f>-54-Z136</f>
        <v>-423</v>
      </c>
      <c r="AC136" s="65">
        <f t="shared" si="42"/>
        <v>835</v>
      </c>
      <c r="AD136" s="65">
        <f t="shared" si="43"/>
        <v>412</v>
      </c>
      <c r="AE136" s="65"/>
      <c r="AF136" s="65">
        <v>781</v>
      </c>
      <c r="AI136" s="58"/>
      <c r="AJ136" s="58"/>
      <c r="AK136" s="58"/>
      <c r="AL136" s="58"/>
      <c r="AM136" s="58"/>
      <c r="AN136" s="58"/>
      <c r="AO136" s="58"/>
      <c r="AP136" s="58"/>
      <c r="AQ136" s="58"/>
      <c r="AS136" s="58"/>
      <c r="AT136" s="58"/>
      <c r="AU136" s="58"/>
      <c r="AV136" s="58"/>
      <c r="AW136" s="58"/>
      <c r="AX136" s="58"/>
      <c r="AY136" s="58"/>
      <c r="AZ136" s="58"/>
      <c r="BA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row>
    <row r="137" spans="2:84" ht="13.5" customHeight="1">
      <c r="B137" t="s">
        <v>180</v>
      </c>
      <c r="D137" s="58">
        <v>208</v>
      </c>
      <c r="E137" s="181">
        <f t="shared" si="35"/>
        <v>198</v>
      </c>
      <c r="F137" s="181">
        <v>406</v>
      </c>
      <c r="G137" s="58"/>
      <c r="H137" s="277">
        <f>533-F137</f>
        <v>127</v>
      </c>
      <c r="I137" s="58">
        <f t="shared" si="36"/>
        <v>31</v>
      </c>
      <c r="J137" s="58">
        <f t="shared" si="37"/>
        <v>158</v>
      </c>
      <c r="K137" s="58"/>
      <c r="L137" s="58">
        <v>564</v>
      </c>
      <c r="N137" s="58">
        <v>137</v>
      </c>
      <c r="O137" s="181">
        <f t="shared" si="38"/>
        <v>137</v>
      </c>
      <c r="P137" s="181">
        <v>274</v>
      </c>
      <c r="Q137" s="58"/>
      <c r="R137" s="277">
        <f>414-P137</f>
        <v>140</v>
      </c>
      <c r="S137" s="58">
        <f t="shared" si="39"/>
        <v>131</v>
      </c>
      <c r="T137" s="58">
        <f t="shared" si="40"/>
        <v>271</v>
      </c>
      <c r="U137" s="58"/>
      <c r="V137" s="58">
        <v>545</v>
      </c>
      <c r="X137" s="58">
        <v>85</v>
      </c>
      <c r="Y137" s="181">
        <f t="shared" si="41"/>
        <v>88</v>
      </c>
      <c r="Z137" s="181">
        <v>173</v>
      </c>
      <c r="AA137" s="58"/>
      <c r="AB137" s="277">
        <f>277-Z137</f>
        <v>104</v>
      </c>
      <c r="AC137" s="58">
        <f t="shared" si="42"/>
        <v>34</v>
      </c>
      <c r="AD137" s="58">
        <f t="shared" si="43"/>
        <v>138</v>
      </c>
      <c r="AE137" s="58"/>
      <c r="AF137" s="58">
        <v>311</v>
      </c>
      <c r="AI137" s="58"/>
      <c r="AJ137" s="58"/>
      <c r="AK137" s="58"/>
      <c r="AL137" s="58"/>
      <c r="AM137" s="58"/>
      <c r="AN137" s="58"/>
      <c r="AO137" s="58"/>
      <c r="AP137" s="58"/>
      <c r="AQ137" s="58"/>
      <c r="AS137" s="58"/>
      <c r="AT137" s="58"/>
      <c r="AU137" s="58"/>
      <c r="AV137" s="58"/>
      <c r="AW137" s="58"/>
      <c r="AX137" s="58"/>
      <c r="AY137" s="58"/>
      <c r="AZ137" s="58"/>
      <c r="BA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row>
    <row r="138" spans="2:84" ht="13.5" customHeight="1">
      <c r="B138" t="s">
        <v>181</v>
      </c>
      <c r="D138" s="58">
        <v>135</v>
      </c>
      <c r="E138" s="181">
        <f t="shared" si="35"/>
        <v>-21</v>
      </c>
      <c r="F138" s="181">
        <v>114</v>
      </c>
      <c r="G138" s="58"/>
      <c r="H138" s="277">
        <f>302-F138</f>
        <v>188</v>
      </c>
      <c r="I138" s="58">
        <f t="shared" si="36"/>
        <v>-522</v>
      </c>
      <c r="J138" s="58">
        <f t="shared" si="37"/>
        <v>-334</v>
      </c>
      <c r="K138" s="58"/>
      <c r="L138" s="58">
        <v>-220</v>
      </c>
      <c r="N138" s="58">
        <v>153</v>
      </c>
      <c r="O138" s="181">
        <f t="shared" si="38"/>
        <v>139</v>
      </c>
      <c r="P138" s="181">
        <v>292</v>
      </c>
      <c r="Q138" s="58"/>
      <c r="R138" s="277">
        <f>501-P138</f>
        <v>209</v>
      </c>
      <c r="S138" s="58">
        <f t="shared" si="39"/>
        <v>220</v>
      </c>
      <c r="T138" s="58">
        <f t="shared" si="40"/>
        <v>429</v>
      </c>
      <c r="U138" s="58"/>
      <c r="V138" s="58">
        <v>721</v>
      </c>
      <c r="X138" s="58">
        <v>70</v>
      </c>
      <c r="Y138" s="181">
        <f t="shared" si="41"/>
        <v>70</v>
      </c>
      <c r="Z138" s="181">
        <v>140</v>
      </c>
      <c r="AA138" s="58"/>
      <c r="AB138" s="277">
        <f>-432-Z138</f>
        <v>-572</v>
      </c>
      <c r="AC138" s="58">
        <f t="shared" si="42"/>
        <v>781</v>
      </c>
      <c r="AD138" s="58">
        <f t="shared" si="43"/>
        <v>209</v>
      </c>
      <c r="AE138" s="58"/>
      <c r="AF138" s="58">
        <v>349</v>
      </c>
      <c r="AI138" s="58"/>
      <c r="AJ138" s="58"/>
      <c r="AK138" s="58"/>
      <c r="AL138" s="58"/>
      <c r="AM138" s="58"/>
      <c r="AN138" s="58"/>
      <c r="AO138" s="58"/>
      <c r="AP138" s="58"/>
      <c r="AQ138" s="58"/>
      <c r="AS138" s="58"/>
      <c r="AT138" s="58"/>
      <c r="AU138" s="58"/>
      <c r="AV138" s="58"/>
      <c r="AW138" s="58"/>
      <c r="AX138" s="58"/>
      <c r="AY138" s="58"/>
      <c r="AZ138" s="58"/>
      <c r="BA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row>
    <row r="139" spans="2:84" ht="13.5" customHeight="1">
      <c r="B139" t="s">
        <v>182</v>
      </c>
      <c r="D139" s="58">
        <v>97</v>
      </c>
      <c r="E139" s="181">
        <f t="shared" si="35"/>
        <v>143</v>
      </c>
      <c r="F139" s="181">
        <v>240</v>
      </c>
      <c r="G139" s="58"/>
      <c r="H139" s="277">
        <v>81</v>
      </c>
      <c r="I139" s="58">
        <f t="shared" si="36"/>
        <v>86</v>
      </c>
      <c r="J139" s="58">
        <f t="shared" si="37"/>
        <v>167</v>
      </c>
      <c r="K139" s="58"/>
      <c r="L139" s="58">
        <v>407</v>
      </c>
      <c r="N139" s="58">
        <v>86</v>
      </c>
      <c r="O139" s="181">
        <f t="shared" si="38"/>
        <v>114</v>
      </c>
      <c r="P139" s="181">
        <v>200</v>
      </c>
      <c r="Q139" s="58"/>
      <c r="R139" s="277">
        <f>314-P139</f>
        <v>114</v>
      </c>
      <c r="S139" s="58">
        <f t="shared" si="39"/>
        <v>96</v>
      </c>
      <c r="T139" s="58">
        <f t="shared" si="40"/>
        <v>210</v>
      </c>
      <c r="U139" s="58"/>
      <c r="V139" s="58">
        <v>410</v>
      </c>
      <c r="X139" s="58">
        <v>68</v>
      </c>
      <c r="Y139" s="181">
        <f t="shared" si="41"/>
        <v>40</v>
      </c>
      <c r="Z139" s="181">
        <v>108</v>
      </c>
      <c r="AA139" s="58"/>
      <c r="AB139" s="277">
        <f>175-Z139</f>
        <v>67</v>
      </c>
      <c r="AC139" s="58">
        <f t="shared" si="42"/>
        <v>98</v>
      </c>
      <c r="AD139" s="58">
        <f t="shared" si="43"/>
        <v>165</v>
      </c>
      <c r="AE139" s="58"/>
      <c r="AF139" s="58">
        <v>273</v>
      </c>
      <c r="AI139" s="58"/>
      <c r="AJ139" s="58"/>
      <c r="AK139" s="58"/>
      <c r="AL139" s="58"/>
      <c r="AM139" s="58"/>
      <c r="AN139" s="58"/>
      <c r="AO139" s="58"/>
      <c r="AP139" s="58"/>
      <c r="AQ139" s="58"/>
      <c r="AS139" s="58"/>
      <c r="AT139" s="58"/>
      <c r="AU139" s="58"/>
      <c r="AV139" s="58"/>
      <c r="AW139" s="58"/>
      <c r="AX139" s="58"/>
      <c r="AY139" s="58"/>
      <c r="AZ139" s="58"/>
      <c r="BA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row>
    <row r="140" spans="2:84" ht="13.5" customHeight="1">
      <c r="B140" t="s">
        <v>183</v>
      </c>
      <c r="D140" s="58">
        <v>-29</v>
      </c>
      <c r="E140" s="181">
        <f t="shared" si="35"/>
        <v>79</v>
      </c>
      <c r="F140" s="181">
        <v>50</v>
      </c>
      <c r="G140" s="58"/>
      <c r="H140" s="277">
        <v>-37</v>
      </c>
      <c r="I140" s="58">
        <f t="shared" si="36"/>
        <v>-77</v>
      </c>
      <c r="J140" s="58">
        <f t="shared" si="37"/>
        <v>-114</v>
      </c>
      <c r="K140" s="58"/>
      <c r="L140" s="58">
        <v>-64</v>
      </c>
      <c r="N140" s="58">
        <v>32</v>
      </c>
      <c r="O140" s="181">
        <f t="shared" si="38"/>
        <v>-11</v>
      </c>
      <c r="P140" s="181">
        <v>21</v>
      </c>
      <c r="Q140" s="58"/>
      <c r="R140" s="277">
        <f>-2-P140</f>
        <v>-23</v>
      </c>
      <c r="S140" s="58">
        <f t="shared" si="39"/>
        <v>-92</v>
      </c>
      <c r="T140" s="58">
        <f t="shared" si="40"/>
        <v>-115</v>
      </c>
      <c r="U140" s="58"/>
      <c r="V140" s="58">
        <v>-94</v>
      </c>
      <c r="X140" s="58">
        <v>-31</v>
      </c>
      <c r="Y140" s="181">
        <f t="shared" si="41"/>
        <v>-21</v>
      </c>
      <c r="Z140" s="181">
        <v>-52</v>
      </c>
      <c r="AA140" s="58"/>
      <c r="AB140" s="277">
        <f>-74-Z140</f>
        <v>-22</v>
      </c>
      <c r="AC140" s="58">
        <f t="shared" si="42"/>
        <v>-78</v>
      </c>
      <c r="AD140" s="58">
        <f t="shared" si="43"/>
        <v>-100</v>
      </c>
      <c r="AE140" s="58"/>
      <c r="AF140" s="58">
        <v>-152</v>
      </c>
      <c r="AI140" s="58"/>
      <c r="AJ140" s="58"/>
      <c r="AK140" s="58"/>
      <c r="AL140" s="58"/>
      <c r="AM140" s="58"/>
      <c r="AN140" s="58"/>
      <c r="AO140" s="58"/>
      <c r="AP140" s="58"/>
      <c r="AQ140" s="58"/>
      <c r="AS140" s="58"/>
      <c r="AT140" s="58"/>
      <c r="AU140" s="58"/>
      <c r="AV140" s="58"/>
      <c r="AW140" s="58"/>
      <c r="AX140" s="58"/>
      <c r="AY140" s="58"/>
      <c r="AZ140" s="58"/>
      <c r="BA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row>
    <row r="141" spans="2:84" ht="13.5" customHeight="1">
      <c r="B141" s="66" t="s">
        <v>115</v>
      </c>
      <c r="C141" s="34"/>
      <c r="D141" s="63">
        <v>89</v>
      </c>
      <c r="E141" s="262">
        <f t="shared" si="35"/>
        <v>153</v>
      </c>
      <c r="F141" s="262">
        <v>242</v>
      </c>
      <c r="G141" s="63"/>
      <c r="H141" s="279">
        <f>352-F141</f>
        <v>110</v>
      </c>
      <c r="I141" s="161">
        <f t="shared" si="36"/>
        <v>124</v>
      </c>
      <c r="J141" s="161">
        <f t="shared" si="37"/>
        <v>234</v>
      </c>
      <c r="K141" s="161"/>
      <c r="L141" s="161">
        <v>476</v>
      </c>
      <c r="M141" s="34"/>
      <c r="N141" s="63">
        <v>109</v>
      </c>
      <c r="O141" s="262">
        <f t="shared" si="38"/>
        <v>129</v>
      </c>
      <c r="P141" s="262">
        <v>238</v>
      </c>
      <c r="Q141" s="63"/>
      <c r="R141" s="279">
        <f>351-P141</f>
        <v>113</v>
      </c>
      <c r="S141" s="161">
        <f t="shared" si="39"/>
        <v>181</v>
      </c>
      <c r="T141" s="161">
        <f t="shared" si="40"/>
        <v>294</v>
      </c>
      <c r="U141" s="161"/>
      <c r="V141" s="161">
        <v>532</v>
      </c>
      <c r="X141" s="63">
        <v>195</v>
      </c>
      <c r="Y141" s="262">
        <f t="shared" si="41"/>
        <v>109</v>
      </c>
      <c r="Z141" s="262">
        <v>304</v>
      </c>
      <c r="AA141" s="63"/>
      <c r="AB141" s="279">
        <f>433-Z141</f>
        <v>129</v>
      </c>
      <c r="AC141" s="161">
        <f t="shared" si="42"/>
        <v>89</v>
      </c>
      <c r="AD141" s="161">
        <f t="shared" si="43"/>
        <v>218</v>
      </c>
      <c r="AE141" s="161"/>
      <c r="AF141" s="161">
        <v>522</v>
      </c>
      <c r="AI141" s="58"/>
      <c r="AJ141" s="58"/>
      <c r="AK141" s="58"/>
      <c r="AL141" s="58"/>
      <c r="AM141" s="58"/>
      <c r="AN141" s="58"/>
      <c r="AO141" s="58"/>
      <c r="AP141" s="58"/>
      <c r="AQ141" s="58"/>
      <c r="AS141" s="58"/>
      <c r="AT141" s="58"/>
      <c r="AU141" s="58"/>
      <c r="AV141" s="58"/>
      <c r="AW141" s="58"/>
      <c r="AX141" s="58"/>
      <c r="AY141" s="58"/>
      <c r="AZ141" s="58"/>
      <c r="BA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row>
    <row r="142" spans="2:84" ht="6.75" customHeight="1">
      <c r="N142" s="58"/>
      <c r="O142" s="58"/>
      <c r="P142" s="58"/>
      <c r="Q142" s="58"/>
      <c r="R142" s="58"/>
      <c r="S142" s="58"/>
      <c r="T142" s="58"/>
      <c r="U142" s="58"/>
      <c r="V142" s="58"/>
      <c r="X142" s="58"/>
      <c r="Y142" s="58"/>
      <c r="Z142" s="58"/>
      <c r="AA142" s="58"/>
      <c r="AB142" s="58"/>
      <c r="AC142" s="58"/>
      <c r="AD142" s="58"/>
      <c r="AE142" s="58"/>
      <c r="AF142" s="58"/>
      <c r="AI142" s="58"/>
      <c r="AJ142" s="58"/>
      <c r="AK142" s="58"/>
      <c r="AL142" s="58"/>
      <c r="AM142" s="58"/>
      <c r="AN142" s="58"/>
      <c r="AO142" s="58"/>
      <c r="AP142" s="58"/>
      <c r="AQ142" s="58"/>
      <c r="AS142" s="58"/>
      <c r="AT142" s="58"/>
      <c r="AU142" s="58"/>
      <c r="AV142" s="58"/>
      <c r="AW142" s="58"/>
      <c r="AX142" s="58"/>
      <c r="AY142" s="58"/>
      <c r="AZ142" s="58"/>
      <c r="BA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row>
    <row r="143" spans="2:84">
      <c r="N143" s="58"/>
      <c r="O143" s="58"/>
      <c r="P143" s="58"/>
      <c r="Q143" s="58"/>
      <c r="R143" s="58"/>
      <c r="S143" s="58"/>
      <c r="T143" s="58"/>
      <c r="U143" s="58"/>
      <c r="V143" s="58"/>
      <c r="X143" s="58"/>
      <c r="Y143" s="58"/>
      <c r="Z143" s="58"/>
      <c r="AA143" s="58"/>
      <c r="AB143" s="58"/>
      <c r="AC143" s="58"/>
      <c r="AD143" s="58"/>
      <c r="AE143" s="58"/>
      <c r="AF143" s="58"/>
      <c r="AI143" s="58"/>
      <c r="AJ143" s="58"/>
      <c r="AK143" s="58"/>
      <c r="AL143" s="58"/>
      <c r="AM143" s="58"/>
      <c r="AN143" s="58"/>
      <c r="AO143" s="58"/>
      <c r="AP143" s="58"/>
      <c r="AQ143" s="58"/>
      <c r="AS143" s="58"/>
      <c r="AT143" s="58"/>
      <c r="AU143" s="58"/>
      <c r="AV143" s="58"/>
      <c r="AW143" s="58"/>
      <c r="AX143" s="58"/>
      <c r="AY143" s="58"/>
      <c r="AZ143" s="58"/>
      <c r="BA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row>
    <row r="144" spans="2:84">
      <c r="B144" s="252" t="s">
        <v>89</v>
      </c>
    </row>
    <row r="145" spans="1:84">
      <c r="B145" t="s">
        <v>1</v>
      </c>
      <c r="D145" s="244" t="str">
        <f>D5</f>
        <v>2022年度　（2022年4月-2023年3月）</v>
      </c>
      <c r="E145" s="244"/>
      <c r="F145" s="244"/>
      <c r="G145" s="244"/>
      <c r="H145" s="244"/>
      <c r="I145" s="244"/>
      <c r="J145" s="244"/>
      <c r="K145" s="244"/>
      <c r="L145" s="244"/>
      <c r="N145" s="244" t="str">
        <f>N5</f>
        <v>2021年度　（2021年4月-2022年3月）</v>
      </c>
      <c r="O145" s="244"/>
      <c r="P145" s="244"/>
      <c r="Q145" s="244"/>
      <c r="R145" s="244"/>
      <c r="S145" s="244"/>
      <c r="T145" s="244"/>
      <c r="U145" s="244"/>
      <c r="V145" s="244"/>
      <c r="X145" s="244" t="str">
        <f>X5</f>
        <v>2020年度　（2020年4月-2021年3月）</v>
      </c>
      <c r="Y145" s="244"/>
      <c r="Z145" s="244"/>
      <c r="AA145" s="244"/>
      <c r="AB145" s="244"/>
      <c r="AC145" s="244"/>
      <c r="AD145" s="244"/>
      <c r="AE145" s="244"/>
      <c r="AF145" s="244"/>
      <c r="AI145" s="5"/>
      <c r="AJ145" s="5"/>
      <c r="AK145" s="5"/>
      <c r="AL145" s="5"/>
      <c r="AM145" s="5"/>
      <c r="AN145" s="5"/>
      <c r="AO145" s="5"/>
      <c r="AP145" s="5"/>
      <c r="AQ145" s="5"/>
      <c r="AS145" s="5"/>
      <c r="AT145" s="5"/>
      <c r="AU145" s="5"/>
      <c r="AV145" s="5"/>
      <c r="AW145" s="5"/>
      <c r="AX145" s="5"/>
      <c r="AY145" s="5"/>
      <c r="AZ145" s="5"/>
      <c r="BA145" s="5"/>
      <c r="BC145" s="5"/>
      <c r="BD145" s="5"/>
      <c r="BE145" s="5"/>
      <c r="BF145" s="5"/>
      <c r="BG145" s="5"/>
      <c r="BH145" s="5"/>
      <c r="BI145" s="5"/>
      <c r="BJ145" s="5"/>
      <c r="BK145" s="5"/>
      <c r="BM145" s="5"/>
      <c r="BN145" s="5"/>
      <c r="BO145" s="5"/>
      <c r="BP145" s="5"/>
      <c r="BQ145" s="5"/>
      <c r="BR145" s="5"/>
      <c r="BS145" s="5"/>
      <c r="BT145" s="5"/>
      <c r="BU145" s="5"/>
      <c r="BX145" s="5"/>
      <c r="BY145" s="5"/>
      <c r="BZ145" s="5"/>
      <c r="CA145" s="5"/>
      <c r="CB145" s="5"/>
      <c r="CC145" s="5"/>
      <c r="CD145" s="5"/>
      <c r="CE145" s="5"/>
      <c r="CF145" s="5"/>
    </row>
    <row r="146" spans="1:84" ht="3.75" customHeight="1">
      <c r="D146" s="5"/>
      <c r="E146" s="5"/>
      <c r="F146" s="5"/>
      <c r="G146" s="5"/>
      <c r="H146" s="5"/>
      <c r="I146" s="5"/>
      <c r="J146" s="5"/>
      <c r="K146" s="5"/>
      <c r="L146" s="244"/>
      <c r="N146" s="5"/>
      <c r="O146" s="5"/>
      <c r="P146" s="5"/>
      <c r="Q146" s="5"/>
      <c r="R146" s="5"/>
      <c r="S146" s="5"/>
      <c r="T146" s="5"/>
      <c r="U146" s="5"/>
      <c r="V146" s="244"/>
      <c r="X146" s="5"/>
      <c r="Y146" s="5"/>
      <c r="Z146" s="5"/>
      <c r="AA146" s="5"/>
      <c r="AB146" s="5"/>
      <c r="AC146" s="5"/>
      <c r="AD146" s="5"/>
      <c r="AE146" s="5"/>
      <c r="AF146" s="244"/>
      <c r="AI146" s="5"/>
      <c r="AJ146" s="5"/>
      <c r="AK146" s="5"/>
      <c r="AL146" s="5"/>
      <c r="AM146" s="5"/>
      <c r="AN146" s="5"/>
      <c r="AO146" s="5"/>
      <c r="AP146" s="5"/>
      <c r="AQ146" s="5"/>
      <c r="AS146" s="5"/>
      <c r="AT146" s="5"/>
      <c r="AU146" s="5"/>
      <c r="AV146" s="5"/>
      <c r="AW146" s="5"/>
      <c r="AX146" s="5"/>
      <c r="AY146" s="5"/>
      <c r="AZ146" s="5"/>
      <c r="BA146" s="5"/>
      <c r="BC146" s="5"/>
      <c r="BD146" s="5"/>
      <c r="BE146" s="5"/>
      <c r="BF146" s="5"/>
      <c r="BG146" s="5"/>
      <c r="BH146" s="5"/>
      <c r="BI146" s="5"/>
      <c r="BJ146" s="5"/>
      <c r="BK146" s="5"/>
      <c r="BM146" s="5"/>
      <c r="BN146" s="5"/>
      <c r="BO146" s="5"/>
      <c r="BP146" s="5"/>
      <c r="BQ146" s="5"/>
      <c r="BR146" s="5"/>
      <c r="BS146" s="5"/>
      <c r="BT146" s="5"/>
      <c r="BU146" s="5"/>
      <c r="BX146" s="5"/>
      <c r="BY146" s="5"/>
      <c r="BZ146" s="5"/>
      <c r="CA146" s="5"/>
      <c r="CB146" s="5"/>
      <c r="CC146" s="5"/>
      <c r="CD146" s="5"/>
      <c r="CE146" s="5"/>
      <c r="CF146" s="5"/>
    </row>
    <row r="147" spans="1:84">
      <c r="D147" s="6"/>
      <c r="E147" s="6"/>
      <c r="F147" s="7" t="s">
        <v>28</v>
      </c>
      <c r="H147" s="7"/>
      <c r="I147" s="7"/>
      <c r="J147" s="7" t="s">
        <v>29</v>
      </c>
      <c r="L147" s="245" t="s">
        <v>30</v>
      </c>
      <c r="N147" s="6"/>
      <c r="O147" s="6"/>
      <c r="P147" s="7" t="s">
        <v>28</v>
      </c>
      <c r="R147" s="7"/>
      <c r="S147" s="7"/>
      <c r="T147" s="7" t="s">
        <v>29</v>
      </c>
      <c r="V147" s="245" t="s">
        <v>30</v>
      </c>
      <c r="X147" s="6"/>
      <c r="Y147" s="6"/>
      <c r="Z147" s="7" t="s">
        <v>28</v>
      </c>
      <c r="AB147" s="7"/>
      <c r="AC147" s="7"/>
      <c r="AD147" s="7" t="s">
        <v>29</v>
      </c>
      <c r="AF147" s="245" t="s">
        <v>30</v>
      </c>
      <c r="AK147" s="8"/>
      <c r="AM147" s="8"/>
      <c r="AN147" s="8"/>
      <c r="AO147" s="8"/>
      <c r="AQ147" s="8"/>
      <c r="AU147" s="8"/>
      <c r="AW147" s="8"/>
      <c r="AX147" s="8"/>
      <c r="AY147" s="8"/>
      <c r="BA147" s="8"/>
      <c r="BE147" s="8"/>
      <c r="BG147" s="8"/>
      <c r="BH147" s="8"/>
      <c r="BI147" s="8"/>
      <c r="BK147" s="8"/>
      <c r="BO147" s="8"/>
      <c r="BQ147" s="8"/>
      <c r="BR147" s="8"/>
      <c r="BS147" s="8"/>
      <c r="BU147" s="8"/>
      <c r="BZ147" s="8"/>
      <c r="CB147" s="8"/>
      <c r="CC147" s="8"/>
      <c r="CD147" s="8"/>
      <c r="CF147" s="8"/>
    </row>
    <row r="148" spans="1:84" s="9" customFormat="1" ht="10.8">
      <c r="D148" s="9" t="s">
        <v>31</v>
      </c>
      <c r="E148" s="220"/>
      <c r="F148" s="10" t="s">
        <v>33</v>
      </c>
      <c r="H148" s="9" t="s">
        <v>171</v>
      </c>
      <c r="I148" s="220"/>
      <c r="J148" s="225"/>
      <c r="L148" s="246"/>
      <c r="N148" s="9" t="s">
        <v>31</v>
      </c>
      <c r="O148" s="220"/>
      <c r="P148" s="10" t="s">
        <v>33</v>
      </c>
      <c r="R148" s="9" t="s">
        <v>171</v>
      </c>
      <c r="S148" s="220"/>
      <c r="T148" s="225"/>
      <c r="V148" s="246"/>
      <c r="X148" s="9" t="s">
        <v>31</v>
      </c>
      <c r="Y148" s="220"/>
      <c r="Z148" s="10" t="s">
        <v>33</v>
      </c>
      <c r="AB148" s="9" t="s">
        <v>171</v>
      </c>
      <c r="AC148" s="220"/>
      <c r="AD148" s="225"/>
      <c r="AF148" s="246"/>
      <c r="AK148" s="11"/>
      <c r="AO148" s="11"/>
      <c r="AQ148" s="11"/>
      <c r="AU148" s="11"/>
      <c r="AY148" s="11"/>
      <c r="BA148" s="11"/>
      <c r="BE148" s="11"/>
      <c r="BI148" s="11"/>
      <c r="BK148" s="11"/>
      <c r="BO148" s="11"/>
      <c r="BS148" s="11"/>
      <c r="BU148" s="11"/>
      <c r="BZ148" s="11"/>
      <c r="CD148" s="11"/>
      <c r="CF148" s="11"/>
    </row>
    <row r="149" spans="1:84" s="9" customFormat="1" ht="10.8">
      <c r="E149" s="220"/>
      <c r="F149" s="10"/>
      <c r="I149" s="220"/>
      <c r="J149" s="225"/>
      <c r="L149" s="246"/>
      <c r="O149" s="220"/>
      <c r="P149" s="10"/>
      <c r="S149" s="220"/>
      <c r="T149" s="225"/>
      <c r="V149" s="246"/>
      <c r="Y149" s="220"/>
      <c r="Z149" s="10"/>
      <c r="AC149" s="220"/>
      <c r="AD149" s="225"/>
      <c r="AF149" s="246"/>
      <c r="AK149" s="11"/>
      <c r="AO149" s="11"/>
      <c r="AQ149" s="11"/>
      <c r="AU149" s="11"/>
      <c r="AY149" s="11"/>
      <c r="BA149" s="11"/>
      <c r="BE149" s="11"/>
      <c r="BI149" s="11"/>
      <c r="BK149" s="11"/>
      <c r="BO149" s="11"/>
      <c r="BS149" s="11"/>
      <c r="BU149" s="11"/>
      <c r="BZ149" s="11"/>
      <c r="CD149" s="11"/>
      <c r="CF149" s="11"/>
    </row>
    <row r="150" spans="1:84" ht="5.0999999999999996" customHeight="1"/>
    <row r="151" spans="1:84" ht="13.5" customHeight="1">
      <c r="B151" s="67" t="s">
        <v>90</v>
      </c>
      <c r="C151" s="34"/>
      <c r="D151" s="34"/>
      <c r="E151" s="221"/>
      <c r="F151" s="264"/>
      <c r="G151" s="34"/>
      <c r="H151" s="34"/>
      <c r="I151" s="226"/>
      <c r="J151" s="226"/>
      <c r="M151" s="34"/>
      <c r="N151" s="34"/>
      <c r="O151" s="221"/>
      <c r="P151" s="264"/>
      <c r="Q151" s="34"/>
      <c r="R151" s="34"/>
      <c r="S151" s="226"/>
      <c r="T151" s="226"/>
      <c r="X151" s="34"/>
      <c r="Y151" s="221"/>
      <c r="Z151" s="264"/>
      <c r="AA151" s="34"/>
      <c r="AB151" s="34"/>
      <c r="AC151" s="226"/>
      <c r="AD151" s="226"/>
    </row>
    <row r="152" spans="1:84" ht="13.5" customHeight="1">
      <c r="B152" s="254" t="s">
        <v>91</v>
      </c>
      <c r="D152" s="16">
        <v>130</v>
      </c>
      <c r="E152" s="138"/>
      <c r="F152" s="186">
        <v>134</v>
      </c>
      <c r="G152" s="16"/>
      <c r="H152" s="275">
        <v>137</v>
      </c>
      <c r="I152" s="227"/>
      <c r="J152" s="227"/>
      <c r="K152" s="203"/>
      <c r="L152" s="166">
        <v>135</v>
      </c>
      <c r="N152" s="16">
        <v>109</v>
      </c>
      <c r="O152" s="138"/>
      <c r="P152" s="186">
        <v>110</v>
      </c>
      <c r="Q152" s="16"/>
      <c r="R152" s="275">
        <v>111</v>
      </c>
      <c r="S152" s="227"/>
      <c r="T152" s="227"/>
      <c r="U152" s="203"/>
      <c r="V152" s="166">
        <v>112</v>
      </c>
      <c r="X152" s="16">
        <v>108</v>
      </c>
      <c r="Y152" s="138"/>
      <c r="Z152" s="186">
        <v>107</v>
      </c>
      <c r="AA152" s="16"/>
      <c r="AB152" s="275">
        <v>106</v>
      </c>
      <c r="AC152" s="227"/>
      <c r="AD152" s="227"/>
      <c r="AE152" s="203"/>
      <c r="AF152" s="166">
        <v>106</v>
      </c>
      <c r="AI152" s="112"/>
      <c r="AJ152" s="112"/>
      <c r="AK152" s="112"/>
      <c r="AL152" s="112"/>
      <c r="AM152" s="112"/>
      <c r="AN152" s="112"/>
      <c r="AO152" s="112"/>
      <c r="AP152" s="112"/>
      <c r="AQ152" s="112"/>
      <c r="AS152" s="112"/>
      <c r="AT152" s="112"/>
      <c r="AU152" s="112"/>
      <c r="AV152" s="112"/>
      <c r="AW152" s="112"/>
      <c r="AX152" s="112"/>
      <c r="AY152" s="112"/>
      <c r="AZ152" s="112"/>
      <c r="BA152" s="112"/>
      <c r="BC152" s="112"/>
      <c r="BD152" s="112"/>
      <c r="BE152" s="112"/>
      <c r="BF152" s="112"/>
      <c r="BG152" s="112"/>
      <c r="BH152" s="112"/>
      <c r="BI152" s="112"/>
      <c r="BJ152" s="112"/>
      <c r="BK152" s="112"/>
      <c r="BL152" s="112"/>
      <c r="BM152" s="112"/>
      <c r="BN152" s="112"/>
      <c r="BO152" s="112"/>
      <c r="BP152" s="112"/>
      <c r="BQ152" s="112"/>
      <c r="BR152" s="112"/>
      <c r="BS152" s="112"/>
      <c r="BT152" s="112"/>
      <c r="BU152" s="112"/>
      <c r="BX152" s="112"/>
      <c r="BY152" s="112"/>
      <c r="BZ152" s="112"/>
      <c r="CA152" s="112"/>
      <c r="CB152" s="112"/>
      <c r="CC152" s="112"/>
      <c r="CD152" s="112"/>
      <c r="CE152" s="112"/>
      <c r="CF152" s="112"/>
    </row>
    <row r="153" spans="1:84" ht="13.5" customHeight="1">
      <c r="B153" s="69" t="s">
        <v>113</v>
      </c>
      <c r="C153" s="34"/>
      <c r="D153" s="109"/>
      <c r="E153" s="222"/>
      <c r="F153" s="204"/>
      <c r="G153" s="109"/>
      <c r="H153" s="109"/>
      <c r="I153" s="222"/>
      <c r="J153" s="222"/>
      <c r="K153" s="204"/>
      <c r="L153" s="109"/>
      <c r="M153" s="34"/>
      <c r="N153" s="109"/>
      <c r="O153" s="222"/>
      <c r="P153" s="204"/>
      <c r="Q153" s="109"/>
      <c r="R153" s="109"/>
      <c r="S153" s="222"/>
      <c r="T153" s="222"/>
      <c r="U153" s="204"/>
      <c r="V153" s="109"/>
      <c r="X153" s="109"/>
      <c r="Y153" s="222"/>
      <c r="Z153" s="204"/>
      <c r="AA153" s="109"/>
      <c r="AB153" s="109"/>
      <c r="AC153" s="222"/>
      <c r="AD153" s="222"/>
      <c r="AE153" s="204"/>
      <c r="AF153" s="109"/>
      <c r="AI153" s="112"/>
      <c r="AJ153" s="112"/>
      <c r="AK153" s="112"/>
      <c r="AL153" s="112"/>
      <c r="AM153" s="112"/>
      <c r="AN153" s="112"/>
      <c r="AO153" s="112"/>
      <c r="AP153" s="112"/>
      <c r="AQ153" s="112"/>
      <c r="AS153" s="112"/>
      <c r="AT153" s="112"/>
      <c r="AU153" s="112"/>
      <c r="AV153" s="112"/>
      <c r="AW153" s="112"/>
      <c r="AX153" s="112"/>
      <c r="AY153" s="112"/>
      <c r="AZ153" s="112"/>
      <c r="BA153" s="112"/>
      <c r="BC153" s="112"/>
      <c r="BD153" s="112"/>
      <c r="BE153" s="112"/>
      <c r="BF153" s="112"/>
      <c r="BG153" s="112"/>
      <c r="BH153" s="112"/>
      <c r="BI153" s="112"/>
      <c r="BJ153" s="112"/>
      <c r="BK153" s="112"/>
      <c r="BL153" s="112"/>
      <c r="BM153" s="112"/>
      <c r="BN153" s="112"/>
      <c r="BO153" s="112"/>
      <c r="BP153" s="112"/>
      <c r="BQ153" s="112"/>
      <c r="BR153" s="112"/>
      <c r="BS153" s="112"/>
      <c r="BT153" s="112"/>
      <c r="BU153" s="112"/>
      <c r="BX153" s="112"/>
      <c r="BY153" s="112"/>
      <c r="BZ153" s="112"/>
      <c r="CA153" s="112"/>
      <c r="CB153" s="112"/>
      <c r="CC153" s="112"/>
      <c r="CD153" s="112"/>
      <c r="CE153" s="112"/>
      <c r="CF153" s="112"/>
    </row>
    <row r="154" spans="1:84" ht="13.5" customHeight="1">
      <c r="A154" s="21"/>
      <c r="B154" s="31" t="s">
        <v>175</v>
      </c>
      <c r="D154" s="16">
        <v>108</v>
      </c>
      <c r="E154" s="223"/>
      <c r="F154" s="186">
        <v>102</v>
      </c>
      <c r="G154" s="16"/>
      <c r="H154" s="275">
        <v>97</v>
      </c>
      <c r="I154" s="228"/>
      <c r="J154" s="228"/>
      <c r="K154" s="201"/>
      <c r="L154" s="112">
        <v>93</v>
      </c>
      <c r="N154" s="16">
        <v>67</v>
      </c>
      <c r="O154" s="223"/>
      <c r="P154" s="186">
        <v>69</v>
      </c>
      <c r="Q154" s="16"/>
      <c r="R154" s="275">
        <v>72</v>
      </c>
      <c r="S154" s="228"/>
      <c r="T154" s="228"/>
      <c r="U154" s="201"/>
      <c r="V154" s="112">
        <v>78</v>
      </c>
      <c r="X154" s="16">
        <v>31</v>
      </c>
      <c r="Y154" s="223"/>
      <c r="Z154" s="186">
        <v>37</v>
      </c>
      <c r="AA154" s="16"/>
      <c r="AB154" s="275">
        <v>39</v>
      </c>
      <c r="AC154" s="228"/>
      <c r="AD154" s="228"/>
      <c r="AE154" s="201"/>
      <c r="AF154" s="112">
        <v>45</v>
      </c>
      <c r="AI154" s="112"/>
      <c r="AJ154" s="25"/>
      <c r="AK154" s="112"/>
      <c r="AL154" s="112"/>
      <c r="AM154" s="112"/>
      <c r="AN154" s="112"/>
      <c r="AO154" s="112"/>
      <c r="AP154" s="112"/>
      <c r="AQ154" s="112"/>
      <c r="AS154" s="112"/>
      <c r="AT154" s="112"/>
      <c r="AU154" s="112"/>
      <c r="AV154" s="112"/>
      <c r="AW154" s="112"/>
      <c r="AX154" s="112"/>
      <c r="AY154" s="112"/>
      <c r="AZ154" s="112"/>
      <c r="BA154" s="112"/>
      <c r="BC154" s="112"/>
      <c r="BD154" s="112"/>
      <c r="BE154" s="112"/>
      <c r="BF154" s="112"/>
      <c r="BG154" s="112"/>
      <c r="BH154" s="112"/>
      <c r="BI154" s="112"/>
      <c r="BJ154" s="112"/>
      <c r="BK154" s="112"/>
      <c r="BL154" s="112"/>
      <c r="BM154" s="112"/>
      <c r="BN154" s="112"/>
      <c r="BO154" s="112"/>
      <c r="BP154" s="112"/>
      <c r="BQ154" s="112"/>
      <c r="BR154" s="112"/>
      <c r="BS154" s="112"/>
      <c r="BT154" s="112"/>
      <c r="BU154" s="112"/>
      <c r="BX154" s="112"/>
      <c r="BY154" s="112"/>
      <c r="BZ154" s="112"/>
      <c r="CA154" s="112"/>
      <c r="CB154" s="112"/>
      <c r="CC154" s="112"/>
      <c r="CD154" s="112"/>
      <c r="CE154" s="112"/>
      <c r="CF154" s="112"/>
    </row>
    <row r="155" spans="1:84" ht="13.5" customHeight="1">
      <c r="B155" s="62" t="s">
        <v>114</v>
      </c>
      <c r="C155" s="34"/>
      <c r="D155" s="109"/>
      <c r="E155" s="222"/>
      <c r="F155" s="204"/>
      <c r="G155" s="109"/>
      <c r="H155" s="109"/>
      <c r="I155" s="222"/>
      <c r="J155" s="222"/>
      <c r="K155" s="204"/>
      <c r="L155" s="109"/>
      <c r="M155" s="34"/>
      <c r="N155" s="109"/>
      <c r="O155" s="222"/>
      <c r="P155" s="204"/>
      <c r="Q155" s="109"/>
      <c r="R155" s="109"/>
      <c r="S155" s="222"/>
      <c r="T155" s="222"/>
      <c r="U155" s="204"/>
      <c r="V155" s="109"/>
      <c r="X155" s="109"/>
      <c r="Y155" s="222"/>
      <c r="Z155" s="204"/>
      <c r="AA155" s="109"/>
      <c r="AB155" s="109"/>
      <c r="AC155" s="222"/>
      <c r="AD155" s="222"/>
      <c r="AE155" s="204"/>
      <c r="AF155" s="109"/>
      <c r="AI155" s="112"/>
      <c r="AJ155" s="112"/>
      <c r="AK155" s="112"/>
      <c r="AL155" s="112"/>
      <c r="AM155" s="112"/>
      <c r="AN155" s="112"/>
      <c r="AO155" s="112"/>
      <c r="AP155" s="112"/>
      <c r="AQ155" s="112"/>
      <c r="AS155" s="112"/>
      <c r="AT155" s="112"/>
      <c r="AU155" s="112"/>
      <c r="AV155" s="112"/>
      <c r="AW155" s="112"/>
      <c r="AX155" s="112"/>
      <c r="AY155" s="112"/>
      <c r="AZ155" s="112"/>
      <c r="BA155" s="112"/>
      <c r="BC155" s="112"/>
      <c r="BD155" s="112"/>
      <c r="BE155" s="112"/>
      <c r="BF155" s="112"/>
      <c r="BG155" s="112"/>
      <c r="BH155" s="112"/>
      <c r="BI155" s="112"/>
      <c r="BJ155" s="112"/>
      <c r="BK155" s="112"/>
      <c r="BL155" s="112"/>
      <c r="BM155" s="112"/>
      <c r="BN155" s="112"/>
      <c r="BO155" s="112"/>
      <c r="BP155" s="112"/>
      <c r="BQ155" s="112"/>
      <c r="BR155" s="112"/>
      <c r="BS155" s="112"/>
      <c r="BT155" s="112"/>
      <c r="BU155" s="112"/>
      <c r="BX155" s="112"/>
      <c r="BY155" s="112"/>
      <c r="BZ155" s="112"/>
      <c r="CA155" s="112"/>
      <c r="CB155" s="112"/>
      <c r="CC155" s="112"/>
      <c r="CD155" s="112"/>
      <c r="CE155" s="112"/>
      <c r="CF155" s="112"/>
    </row>
    <row r="156" spans="1:84" ht="13.5" customHeight="1">
      <c r="B156" s="31" t="s">
        <v>176</v>
      </c>
      <c r="D156" s="16">
        <v>88</v>
      </c>
      <c r="E156" s="138"/>
      <c r="F156" s="186">
        <v>87</v>
      </c>
      <c r="G156" s="16"/>
      <c r="H156" s="275">
        <v>87</v>
      </c>
      <c r="I156" s="228"/>
      <c r="J156" s="228"/>
      <c r="K156" s="201"/>
      <c r="L156" s="112">
        <v>86</v>
      </c>
      <c r="N156" s="16">
        <v>98</v>
      </c>
      <c r="O156" s="138"/>
      <c r="P156" s="186">
        <v>94</v>
      </c>
      <c r="Q156" s="16"/>
      <c r="R156" s="275">
        <v>93</v>
      </c>
      <c r="S156" s="228"/>
      <c r="T156" s="228"/>
      <c r="U156" s="201"/>
      <c r="V156" s="112">
        <v>93</v>
      </c>
      <c r="X156" s="16">
        <v>120</v>
      </c>
      <c r="Y156" s="138"/>
      <c r="Z156" s="186">
        <v>121</v>
      </c>
      <c r="AA156" s="16"/>
      <c r="AB156" s="275">
        <v>124</v>
      </c>
      <c r="AC156" s="228"/>
      <c r="AD156" s="228"/>
      <c r="AE156" s="201"/>
      <c r="AF156" s="112">
        <v>125</v>
      </c>
      <c r="AI156" s="112"/>
      <c r="AJ156" s="112"/>
      <c r="AK156" s="112"/>
      <c r="AL156" s="112"/>
      <c r="AM156" s="112"/>
      <c r="AN156" s="112"/>
      <c r="AO156" s="112"/>
      <c r="AP156" s="112"/>
      <c r="AQ156" s="112"/>
      <c r="AS156" s="112"/>
      <c r="AT156" s="112"/>
      <c r="AU156" s="112"/>
      <c r="AV156" s="112"/>
      <c r="AW156" s="112"/>
      <c r="AX156" s="112"/>
      <c r="AY156" s="112"/>
      <c r="AZ156" s="112"/>
      <c r="BA156" s="112"/>
      <c r="BC156" s="112"/>
      <c r="BD156" s="112"/>
      <c r="BE156" s="112"/>
      <c r="BF156" s="112"/>
      <c r="BG156" s="112"/>
      <c r="BH156" s="112"/>
      <c r="BI156" s="112"/>
      <c r="BJ156" s="112"/>
      <c r="BK156" s="112"/>
      <c r="BL156" s="112"/>
      <c r="BM156" s="112"/>
      <c r="BN156" s="112"/>
      <c r="BO156" s="112"/>
      <c r="BP156" s="112"/>
      <c r="BQ156" s="112"/>
      <c r="BR156" s="112"/>
      <c r="BS156" s="112"/>
      <c r="BT156" s="112"/>
      <c r="BU156" s="112"/>
      <c r="BX156" s="112"/>
      <c r="BY156" s="112"/>
      <c r="BZ156" s="112"/>
      <c r="CA156" s="112"/>
      <c r="CB156" s="112"/>
      <c r="CC156" s="112"/>
      <c r="CD156" s="112"/>
      <c r="CE156" s="112"/>
      <c r="CF156" s="112"/>
    </row>
    <row r="157" spans="1:84" ht="13.5" customHeight="1">
      <c r="B157" s="31" t="s">
        <v>164</v>
      </c>
      <c r="D157" s="16">
        <v>112</v>
      </c>
      <c r="E157" s="223"/>
      <c r="F157" s="186">
        <v>105</v>
      </c>
      <c r="G157" s="110"/>
      <c r="H157" s="275">
        <v>100</v>
      </c>
      <c r="I157" s="229"/>
      <c r="J157" s="229"/>
      <c r="K157" s="205"/>
      <c r="L157" s="154">
        <v>95</v>
      </c>
      <c r="N157" s="16">
        <v>69</v>
      </c>
      <c r="O157" s="223"/>
      <c r="P157" s="186">
        <v>71</v>
      </c>
      <c r="Q157" s="110"/>
      <c r="R157" s="275">
        <v>74</v>
      </c>
      <c r="S157" s="229"/>
      <c r="T157" s="229"/>
      <c r="U157" s="205"/>
      <c r="V157" s="154">
        <v>80</v>
      </c>
      <c r="X157" s="16">
        <v>33</v>
      </c>
      <c r="Y157" s="223"/>
      <c r="Z157" s="186">
        <v>38</v>
      </c>
      <c r="AA157" s="110"/>
      <c r="AB157" s="275">
        <v>41</v>
      </c>
      <c r="AC157" s="229"/>
      <c r="AD157" s="229"/>
      <c r="AE157" s="205"/>
      <c r="AF157" s="154">
        <v>46</v>
      </c>
      <c r="AI157" s="112"/>
      <c r="AJ157" s="25"/>
      <c r="AK157" s="112"/>
      <c r="AL157" s="153"/>
      <c r="AM157" s="112"/>
      <c r="AN157" s="154"/>
      <c r="AO157" s="154"/>
      <c r="AP157" s="154"/>
      <c r="AQ157" s="154"/>
      <c r="AS157" s="112"/>
      <c r="AT157" s="112"/>
      <c r="AU157" s="112"/>
      <c r="AV157" s="153"/>
      <c r="AW157" s="112"/>
      <c r="AX157" s="154"/>
      <c r="AY157" s="154"/>
      <c r="AZ157" s="154"/>
      <c r="BA157" s="154"/>
      <c r="BC157" s="112"/>
      <c r="BD157" s="112"/>
      <c r="BE157" s="112"/>
      <c r="BF157" s="153"/>
      <c r="BG157" s="112"/>
      <c r="BH157" s="154"/>
      <c r="BI157" s="154"/>
      <c r="BJ157" s="154"/>
      <c r="BK157" s="154"/>
      <c r="BL157" s="154"/>
      <c r="BM157" s="154"/>
      <c r="BN157" s="154"/>
      <c r="BO157" s="154"/>
      <c r="BP157" s="154"/>
      <c r="BQ157" s="214"/>
      <c r="BR157" s="154"/>
      <c r="BS157" s="154"/>
      <c r="BT157" s="154"/>
      <c r="BU157" s="154"/>
      <c r="BV157" s="97"/>
      <c r="BW157" s="97"/>
      <c r="BX157" s="154"/>
      <c r="BY157" s="154"/>
      <c r="BZ157" s="154"/>
      <c r="CA157" s="154"/>
      <c r="CB157" s="154"/>
      <c r="CC157" s="154"/>
      <c r="CD157" s="154"/>
      <c r="CE157" s="154"/>
      <c r="CF157" s="154"/>
    </row>
    <row r="158" spans="1:84" ht="13.5" customHeight="1">
      <c r="B158" s="72" t="s">
        <v>84</v>
      </c>
      <c r="C158" s="34"/>
      <c r="D158" s="109"/>
      <c r="E158" s="222"/>
      <c r="F158" s="204"/>
      <c r="G158" s="109"/>
      <c r="H158" s="109"/>
      <c r="I158" s="222"/>
      <c r="J158" s="222"/>
      <c r="K158" s="204"/>
      <c r="L158" s="109"/>
      <c r="M158" s="34"/>
      <c r="N158" s="109"/>
      <c r="O158" s="222"/>
      <c r="P158" s="204"/>
      <c r="Q158" s="109"/>
      <c r="R158" s="109"/>
      <c r="S158" s="222"/>
      <c r="T158" s="222"/>
      <c r="U158" s="204"/>
      <c r="V158" s="109"/>
      <c r="X158" s="109"/>
      <c r="Y158" s="222"/>
      <c r="Z158" s="204"/>
      <c r="AA158" s="109"/>
      <c r="AB158" s="109"/>
      <c r="AC158" s="222"/>
      <c r="AD158" s="222"/>
      <c r="AE158" s="204"/>
      <c r="AF158" s="109"/>
      <c r="AI158" s="112"/>
      <c r="AJ158" s="112"/>
      <c r="AK158" s="112"/>
      <c r="AL158" s="112"/>
      <c r="AM158" s="112"/>
      <c r="AN158" s="112"/>
      <c r="AO158" s="112"/>
      <c r="AP158" s="112"/>
      <c r="AQ158" s="112"/>
      <c r="AS158" s="112"/>
      <c r="AT158" s="112"/>
      <c r="AU158" s="112"/>
      <c r="AV158" s="112"/>
      <c r="AW158" s="112"/>
      <c r="AX158" s="112"/>
      <c r="AY158" s="112"/>
      <c r="AZ158" s="112"/>
      <c r="BA158" s="112"/>
      <c r="BC158" s="112"/>
      <c r="BD158" s="112"/>
      <c r="BE158" s="112"/>
      <c r="BF158" s="112"/>
      <c r="BG158" s="112"/>
      <c r="BH158" s="112"/>
      <c r="BI158" s="112"/>
      <c r="BJ158" s="112"/>
      <c r="BK158" s="112"/>
      <c r="BL158" s="112"/>
      <c r="BM158" s="112"/>
      <c r="BN158" s="112"/>
      <c r="BO158" s="112"/>
      <c r="BP158" s="112"/>
      <c r="BQ158" s="112"/>
      <c r="BR158" s="112"/>
      <c r="BS158" s="112"/>
      <c r="BT158" s="112"/>
      <c r="BU158" s="112"/>
      <c r="BX158" s="112"/>
      <c r="BY158" s="112"/>
      <c r="BZ158" s="112"/>
      <c r="CA158" s="112"/>
      <c r="CB158" s="112"/>
      <c r="CC158" s="112"/>
      <c r="CD158" s="112"/>
      <c r="CE158" s="112"/>
      <c r="CF158" s="112"/>
    </row>
    <row r="159" spans="1:84" ht="13.5" customHeight="1">
      <c r="B159" s="31" t="s">
        <v>165</v>
      </c>
      <c r="D159" s="16">
        <v>432</v>
      </c>
      <c r="E159" s="138"/>
      <c r="F159" s="186">
        <v>392</v>
      </c>
      <c r="G159" s="16"/>
      <c r="H159" s="275">
        <v>382</v>
      </c>
      <c r="I159" s="228"/>
      <c r="J159" s="228"/>
      <c r="K159" s="201"/>
      <c r="L159" s="112">
        <v>388</v>
      </c>
      <c r="N159" s="16">
        <v>440</v>
      </c>
      <c r="O159" s="138"/>
      <c r="P159" s="186">
        <v>433</v>
      </c>
      <c r="Q159" s="16"/>
      <c r="R159" s="275">
        <v>435</v>
      </c>
      <c r="S159" s="228"/>
      <c r="T159" s="228"/>
      <c r="U159" s="201"/>
      <c r="V159" s="112">
        <v>440</v>
      </c>
      <c r="X159" s="16">
        <v>242</v>
      </c>
      <c r="Y159" s="138"/>
      <c r="Z159" s="186">
        <v>269</v>
      </c>
      <c r="AA159" s="16"/>
      <c r="AB159" s="275">
        <v>288</v>
      </c>
      <c r="AC159" s="228"/>
      <c r="AD159" s="228"/>
      <c r="AE159" s="201"/>
      <c r="AF159" s="112">
        <v>312</v>
      </c>
      <c r="AI159" s="112"/>
      <c r="AJ159" s="112"/>
      <c r="AK159" s="112"/>
      <c r="AL159" s="112"/>
      <c r="AM159" s="112"/>
      <c r="AN159" s="112"/>
      <c r="AO159" s="112"/>
      <c r="AP159" s="112"/>
      <c r="AQ159" s="112"/>
      <c r="AS159" s="112"/>
      <c r="AT159" s="112"/>
      <c r="AU159" s="112"/>
      <c r="AV159" s="112"/>
      <c r="AW159" s="112"/>
      <c r="AX159" s="112"/>
      <c r="AY159" s="112"/>
      <c r="AZ159" s="112"/>
      <c r="BA159" s="112"/>
      <c r="BC159" s="112"/>
      <c r="BD159" s="112"/>
      <c r="BE159" s="112"/>
      <c r="BF159" s="112"/>
      <c r="BG159" s="112"/>
      <c r="BH159" s="112"/>
      <c r="BI159" s="112"/>
      <c r="BJ159" s="112"/>
      <c r="BK159" s="112"/>
      <c r="BL159" s="112"/>
      <c r="BM159" s="112"/>
      <c r="BN159" s="112"/>
      <c r="BO159" s="112"/>
      <c r="BP159" s="112"/>
      <c r="BQ159" s="112"/>
      <c r="BR159" s="112"/>
      <c r="BS159" s="112"/>
      <c r="BT159" s="112"/>
      <c r="BU159" s="112"/>
      <c r="BX159" s="112"/>
      <c r="BY159" s="112"/>
      <c r="BZ159" s="112"/>
      <c r="CA159" s="112"/>
      <c r="CB159" s="112"/>
      <c r="CC159" s="112"/>
      <c r="CD159" s="112"/>
      <c r="CE159" s="112"/>
      <c r="CF159" s="112"/>
    </row>
    <row r="160" spans="1:84" ht="13.5" customHeight="1">
      <c r="B160" s="31" t="s">
        <v>110</v>
      </c>
      <c r="D160" s="16">
        <v>50</v>
      </c>
      <c r="E160" s="138"/>
      <c r="F160" s="186">
        <v>92</v>
      </c>
      <c r="G160" s="16"/>
      <c r="H160" s="275">
        <v>149</v>
      </c>
      <c r="I160" s="228"/>
      <c r="J160" s="228"/>
      <c r="K160" s="201"/>
      <c r="L160" s="112">
        <v>200</v>
      </c>
      <c r="N160" s="16">
        <v>48</v>
      </c>
      <c r="O160" s="138"/>
      <c r="P160" s="186">
        <v>90</v>
      </c>
      <c r="Q160" s="16"/>
      <c r="R160" s="275">
        <v>143</v>
      </c>
      <c r="S160" s="228"/>
      <c r="T160" s="228"/>
      <c r="U160" s="201"/>
      <c r="V160" s="112">
        <v>195</v>
      </c>
      <c r="X160" s="16">
        <v>51</v>
      </c>
      <c r="Y160" s="138"/>
      <c r="Z160" s="186">
        <v>94</v>
      </c>
      <c r="AA160" s="16"/>
      <c r="AB160" s="275">
        <v>141</v>
      </c>
      <c r="AC160" s="228"/>
      <c r="AD160" s="228"/>
      <c r="AE160" s="201"/>
      <c r="AF160" s="112">
        <v>194</v>
      </c>
      <c r="AI160" s="112"/>
      <c r="AJ160" s="112"/>
      <c r="AK160" s="112"/>
      <c r="AL160" s="112"/>
      <c r="AM160" s="112"/>
      <c r="AN160" s="112"/>
      <c r="AO160" s="112"/>
      <c r="AP160" s="112"/>
      <c r="AQ160" s="112"/>
      <c r="AS160" s="112"/>
      <c r="AT160" s="112"/>
      <c r="AU160" s="112"/>
      <c r="AV160" s="112"/>
      <c r="AW160" s="112"/>
      <c r="AX160" s="112"/>
      <c r="AY160" s="112"/>
      <c r="AZ160" s="112"/>
      <c r="BA160" s="112"/>
      <c r="BC160" s="112"/>
      <c r="BD160" s="112"/>
      <c r="BE160" s="112"/>
      <c r="BF160" s="112"/>
      <c r="BG160" s="112"/>
      <c r="BH160" s="112"/>
      <c r="BI160" s="112"/>
      <c r="BJ160" s="112"/>
      <c r="BK160" s="112"/>
      <c r="BL160" s="112"/>
      <c r="BM160" s="112"/>
      <c r="BN160" s="112"/>
      <c r="BO160" s="112"/>
      <c r="BP160" s="112"/>
      <c r="BQ160" s="112"/>
      <c r="BR160" s="112"/>
      <c r="BS160" s="112"/>
      <c r="BT160" s="112"/>
      <c r="BU160" s="112"/>
      <c r="BX160" s="112"/>
      <c r="BY160" s="112"/>
      <c r="BZ160" s="112"/>
      <c r="CA160" s="112"/>
      <c r="CB160" s="112"/>
      <c r="CC160" s="112"/>
      <c r="CD160" s="112"/>
      <c r="CE160" s="112"/>
      <c r="CF160" s="112"/>
    </row>
    <row r="161" spans="1:84" ht="13.5" customHeight="1">
      <c r="B161" s="31" t="s">
        <v>93</v>
      </c>
      <c r="D161" s="16">
        <v>150</v>
      </c>
      <c r="E161" s="138"/>
      <c r="F161" s="186">
        <v>322</v>
      </c>
      <c r="G161" s="16"/>
      <c r="H161" s="275">
        <v>469</v>
      </c>
      <c r="I161" s="228"/>
      <c r="J161" s="228"/>
      <c r="K161" s="201"/>
      <c r="L161" s="112">
        <v>633</v>
      </c>
      <c r="N161" s="16">
        <v>148</v>
      </c>
      <c r="O161" s="138"/>
      <c r="P161" s="186">
        <v>306</v>
      </c>
      <c r="Q161" s="16"/>
      <c r="R161" s="275">
        <v>458</v>
      </c>
      <c r="S161" s="228"/>
      <c r="T161" s="228"/>
      <c r="U161" s="201"/>
      <c r="V161" s="112">
        <v>586</v>
      </c>
      <c r="X161" s="16">
        <v>144</v>
      </c>
      <c r="Y161" s="138"/>
      <c r="Z161" s="186">
        <v>314</v>
      </c>
      <c r="AA161" s="16"/>
      <c r="AB161" s="275">
        <v>469</v>
      </c>
      <c r="AC161" s="228"/>
      <c r="AD161" s="228"/>
      <c r="AE161" s="201"/>
      <c r="AF161" s="112">
        <v>634</v>
      </c>
      <c r="AI161" s="112"/>
      <c r="AJ161" s="112"/>
      <c r="AK161" s="112"/>
      <c r="AL161" s="112"/>
      <c r="AM161" s="112"/>
      <c r="AN161" s="112"/>
      <c r="AO161" s="112"/>
      <c r="AP161" s="112"/>
      <c r="AQ161" s="112"/>
      <c r="AS161" s="112"/>
      <c r="AT161" s="112"/>
      <c r="AU161" s="112"/>
      <c r="AV161" s="112"/>
      <c r="AW161" s="112"/>
      <c r="AX161" s="112"/>
      <c r="AY161" s="112"/>
      <c r="AZ161" s="112"/>
      <c r="BA161" s="112"/>
      <c r="BC161" s="112"/>
      <c r="BD161" s="112"/>
      <c r="BE161" s="112"/>
      <c r="BF161" s="112"/>
      <c r="BG161" s="112"/>
      <c r="BH161" s="112"/>
      <c r="BI161" s="112"/>
      <c r="BJ161" s="112"/>
      <c r="BK161" s="112"/>
      <c r="BL161" s="112"/>
      <c r="BM161" s="112"/>
      <c r="BN161" s="112"/>
      <c r="BO161" s="112"/>
      <c r="BP161" s="112"/>
      <c r="BQ161" s="112"/>
      <c r="BR161" s="112"/>
      <c r="BS161" s="112"/>
      <c r="BT161" s="112"/>
      <c r="BU161" s="112"/>
      <c r="BX161" s="112"/>
      <c r="BY161" s="112"/>
      <c r="BZ161" s="112"/>
      <c r="CA161" s="112"/>
      <c r="CB161" s="112"/>
      <c r="CC161" s="112"/>
      <c r="CD161" s="112"/>
      <c r="CE161" s="112"/>
      <c r="CF161" s="112"/>
    </row>
    <row r="162" spans="1:84" s="179" customFormat="1" ht="13.5" customHeight="1">
      <c r="B162" s="180" t="s">
        <v>95</v>
      </c>
      <c r="D162" s="110">
        <v>3.7</v>
      </c>
      <c r="E162" s="224"/>
      <c r="F162" s="265">
        <v>3.6</v>
      </c>
      <c r="G162" s="110"/>
      <c r="H162" s="281">
        <v>3.3</v>
      </c>
      <c r="I162" s="230"/>
      <c r="J162" s="230"/>
      <c r="K162" s="206"/>
      <c r="L162" s="153">
        <v>3.1</v>
      </c>
      <c r="N162" s="110">
        <v>3.9</v>
      </c>
      <c r="O162" s="224"/>
      <c r="P162" s="265">
        <v>3.9</v>
      </c>
      <c r="Q162" s="110"/>
      <c r="R162" s="281">
        <v>3.8</v>
      </c>
      <c r="S162" s="230"/>
      <c r="T162" s="230"/>
      <c r="U162" s="206"/>
      <c r="V162" s="153">
        <v>3.9</v>
      </c>
      <c r="X162" s="110">
        <v>3.3</v>
      </c>
      <c r="Y162" s="224"/>
      <c r="Z162" s="265">
        <v>3.3</v>
      </c>
      <c r="AA162" s="110"/>
      <c r="AB162" s="281">
        <v>3.5</v>
      </c>
      <c r="AC162" s="230"/>
      <c r="AD162" s="230"/>
      <c r="AE162" s="206"/>
      <c r="AF162" s="153">
        <v>3.6</v>
      </c>
      <c r="AI162" s="153"/>
      <c r="AJ162" s="153"/>
      <c r="AK162" s="153"/>
      <c r="AL162" s="153"/>
      <c r="AM162" s="153"/>
      <c r="AN162" s="153"/>
      <c r="AO162" s="153"/>
      <c r="AP162" s="153"/>
      <c r="AQ162" s="153"/>
      <c r="AS162" s="153"/>
      <c r="AT162" s="153"/>
      <c r="AU162" s="153"/>
      <c r="AV162" s="153"/>
      <c r="AW162" s="153"/>
      <c r="AX162" s="153"/>
      <c r="AY162" s="153"/>
      <c r="AZ162" s="153"/>
      <c r="BA162" s="153"/>
      <c r="BC162" s="153"/>
      <c r="BD162" s="153"/>
      <c r="BE162" s="153"/>
      <c r="BF162" s="153"/>
      <c r="BG162" s="153"/>
      <c r="BH162" s="153"/>
      <c r="BI162" s="153"/>
      <c r="BJ162" s="153"/>
      <c r="BK162" s="153"/>
      <c r="BL162" s="153"/>
      <c r="BM162" s="153"/>
      <c r="BN162" s="153"/>
      <c r="BO162" s="153"/>
      <c r="BP162" s="153"/>
      <c r="BQ162" s="153"/>
      <c r="BR162" s="153"/>
      <c r="BS162" s="153"/>
      <c r="BT162" s="153"/>
      <c r="BU162" s="153"/>
      <c r="BX162" s="153"/>
      <c r="BY162" s="153"/>
      <c r="BZ162" s="153"/>
      <c r="CA162" s="153"/>
      <c r="CB162" s="153"/>
      <c r="CC162" s="153"/>
      <c r="CD162" s="153"/>
      <c r="CE162" s="153"/>
      <c r="CF162" s="153"/>
    </row>
    <row r="163" spans="1:84">
      <c r="P163" s="207"/>
      <c r="Z163" s="207"/>
    </row>
    <row r="164" spans="1:84">
      <c r="A164" s="4"/>
      <c r="B164" s="31" t="s">
        <v>177</v>
      </c>
    </row>
  </sheetData>
  <phoneticPr fontId="3"/>
  <pageMargins left="0.23622047244094491" right="0.23622047244094491" top="0.74803149606299213" bottom="0.74803149606299213" header="0.31496062992125984" footer="0.31496062992125984"/>
  <pageSetup paperSize="8" scale="73" fitToHeight="2" orientation="landscape" r:id="rId1"/>
  <headerFooter alignWithMargins="0">
    <oddHeader>&amp;R&amp;"Calibri"&amp;14&amp;K000000 【社内限り】&amp;1#_x000D_</oddHeader>
    <oddFooter>&amp;L（C)JX Holdings, Inc.</oddFooter>
  </headerFooter>
  <rowBreaks count="1" manualBreakCount="1">
    <brk id="86" max="3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E8638-C844-4243-B2C5-6EFCEE2FC08B}">
  <sheetPr>
    <tabColor theme="5" tint="0.79998168889431442"/>
    <pageSetUpPr fitToPage="1"/>
  </sheetPr>
  <dimension ref="A1:CF164"/>
  <sheetViews>
    <sheetView showGridLines="0" view="pageBreakPreview" zoomScaleNormal="100" zoomScaleSheetLayoutView="100" workbookViewId="0">
      <pane xSplit="3" ySplit="2" topLeftCell="D48" activePane="bottomRight" state="frozen"/>
      <selection activeCell="I170" sqref="I170"/>
      <selection pane="topRight" activeCell="I170" sqref="I170"/>
      <selection pane="bottomLeft" activeCell="I170" sqref="I170"/>
      <selection pane="bottomRight" activeCell="B90" sqref="B90"/>
    </sheetView>
  </sheetViews>
  <sheetFormatPr defaultRowHeight="13.2"/>
  <cols>
    <col min="1" max="1" width="2" customWidth="1"/>
    <col min="2" max="2" width="48" customWidth="1"/>
    <col min="3" max="3" width="0.88671875" customWidth="1"/>
    <col min="4" max="6" width="10.6640625" customWidth="1"/>
    <col min="7" max="7" width="0.88671875" customWidth="1"/>
    <col min="8" max="10" width="10.6640625" customWidth="1"/>
    <col min="11" max="11" width="0.88671875" customWidth="1"/>
    <col min="12" max="12" width="10.6640625" customWidth="1"/>
    <col min="13" max="13" width="0.88671875" customWidth="1"/>
    <col min="14" max="16" width="10.6640625" customWidth="1"/>
    <col min="17" max="17" width="0.88671875" customWidth="1"/>
    <col min="18" max="20" width="10.6640625" customWidth="1"/>
    <col min="21" max="21" width="0.88671875" customWidth="1"/>
    <col min="22" max="22" width="10.6640625" customWidth="1"/>
    <col min="23" max="23" width="0.88671875" customWidth="1"/>
    <col min="24" max="26" width="10.6640625" customWidth="1"/>
    <col min="27" max="27" width="0.88671875" customWidth="1"/>
    <col min="28" max="30" width="10.6640625" customWidth="1"/>
    <col min="31" max="31" width="0.88671875" customWidth="1"/>
    <col min="32" max="32" width="10.6640625" customWidth="1"/>
    <col min="33" max="33" width="0.88671875" customWidth="1"/>
    <col min="34" max="36" width="10.6640625" customWidth="1"/>
    <col min="37" max="37" width="0.88671875" customWidth="1"/>
    <col min="38" max="40" width="10.6640625" customWidth="1"/>
    <col min="41" max="41" width="0.88671875" customWidth="1"/>
    <col min="42" max="42" width="10.6640625" customWidth="1"/>
    <col min="43" max="43" width="0.88671875" customWidth="1"/>
    <col min="44" max="46" width="10.6640625" customWidth="1"/>
    <col min="47" max="47" width="0.88671875" customWidth="1"/>
    <col min="48" max="50" width="10.6640625" customWidth="1"/>
    <col min="51" max="51" width="0.88671875" customWidth="1"/>
    <col min="52" max="52" width="10.6640625" customWidth="1"/>
    <col min="53" max="53" width="0.88671875" customWidth="1"/>
    <col min="54" max="56" width="10.6640625" customWidth="1"/>
    <col min="57" max="57" width="0.88671875" customWidth="1"/>
    <col min="58" max="60" width="10.6640625" customWidth="1"/>
    <col min="61" max="61" width="0.88671875" customWidth="1"/>
    <col min="62" max="62" width="10.6640625" customWidth="1"/>
    <col min="63" max="63" width="0.88671875" customWidth="1"/>
    <col min="64" max="66" width="10.6640625" customWidth="1"/>
    <col min="67" max="67" width="0.88671875" customWidth="1"/>
    <col min="68" max="70" width="10.6640625" customWidth="1"/>
    <col min="71" max="71" width="0.88671875" customWidth="1"/>
    <col min="72" max="72" width="10.6640625" customWidth="1"/>
    <col min="73" max="73" width="0" hidden="1" customWidth="1"/>
    <col min="74" max="74" width="0.88671875" customWidth="1"/>
    <col min="75" max="77" width="10.6640625" customWidth="1"/>
    <col min="78" max="78" width="0.88671875" customWidth="1"/>
    <col min="79" max="81" width="10.6640625" customWidth="1"/>
    <col min="82" max="82" width="0.88671875" customWidth="1"/>
    <col min="83" max="83" width="10.6640625" customWidth="1"/>
  </cols>
  <sheetData>
    <row r="1" spans="1:83" ht="16.5" customHeight="1"/>
    <row r="2" spans="1:83" s="3" customFormat="1" ht="19.5" customHeight="1">
      <c r="A2" s="2"/>
      <c r="B2" s="1" t="s">
        <v>137</v>
      </c>
      <c r="C2" s="73"/>
      <c r="D2" s="73"/>
      <c r="E2" s="73"/>
      <c r="F2" s="73"/>
      <c r="G2" s="171"/>
      <c r="H2" s="171"/>
      <c r="I2" s="171"/>
      <c r="J2" s="171"/>
      <c r="K2" s="171"/>
      <c r="L2" s="171"/>
      <c r="M2" s="73"/>
      <c r="N2" s="73"/>
      <c r="O2" s="73"/>
      <c r="P2" s="73"/>
      <c r="Q2" s="171"/>
      <c r="R2" s="171"/>
      <c r="S2" s="171"/>
      <c r="T2" s="171"/>
      <c r="U2" s="171"/>
      <c r="V2" s="171"/>
      <c r="W2" s="73"/>
      <c r="X2" s="73"/>
      <c r="Y2" s="73"/>
      <c r="Z2" s="73"/>
      <c r="AA2" s="171"/>
      <c r="AB2" s="171"/>
      <c r="AC2" s="171"/>
      <c r="AD2" s="171"/>
      <c r="AE2" s="171"/>
      <c r="AF2" s="171"/>
      <c r="AG2"/>
      <c r="AH2"/>
      <c r="AI2"/>
      <c r="AJ2"/>
      <c r="AQ2"/>
      <c r="AR2"/>
      <c r="AS2"/>
      <c r="AT2"/>
      <c r="BA2"/>
      <c r="BB2"/>
      <c r="BC2"/>
      <c r="BD2"/>
      <c r="BW2"/>
      <c r="BX2"/>
      <c r="BY2"/>
    </row>
    <row r="3" spans="1:83" s="3" customFormat="1" ht="6.75" customHeight="1">
      <c r="A3" s="2"/>
    </row>
    <row r="4" spans="1:83" s="3" customFormat="1" ht="16.2">
      <c r="A4" s="4" t="s">
        <v>0</v>
      </c>
    </row>
    <row r="5" spans="1:83">
      <c r="B5" t="s">
        <v>1</v>
      </c>
      <c r="D5" s="132" t="s">
        <v>174</v>
      </c>
      <c r="E5" s="132"/>
      <c r="F5" s="132"/>
      <c r="G5" s="132"/>
      <c r="H5" s="132"/>
      <c r="I5" s="132"/>
      <c r="J5" s="132"/>
      <c r="K5" s="132"/>
      <c r="L5" s="132"/>
      <c r="N5" s="132" t="s">
        <v>173</v>
      </c>
      <c r="O5" s="132"/>
      <c r="P5" s="132"/>
      <c r="Q5" s="132"/>
      <c r="R5" s="132"/>
      <c r="S5" s="132"/>
      <c r="T5" s="132"/>
      <c r="U5" s="132"/>
      <c r="V5" s="132"/>
      <c r="X5" s="231" t="s">
        <v>148</v>
      </c>
      <c r="Y5" s="231"/>
      <c r="Z5" s="231"/>
      <c r="AA5" s="231"/>
      <c r="AB5" s="231"/>
      <c r="AC5" s="231"/>
      <c r="AD5" s="231"/>
      <c r="AE5" s="231"/>
      <c r="AF5" s="231"/>
      <c r="AH5" s="5"/>
      <c r="AI5" s="5"/>
      <c r="AJ5" s="5"/>
      <c r="AK5" s="5"/>
      <c r="AL5" s="5"/>
      <c r="AM5" s="5"/>
      <c r="AN5" s="5"/>
      <c r="AO5" s="5"/>
      <c r="AP5" s="5"/>
      <c r="AR5" s="5"/>
      <c r="AS5" s="5"/>
      <c r="AT5" s="5"/>
      <c r="AU5" s="5"/>
      <c r="AV5" s="5"/>
      <c r="AW5" s="5"/>
      <c r="AX5" s="5"/>
      <c r="AY5" s="5"/>
      <c r="AZ5" s="5"/>
      <c r="BB5" s="5"/>
      <c r="BC5" s="5"/>
      <c r="BD5" s="5"/>
      <c r="BE5" s="5"/>
      <c r="BF5" s="5"/>
      <c r="BG5" s="5"/>
      <c r="BH5" s="5"/>
      <c r="BI5" s="5"/>
      <c r="BJ5" s="5"/>
      <c r="BL5" s="5"/>
      <c r="BM5" s="5"/>
      <c r="BN5" s="5"/>
      <c r="BO5" s="5"/>
      <c r="BP5" s="5"/>
      <c r="BQ5" s="5"/>
      <c r="BR5" s="5"/>
      <c r="BS5" s="5"/>
      <c r="BT5" s="5"/>
      <c r="BW5" s="5"/>
      <c r="BX5" s="5"/>
      <c r="BY5" s="5"/>
      <c r="BZ5" s="5"/>
      <c r="CA5" s="5"/>
      <c r="CB5" s="5"/>
      <c r="CC5" s="5"/>
      <c r="CD5" s="5"/>
      <c r="CE5" s="5"/>
    </row>
    <row r="6" spans="1:83" ht="3.75" customHeight="1">
      <c r="D6" s="5"/>
      <c r="E6" s="5"/>
      <c r="F6" s="5"/>
      <c r="G6" s="5"/>
      <c r="H6" s="5"/>
      <c r="I6" s="5"/>
      <c r="J6" s="5"/>
      <c r="K6" s="5"/>
      <c r="L6" s="132"/>
      <c r="N6" s="5"/>
      <c r="O6" s="5"/>
      <c r="P6" s="5"/>
      <c r="Q6" s="5"/>
      <c r="R6" s="5"/>
      <c r="S6" s="5"/>
      <c r="T6" s="5"/>
      <c r="U6" s="5"/>
      <c r="V6" s="132"/>
      <c r="X6" s="231"/>
      <c r="Y6" s="231"/>
      <c r="Z6" s="231"/>
      <c r="AA6" s="231"/>
      <c r="AB6" s="231"/>
      <c r="AC6" s="231"/>
      <c r="AD6" s="231"/>
      <c r="AE6" s="231"/>
      <c r="AF6" s="231"/>
      <c r="AH6" s="5"/>
      <c r="AI6" s="5"/>
      <c r="AJ6" s="5"/>
      <c r="AK6" s="5"/>
      <c r="AL6" s="5"/>
      <c r="AM6" s="5"/>
      <c r="AN6" s="5"/>
      <c r="AO6" s="5"/>
      <c r="AP6" s="5"/>
      <c r="AR6" s="5"/>
      <c r="AS6" s="5"/>
      <c r="AT6" s="5"/>
      <c r="AU6" s="5"/>
      <c r="AV6" s="5"/>
      <c r="AW6" s="5"/>
      <c r="AX6" s="5"/>
      <c r="AY6" s="5"/>
      <c r="AZ6" s="5"/>
      <c r="BB6" s="5"/>
      <c r="BC6" s="5"/>
      <c r="BD6" s="5"/>
      <c r="BE6" s="5"/>
      <c r="BF6" s="5"/>
      <c r="BG6" s="5"/>
      <c r="BH6" s="5"/>
      <c r="BI6" s="5"/>
      <c r="BJ6" s="5"/>
      <c r="BL6" s="5"/>
      <c r="BM6" s="5"/>
      <c r="BN6" s="5"/>
      <c r="BO6" s="5"/>
      <c r="BP6" s="5"/>
      <c r="BQ6" s="5"/>
      <c r="BR6" s="5"/>
      <c r="BS6" s="5"/>
      <c r="BT6" s="5"/>
      <c r="BW6" s="5"/>
      <c r="BX6" s="5"/>
      <c r="BY6" s="5"/>
      <c r="BZ6" s="5"/>
      <c r="CA6" s="5"/>
      <c r="CB6" s="5"/>
      <c r="CC6" s="5"/>
      <c r="CD6" s="5"/>
      <c r="CE6" s="5"/>
    </row>
    <row r="7" spans="1:83">
      <c r="D7" s="6"/>
      <c r="E7" s="6"/>
      <c r="F7" s="7" t="s">
        <v>2</v>
      </c>
      <c r="H7" s="7"/>
      <c r="I7" s="7"/>
      <c r="J7" s="7" t="s">
        <v>3</v>
      </c>
      <c r="L7" s="133" t="s">
        <v>4</v>
      </c>
      <c r="N7" s="6"/>
      <c r="O7" s="6"/>
      <c r="P7" s="7" t="s">
        <v>2</v>
      </c>
      <c r="R7" s="7"/>
      <c r="S7" s="7"/>
      <c r="T7" s="7" t="s">
        <v>3</v>
      </c>
      <c r="V7" s="133" t="s">
        <v>4</v>
      </c>
      <c r="X7" s="6"/>
      <c r="Y7" s="6"/>
      <c r="Z7" s="7" t="s">
        <v>2</v>
      </c>
      <c r="AB7" s="7"/>
      <c r="AC7" s="7"/>
      <c r="AD7" s="7" t="s">
        <v>3</v>
      </c>
      <c r="AF7" s="232" t="s">
        <v>4</v>
      </c>
      <c r="AJ7" s="8"/>
      <c r="AL7" s="8"/>
      <c r="AM7" s="8"/>
      <c r="AN7" s="8"/>
      <c r="AP7" s="8"/>
      <c r="AT7" s="8"/>
      <c r="AV7" s="8"/>
      <c r="AW7" s="8"/>
      <c r="AX7" s="8"/>
      <c r="AZ7" s="8"/>
      <c r="BD7" s="8"/>
      <c r="BF7" s="8"/>
      <c r="BG7" s="8"/>
      <c r="BH7" s="8"/>
      <c r="BJ7" s="8"/>
      <c r="BN7" s="8"/>
      <c r="BP7" s="8"/>
      <c r="BQ7" s="8"/>
      <c r="BR7" s="8"/>
      <c r="BT7" s="8"/>
      <c r="BY7" s="8"/>
      <c r="CA7" s="8"/>
      <c r="CB7" s="8"/>
      <c r="CC7" s="8"/>
      <c r="CE7" s="8"/>
    </row>
    <row r="8" spans="1:83" s="9" customFormat="1" ht="10.8">
      <c r="D8" s="9" t="s">
        <v>5</v>
      </c>
      <c r="E8" s="9" t="s">
        <v>6</v>
      </c>
      <c r="F8" s="10" t="s">
        <v>6</v>
      </c>
      <c r="H8" s="9" t="s">
        <v>7</v>
      </c>
      <c r="I8" s="9" t="s">
        <v>8</v>
      </c>
      <c r="J8" s="10" t="s">
        <v>9</v>
      </c>
      <c r="L8" s="134"/>
      <c r="N8" s="9" t="s">
        <v>5</v>
      </c>
      <c r="O8" s="9" t="s">
        <v>6</v>
      </c>
      <c r="P8" s="10" t="s">
        <v>6</v>
      </c>
      <c r="R8" s="9" t="s">
        <v>7</v>
      </c>
      <c r="S8" s="9" t="s">
        <v>8</v>
      </c>
      <c r="T8" s="10" t="s">
        <v>9</v>
      </c>
      <c r="V8" s="134"/>
      <c r="X8" s="9" t="s">
        <v>5</v>
      </c>
      <c r="Y8" s="9" t="s">
        <v>6</v>
      </c>
      <c r="Z8" s="10" t="s">
        <v>6</v>
      </c>
      <c r="AB8" s="9" t="s">
        <v>7</v>
      </c>
      <c r="AC8" s="9" t="s">
        <v>8</v>
      </c>
      <c r="AD8" s="10" t="s">
        <v>9</v>
      </c>
      <c r="AF8" s="233"/>
      <c r="AJ8" s="11"/>
      <c r="AN8" s="11"/>
      <c r="AP8" s="11"/>
      <c r="AT8" s="11"/>
      <c r="AX8" s="11"/>
      <c r="AZ8" s="11"/>
      <c r="BD8" s="11"/>
      <c r="BH8" s="11"/>
      <c r="BJ8" s="11"/>
      <c r="BN8" s="11"/>
      <c r="BR8" s="11"/>
      <c r="BT8" s="11"/>
      <c r="BY8" s="11"/>
      <c r="CC8" s="11"/>
      <c r="CE8" s="11"/>
    </row>
    <row r="9" spans="1:83" s="9" customFormat="1" ht="10.8">
      <c r="D9" s="9" t="s">
        <v>10</v>
      </c>
      <c r="E9" s="9" t="s">
        <v>11</v>
      </c>
      <c r="F9" s="10" t="s">
        <v>11</v>
      </c>
      <c r="H9" s="9" t="s">
        <v>98</v>
      </c>
      <c r="I9" s="9" t="s">
        <v>99</v>
      </c>
      <c r="J9" s="10" t="s">
        <v>14</v>
      </c>
      <c r="L9" s="134" t="s">
        <v>15</v>
      </c>
      <c r="N9" s="9" t="s">
        <v>10</v>
      </c>
      <c r="O9" s="9" t="s">
        <v>11</v>
      </c>
      <c r="P9" s="10" t="s">
        <v>11</v>
      </c>
      <c r="R9" s="9" t="s">
        <v>98</v>
      </c>
      <c r="S9" s="9" t="s">
        <v>99</v>
      </c>
      <c r="T9" s="10" t="s">
        <v>14</v>
      </c>
      <c r="V9" s="134" t="s">
        <v>15</v>
      </c>
      <c r="X9" s="9" t="s">
        <v>10</v>
      </c>
      <c r="Y9" s="9" t="s">
        <v>11</v>
      </c>
      <c r="Z9" s="10" t="s">
        <v>11</v>
      </c>
      <c r="AB9" s="9" t="s">
        <v>98</v>
      </c>
      <c r="AC9" s="9" t="s">
        <v>99</v>
      </c>
      <c r="AD9" s="10" t="s">
        <v>14</v>
      </c>
      <c r="AF9" s="233" t="s">
        <v>15</v>
      </c>
      <c r="AJ9" s="11"/>
      <c r="AN9" s="11"/>
      <c r="AP9" s="11"/>
      <c r="AT9" s="11"/>
      <c r="AX9" s="11"/>
      <c r="AZ9" s="11"/>
      <c r="BD9" s="11"/>
      <c r="BH9" s="11"/>
      <c r="BJ9" s="11"/>
      <c r="BN9" s="11"/>
      <c r="BR9" s="11"/>
      <c r="BT9" s="11"/>
      <c r="BY9" s="11"/>
      <c r="CC9" s="11"/>
      <c r="CE9" s="11"/>
    </row>
    <row r="10" spans="1:83" s="3" customFormat="1" ht="5.0999999999999996" customHeight="1">
      <c r="A10" s="2"/>
    </row>
    <row r="11" spans="1:83" ht="13.5" customHeight="1" thickBot="1">
      <c r="B11" s="12" t="s">
        <v>138</v>
      </c>
      <c r="C11" s="12"/>
      <c r="D11" s="13">
        <v>86287</v>
      </c>
      <c r="E11" s="137"/>
      <c r="F11" s="13">
        <v>84931</v>
      </c>
      <c r="G11" s="113"/>
      <c r="H11" s="13">
        <v>88721</v>
      </c>
      <c r="I11" s="190"/>
      <c r="J11" s="190"/>
      <c r="K11" s="155"/>
      <c r="L11" s="13">
        <v>80113</v>
      </c>
      <c r="M11" s="12"/>
      <c r="N11" s="13">
        <v>84192</v>
      </c>
      <c r="O11" s="137"/>
      <c r="P11" s="13">
        <v>89270</v>
      </c>
      <c r="Q11" s="113"/>
      <c r="R11" s="13">
        <v>88788</v>
      </c>
      <c r="S11" s="190"/>
      <c r="T11" s="139"/>
      <c r="U11" s="155"/>
      <c r="V11" s="155">
        <v>84778</v>
      </c>
      <c r="W11" s="12"/>
      <c r="X11" s="13">
        <v>80606</v>
      </c>
      <c r="Y11" s="137"/>
      <c r="Z11" s="13">
        <v>83731</v>
      </c>
      <c r="AA11" s="113"/>
      <c r="AB11" s="13">
        <v>86175</v>
      </c>
      <c r="AC11" s="190"/>
      <c r="AD11" s="139"/>
      <c r="AE11" s="155"/>
      <c r="AF11" s="155">
        <v>84576</v>
      </c>
      <c r="AH11" s="112"/>
      <c r="AI11" s="112"/>
      <c r="AJ11" s="112"/>
      <c r="AK11" s="136"/>
      <c r="AL11" s="112"/>
      <c r="AM11" s="136"/>
      <c r="AN11" s="136"/>
      <c r="AO11" s="154"/>
      <c r="AP11" s="154"/>
      <c r="AR11" s="112"/>
      <c r="AS11" s="112"/>
      <c r="AT11" s="112"/>
      <c r="AU11" s="136"/>
      <c r="AV11" s="112"/>
      <c r="AW11" s="136"/>
      <c r="AX11" s="136"/>
      <c r="AY11" s="154"/>
      <c r="AZ11" s="154"/>
      <c r="BB11" s="112"/>
      <c r="BC11" s="112"/>
      <c r="BD11" s="112"/>
      <c r="BE11" s="136"/>
      <c r="BF11" s="112"/>
      <c r="BG11" s="136"/>
      <c r="BH11" s="136"/>
      <c r="BI11" s="154"/>
      <c r="BJ11" s="154"/>
      <c r="BL11" s="112"/>
      <c r="BM11" s="112"/>
      <c r="BN11" s="112"/>
      <c r="BO11" s="136"/>
      <c r="BP11" s="112"/>
      <c r="BQ11" s="136"/>
      <c r="BR11" s="136"/>
      <c r="BS11" s="154"/>
      <c r="BT11" s="210"/>
      <c r="BW11" s="112"/>
      <c r="BX11" s="112"/>
      <c r="BY11" s="112"/>
      <c r="BZ11" s="136"/>
      <c r="CA11" s="112"/>
      <c r="CB11" s="136"/>
      <c r="CC11" s="136"/>
      <c r="CD11" s="154"/>
      <c r="CE11" s="154"/>
    </row>
    <row r="12" spans="1:83" ht="13.5" customHeight="1">
      <c r="B12" t="s">
        <v>17</v>
      </c>
      <c r="D12" s="16">
        <v>33993</v>
      </c>
      <c r="E12" s="138"/>
      <c r="F12" s="16">
        <v>32504</v>
      </c>
      <c r="G12" s="20"/>
      <c r="H12" s="16">
        <v>35440</v>
      </c>
      <c r="I12" s="191"/>
      <c r="J12" s="191"/>
      <c r="K12" s="94"/>
      <c r="L12" s="16">
        <v>28786</v>
      </c>
      <c r="N12" s="16">
        <v>35428</v>
      </c>
      <c r="O12" s="138"/>
      <c r="P12" s="16">
        <v>39077</v>
      </c>
      <c r="Q12" s="20"/>
      <c r="R12" s="16">
        <v>39062</v>
      </c>
      <c r="S12" s="191"/>
      <c r="T12" s="140"/>
      <c r="U12" s="94"/>
      <c r="V12" s="154">
        <v>35874</v>
      </c>
      <c r="X12" s="16">
        <v>29447</v>
      </c>
      <c r="Y12" s="138"/>
      <c r="Z12" s="16">
        <v>32412</v>
      </c>
      <c r="AA12" s="20"/>
      <c r="AB12" s="16">
        <v>34819</v>
      </c>
      <c r="AC12" s="191"/>
      <c r="AD12" s="140"/>
      <c r="AE12" s="94"/>
      <c r="AF12" s="154">
        <v>35932</v>
      </c>
      <c r="AH12" s="112"/>
      <c r="AI12" s="112"/>
      <c r="AJ12" s="112"/>
      <c r="AK12" s="136"/>
      <c r="AL12" s="112"/>
      <c r="AM12" s="136"/>
      <c r="AN12" s="136"/>
      <c r="AO12" s="154"/>
      <c r="AP12" s="154"/>
      <c r="AR12" s="112"/>
      <c r="AS12" s="112"/>
      <c r="AT12" s="112"/>
      <c r="AU12" s="136"/>
      <c r="AV12" s="112"/>
      <c r="AW12" s="136"/>
      <c r="AX12" s="136"/>
      <c r="AY12" s="154"/>
      <c r="AZ12" s="154"/>
      <c r="BB12" s="112"/>
      <c r="BC12" s="112"/>
      <c r="BD12" s="112"/>
      <c r="BE12" s="136"/>
      <c r="BF12" s="112"/>
      <c r="BG12" s="136"/>
      <c r="BH12" s="136"/>
      <c r="BI12" s="154"/>
      <c r="BJ12" s="154"/>
      <c r="BL12" s="112"/>
      <c r="BM12" s="112"/>
      <c r="BN12" s="112"/>
      <c r="BO12" s="136"/>
      <c r="BP12" s="112"/>
      <c r="BQ12" s="136"/>
      <c r="BR12" s="136"/>
      <c r="BS12" s="154"/>
      <c r="BT12" s="210"/>
      <c r="BW12" s="112"/>
      <c r="BX12" s="112"/>
      <c r="BY12" s="112"/>
      <c r="BZ12" s="136"/>
      <c r="CA12" s="112"/>
      <c r="CB12" s="136"/>
      <c r="CC12" s="136"/>
      <c r="CD12" s="154"/>
      <c r="CE12" s="154"/>
    </row>
    <row r="13" spans="1:83" ht="13.5" customHeight="1">
      <c r="B13" t="s">
        <v>139</v>
      </c>
      <c r="D13" s="16">
        <v>52294</v>
      </c>
      <c r="E13" s="138"/>
      <c r="F13" s="16">
        <v>52427</v>
      </c>
      <c r="G13" s="20"/>
      <c r="H13" s="16">
        <v>53281</v>
      </c>
      <c r="I13" s="191"/>
      <c r="J13" s="191"/>
      <c r="K13" s="94"/>
      <c r="L13" s="16">
        <v>51327</v>
      </c>
      <c r="N13" s="16">
        <v>48764</v>
      </c>
      <c r="O13" s="138"/>
      <c r="P13" s="16">
        <v>50193</v>
      </c>
      <c r="Q13" s="20"/>
      <c r="R13" s="16">
        <v>49726</v>
      </c>
      <c r="S13" s="191"/>
      <c r="T13" s="140"/>
      <c r="U13" s="94"/>
      <c r="V13" s="154">
        <v>48904</v>
      </c>
      <c r="X13" s="16">
        <v>51159</v>
      </c>
      <c r="Y13" s="138"/>
      <c r="Z13" s="16">
        <v>51319</v>
      </c>
      <c r="AA13" s="20"/>
      <c r="AB13" s="16">
        <v>51355</v>
      </c>
      <c r="AC13" s="191"/>
      <c r="AD13" s="140"/>
      <c r="AE13" s="94"/>
      <c r="AF13" s="154">
        <v>48644</v>
      </c>
      <c r="AH13" s="112"/>
      <c r="AI13" s="112"/>
      <c r="AJ13" s="112"/>
      <c r="AK13" s="136"/>
      <c r="AL13" s="112"/>
      <c r="AM13" s="136"/>
      <c r="AN13" s="136"/>
      <c r="AO13" s="154"/>
      <c r="AP13" s="154"/>
      <c r="AR13" s="112"/>
      <c r="AS13" s="112"/>
      <c r="AT13" s="112"/>
      <c r="AU13" s="136"/>
      <c r="AV13" s="112"/>
      <c r="AW13" s="136"/>
      <c r="AX13" s="136"/>
      <c r="AY13" s="154"/>
      <c r="AZ13" s="154"/>
      <c r="BB13" s="112"/>
      <c r="BC13" s="112"/>
      <c r="BD13" s="112"/>
      <c r="BE13" s="136"/>
      <c r="BF13" s="112"/>
      <c r="BG13" s="136"/>
      <c r="BH13" s="136"/>
      <c r="BI13" s="154"/>
      <c r="BJ13" s="154"/>
      <c r="BL13" s="112"/>
      <c r="BM13" s="112"/>
      <c r="BN13" s="112"/>
      <c r="BO13" s="136"/>
      <c r="BP13" s="112"/>
      <c r="BQ13" s="136"/>
      <c r="BR13" s="136"/>
      <c r="BS13" s="154"/>
      <c r="BT13" s="210"/>
      <c r="BW13" s="112"/>
      <c r="BX13" s="112"/>
      <c r="BY13" s="112"/>
      <c r="BZ13" s="136"/>
      <c r="CA13" s="112"/>
      <c r="CB13" s="136"/>
      <c r="CC13" s="136"/>
      <c r="CD13" s="154"/>
      <c r="CE13" s="154"/>
    </row>
    <row r="14" spans="1:83" ht="13.5" customHeight="1">
      <c r="B14" t="s">
        <v>19</v>
      </c>
      <c r="D14" s="16">
        <v>37357</v>
      </c>
      <c r="E14" s="138"/>
      <c r="F14" s="16">
        <v>37353</v>
      </c>
      <c r="G14" s="20"/>
      <c r="H14" s="16">
        <v>38056</v>
      </c>
      <c r="I14" s="191"/>
      <c r="J14" s="191"/>
      <c r="K14" s="94"/>
      <c r="L14" s="16">
        <v>37249</v>
      </c>
      <c r="N14" s="16">
        <v>33487</v>
      </c>
      <c r="O14" s="138"/>
      <c r="P14" s="16">
        <v>34044</v>
      </c>
      <c r="Q14" s="20"/>
      <c r="R14" s="16">
        <v>34020</v>
      </c>
      <c r="S14" s="191"/>
      <c r="T14" s="140"/>
      <c r="U14" s="94"/>
      <c r="V14" s="154">
        <v>33816</v>
      </c>
      <c r="X14" s="16">
        <v>35867</v>
      </c>
      <c r="Y14" s="138"/>
      <c r="Z14" s="16">
        <v>35737</v>
      </c>
      <c r="AA14" s="20"/>
      <c r="AB14" s="16">
        <v>35892</v>
      </c>
      <c r="AC14" s="191"/>
      <c r="AD14" s="140"/>
      <c r="AE14" s="94"/>
      <c r="AF14" s="154">
        <v>33274</v>
      </c>
      <c r="AH14" s="112"/>
      <c r="AI14" s="112"/>
      <c r="AJ14" s="112"/>
      <c r="AK14" s="136"/>
      <c r="AL14" s="112"/>
      <c r="AM14" s="136"/>
      <c r="AN14" s="136"/>
      <c r="AO14" s="154"/>
      <c r="AP14" s="154"/>
      <c r="AR14" s="112"/>
      <c r="AS14" s="112"/>
      <c r="AT14" s="112"/>
      <c r="AU14" s="136"/>
      <c r="AV14" s="112"/>
      <c r="AW14" s="136"/>
      <c r="AX14" s="136"/>
      <c r="AY14" s="154"/>
      <c r="AZ14" s="154"/>
      <c r="BB14" s="112"/>
      <c r="BC14" s="112"/>
      <c r="BD14" s="112"/>
      <c r="BE14" s="136"/>
      <c r="BF14" s="112"/>
      <c r="BG14" s="136"/>
      <c r="BH14" s="136"/>
      <c r="BI14" s="154"/>
      <c r="BJ14" s="154"/>
      <c r="BL14" s="112"/>
      <c r="BM14" s="112"/>
      <c r="BN14" s="112"/>
      <c r="BO14" s="136"/>
      <c r="BP14" s="112"/>
      <c r="BQ14" s="136"/>
      <c r="BR14" s="136"/>
      <c r="BS14" s="154"/>
      <c r="BT14" s="210"/>
      <c r="BW14" s="112"/>
      <c r="BX14" s="112"/>
      <c r="BY14" s="112"/>
      <c r="BZ14" s="136"/>
      <c r="CA14" s="112"/>
      <c r="CB14" s="136"/>
      <c r="CC14" s="136"/>
      <c r="CD14" s="154"/>
      <c r="CE14" s="154"/>
    </row>
    <row r="15" spans="1:83" ht="13.5" customHeight="1">
      <c r="B15" t="s">
        <v>140</v>
      </c>
      <c r="D15" s="16">
        <v>1943</v>
      </c>
      <c r="E15" s="138"/>
      <c r="F15" s="16">
        <v>1940</v>
      </c>
      <c r="G15" s="20"/>
      <c r="H15" s="16">
        <v>1933</v>
      </c>
      <c r="I15" s="191"/>
      <c r="J15" s="191"/>
      <c r="K15" s="94"/>
      <c r="L15" s="16">
        <v>1857</v>
      </c>
      <c r="N15" s="16">
        <v>1772</v>
      </c>
      <c r="O15" s="138"/>
      <c r="P15" s="16">
        <v>1960</v>
      </c>
      <c r="Q15" s="20"/>
      <c r="R15" s="16">
        <v>1967</v>
      </c>
      <c r="S15" s="191"/>
      <c r="T15" s="140"/>
      <c r="U15" s="94"/>
      <c r="V15" s="154">
        <v>1965</v>
      </c>
      <c r="X15" s="16">
        <v>1772</v>
      </c>
      <c r="Y15" s="138"/>
      <c r="Z15" s="16">
        <v>1772</v>
      </c>
      <c r="AA15" s="20"/>
      <c r="AB15" s="16">
        <v>1772</v>
      </c>
      <c r="AC15" s="191"/>
      <c r="AD15" s="140"/>
      <c r="AE15" s="94"/>
      <c r="AF15" s="154">
        <v>1772</v>
      </c>
      <c r="AH15" s="112"/>
      <c r="AI15" s="112"/>
      <c r="AJ15" s="112"/>
      <c r="AK15" s="136"/>
      <c r="AL15" s="112"/>
      <c r="AM15" s="136"/>
      <c r="AN15" s="136"/>
      <c r="AO15" s="154"/>
      <c r="AP15" s="154"/>
      <c r="AR15" s="112"/>
      <c r="AS15" s="112"/>
      <c r="AT15" s="112"/>
      <c r="AU15" s="136"/>
      <c r="AV15" s="112"/>
      <c r="AW15" s="136"/>
      <c r="AX15" s="136"/>
      <c r="AY15" s="154"/>
      <c r="AZ15" s="154"/>
      <c r="BB15" s="112"/>
      <c r="BC15" s="112"/>
      <c r="BD15" s="112"/>
      <c r="BE15" s="136"/>
      <c r="BF15" s="112"/>
      <c r="BG15" s="136"/>
      <c r="BH15" s="136"/>
      <c r="BI15" s="154"/>
      <c r="BJ15" s="154"/>
      <c r="BL15" s="112"/>
      <c r="BM15" s="112"/>
      <c r="BN15" s="112"/>
      <c r="BO15" s="136"/>
      <c r="BP15" s="112"/>
      <c r="BQ15" s="136"/>
      <c r="BR15" s="136"/>
      <c r="BS15" s="154"/>
      <c r="BT15" s="210"/>
      <c r="BW15" s="112"/>
      <c r="BX15" s="112"/>
      <c r="BY15" s="112"/>
      <c r="BZ15" s="136"/>
      <c r="CA15" s="112"/>
      <c r="CB15" s="136"/>
      <c r="CC15" s="136"/>
      <c r="CD15" s="154"/>
      <c r="CE15" s="154"/>
    </row>
    <row r="16" spans="1:83" ht="13.5" customHeight="1">
      <c r="B16" t="s">
        <v>141</v>
      </c>
      <c r="D16" s="16">
        <v>3426</v>
      </c>
      <c r="E16" s="138"/>
      <c r="F16" s="16">
        <v>3405</v>
      </c>
      <c r="G16" s="20"/>
      <c r="H16" s="16">
        <v>3377</v>
      </c>
      <c r="I16" s="191"/>
      <c r="J16" s="191"/>
      <c r="K16" s="94"/>
      <c r="L16" s="16">
        <v>3454</v>
      </c>
      <c r="N16" s="16">
        <v>3315</v>
      </c>
      <c r="O16" s="138"/>
      <c r="P16" s="16">
        <v>3420</v>
      </c>
      <c r="Q16" s="20"/>
      <c r="R16" s="16">
        <v>3447</v>
      </c>
      <c r="S16" s="191"/>
      <c r="T16" s="140"/>
      <c r="U16" s="94"/>
      <c r="V16" s="16">
        <v>3458</v>
      </c>
      <c r="X16" s="16">
        <v>3387</v>
      </c>
      <c r="Y16" s="138"/>
      <c r="Z16" s="16">
        <v>3373</v>
      </c>
      <c r="AA16" s="20"/>
      <c r="AB16" s="16">
        <v>3339</v>
      </c>
      <c r="AC16" s="191"/>
      <c r="AD16" s="140"/>
      <c r="AE16" s="94"/>
      <c r="AF16" s="16">
        <v>3344</v>
      </c>
      <c r="AH16" s="112"/>
      <c r="AI16" s="112"/>
      <c r="AJ16" s="112"/>
      <c r="AK16" s="136"/>
      <c r="AL16" s="112"/>
      <c r="AM16" s="136"/>
      <c r="AN16" s="136"/>
      <c r="AO16" s="154"/>
      <c r="AP16" s="154"/>
      <c r="AR16" s="112"/>
      <c r="AS16" s="112"/>
      <c r="AT16" s="112"/>
      <c r="AU16" s="136"/>
      <c r="AV16" s="112"/>
      <c r="AW16" s="136"/>
      <c r="AX16" s="136"/>
      <c r="AY16" s="154"/>
      <c r="AZ16" s="154"/>
      <c r="BB16" s="112"/>
      <c r="BC16" s="112"/>
      <c r="BD16" s="112"/>
      <c r="BE16" s="136"/>
      <c r="BF16" s="112"/>
      <c r="BG16" s="136"/>
      <c r="BH16" s="136"/>
      <c r="BI16" s="154"/>
      <c r="BJ16" s="154"/>
      <c r="BL16" s="112"/>
      <c r="BM16" s="112"/>
      <c r="BN16" s="112"/>
      <c r="BO16" s="136"/>
      <c r="BP16" s="112"/>
      <c r="BQ16" s="136"/>
      <c r="BR16" s="136"/>
      <c r="BS16" s="154"/>
      <c r="BT16" s="210"/>
      <c r="BW16" s="112"/>
      <c r="BX16" s="112"/>
      <c r="BY16" s="112"/>
      <c r="BZ16" s="136"/>
      <c r="CA16" s="112"/>
      <c r="CB16" s="136"/>
      <c r="CC16" s="136"/>
      <c r="CD16" s="154"/>
      <c r="CE16" s="154"/>
    </row>
    <row r="17" spans="1:84" ht="13.5" customHeight="1">
      <c r="B17" t="s">
        <v>142</v>
      </c>
      <c r="D17" s="16">
        <f>+D13-D14-D15-D16</f>
        <v>9568</v>
      </c>
      <c r="E17" s="138"/>
      <c r="F17" s="16">
        <v>9729</v>
      </c>
      <c r="G17" s="20"/>
      <c r="H17" s="16">
        <v>9915</v>
      </c>
      <c r="I17" s="191"/>
      <c r="J17" s="191"/>
      <c r="K17" s="94"/>
      <c r="L17" s="16">
        <f>L13-SUM(L14:L16)</f>
        <v>8767</v>
      </c>
      <c r="N17" s="16">
        <f>+N13-N14-N15-N16</f>
        <v>10190</v>
      </c>
      <c r="O17" s="138"/>
      <c r="P17" s="16">
        <v>10769</v>
      </c>
      <c r="Q17" s="20"/>
      <c r="R17" s="16">
        <v>10292</v>
      </c>
      <c r="S17" s="191"/>
      <c r="T17" s="140"/>
      <c r="U17" s="94"/>
      <c r="V17" s="16">
        <f>V13-SUM(V14:V16)</f>
        <v>9665</v>
      </c>
      <c r="X17" s="16">
        <v>10132</v>
      </c>
      <c r="Y17" s="138"/>
      <c r="Z17" s="16">
        <v>10436</v>
      </c>
      <c r="AA17" s="20"/>
      <c r="AB17" s="16">
        <v>10352</v>
      </c>
      <c r="AC17" s="191"/>
      <c r="AD17" s="140"/>
      <c r="AE17" s="94"/>
      <c r="AF17" s="16">
        <v>10254</v>
      </c>
      <c r="AH17" s="112"/>
      <c r="AI17" s="112"/>
      <c r="AJ17" s="112"/>
      <c r="AK17" s="136"/>
      <c r="AL17" s="112"/>
      <c r="AM17" s="136"/>
      <c r="AN17" s="136"/>
      <c r="AO17" s="154"/>
      <c r="AP17" s="154"/>
      <c r="AR17" s="112"/>
      <c r="AS17" s="112"/>
      <c r="AT17" s="112"/>
      <c r="AU17" s="136"/>
      <c r="AV17" s="112"/>
      <c r="AW17" s="136"/>
      <c r="AX17" s="136"/>
      <c r="AY17" s="154"/>
      <c r="AZ17" s="154"/>
      <c r="BB17" s="112"/>
      <c r="BC17" s="112"/>
      <c r="BD17" s="112"/>
      <c r="BE17" s="136"/>
      <c r="BF17" s="112"/>
      <c r="BG17" s="136"/>
      <c r="BH17" s="136"/>
      <c r="BI17" s="154"/>
      <c r="BJ17" s="154"/>
      <c r="BL17" s="112"/>
      <c r="BM17" s="112"/>
      <c r="BN17" s="112"/>
      <c r="BO17" s="136"/>
      <c r="BP17" s="112"/>
      <c r="BQ17" s="136"/>
      <c r="BR17" s="136"/>
      <c r="BS17" s="154"/>
      <c r="BT17" s="210"/>
      <c r="BW17" s="112"/>
      <c r="BX17" s="112"/>
      <c r="BY17" s="112"/>
      <c r="BZ17" s="136"/>
      <c r="CA17" s="112"/>
      <c r="CB17" s="136"/>
      <c r="CC17" s="136"/>
      <c r="CD17" s="154"/>
      <c r="CE17" s="154"/>
    </row>
    <row r="18" spans="1:84" ht="13.5" customHeight="1" thickBot="1">
      <c r="B18" s="12" t="s">
        <v>22</v>
      </c>
      <c r="C18" s="12"/>
      <c r="D18" s="13">
        <v>55967</v>
      </c>
      <c r="E18" s="137"/>
      <c r="F18" s="13">
        <v>54501</v>
      </c>
      <c r="G18" s="113"/>
      <c r="H18" s="13">
        <v>57846</v>
      </c>
      <c r="I18" s="190"/>
      <c r="J18" s="190"/>
      <c r="K18" s="155"/>
      <c r="L18" s="13">
        <v>53034</v>
      </c>
      <c r="M18" s="12"/>
      <c r="N18" s="13">
        <v>53963</v>
      </c>
      <c r="O18" s="137"/>
      <c r="P18" s="13">
        <v>57409</v>
      </c>
      <c r="Q18" s="113"/>
      <c r="R18" s="13">
        <v>57733</v>
      </c>
      <c r="S18" s="190"/>
      <c r="T18" s="139"/>
      <c r="U18" s="155"/>
      <c r="V18" s="155">
        <v>53580</v>
      </c>
      <c r="W18" s="12"/>
      <c r="X18" s="13">
        <v>54214</v>
      </c>
      <c r="Y18" s="137"/>
      <c r="Z18" s="13">
        <v>56017</v>
      </c>
      <c r="AA18" s="113"/>
      <c r="AB18" s="13">
        <v>56948</v>
      </c>
      <c r="AC18" s="190"/>
      <c r="AD18" s="139"/>
      <c r="AE18" s="155"/>
      <c r="AF18" s="155">
        <v>55376</v>
      </c>
      <c r="AH18" s="112"/>
      <c r="AI18" s="112"/>
      <c r="AJ18" s="112"/>
      <c r="AK18" s="136"/>
      <c r="AL18" s="112"/>
      <c r="AM18" s="136"/>
      <c r="AN18" s="136"/>
      <c r="AO18" s="154"/>
      <c r="AP18" s="154"/>
      <c r="AR18" s="112"/>
      <c r="AS18" s="112"/>
      <c r="AT18" s="112"/>
      <c r="AU18" s="136"/>
      <c r="AV18" s="112"/>
      <c r="AW18" s="136"/>
      <c r="AX18" s="136"/>
      <c r="AY18" s="154"/>
      <c r="AZ18" s="154"/>
      <c r="BB18" s="112"/>
      <c r="BC18" s="112"/>
      <c r="BD18" s="112"/>
      <c r="BE18" s="136"/>
      <c r="BF18" s="112"/>
      <c r="BG18" s="136"/>
      <c r="BH18" s="136"/>
      <c r="BI18" s="154"/>
      <c r="BJ18" s="154"/>
      <c r="BL18" s="112"/>
      <c r="BM18" s="112"/>
      <c r="BN18" s="112"/>
      <c r="BO18" s="136"/>
      <c r="BP18" s="112"/>
      <c r="BQ18" s="136"/>
      <c r="BR18" s="136"/>
      <c r="BS18" s="154"/>
      <c r="BT18" s="210"/>
      <c r="BW18" s="112"/>
      <c r="BX18" s="112"/>
      <c r="BY18" s="112"/>
      <c r="BZ18" s="136"/>
      <c r="CA18" s="112"/>
      <c r="CB18" s="136"/>
      <c r="CC18" s="136"/>
      <c r="CD18" s="154"/>
      <c r="CE18" s="154"/>
    </row>
    <row r="19" spans="1:84" ht="13.5" customHeight="1">
      <c r="B19" t="s">
        <v>143</v>
      </c>
      <c r="D19" s="16">
        <v>22672</v>
      </c>
      <c r="E19" s="138"/>
      <c r="F19" s="16">
        <v>23280</v>
      </c>
      <c r="G19" s="20"/>
      <c r="H19" s="16">
        <v>23835</v>
      </c>
      <c r="I19" s="191"/>
      <c r="J19" s="191"/>
      <c r="K19" s="94"/>
      <c r="L19" s="16">
        <v>23008</v>
      </c>
      <c r="N19" s="16">
        <v>22372</v>
      </c>
      <c r="O19" s="138"/>
      <c r="P19" s="16">
        <v>25185</v>
      </c>
      <c r="Q19" s="20"/>
      <c r="R19" s="16">
        <v>26741</v>
      </c>
      <c r="S19" s="191"/>
      <c r="T19" s="140"/>
      <c r="U19" s="94"/>
      <c r="V19" s="154">
        <v>22180</v>
      </c>
      <c r="X19" s="16">
        <v>25924</v>
      </c>
      <c r="Y19" s="138"/>
      <c r="Z19" s="16">
        <v>25620</v>
      </c>
      <c r="AA19" s="20"/>
      <c r="AB19" s="16">
        <v>25968</v>
      </c>
      <c r="AC19" s="191"/>
      <c r="AD19" s="140"/>
      <c r="AE19" s="94"/>
      <c r="AF19" s="154">
        <v>22599</v>
      </c>
      <c r="AH19" s="112"/>
      <c r="AI19" s="112"/>
      <c r="AJ19" s="112"/>
      <c r="AK19" s="136"/>
      <c r="AL19" s="112"/>
      <c r="AM19" s="136"/>
      <c r="AN19" s="136"/>
      <c r="AO19" s="154"/>
      <c r="AP19" s="154"/>
      <c r="AR19" s="112"/>
      <c r="AS19" s="112"/>
      <c r="AT19" s="112"/>
      <c r="AU19" s="136"/>
      <c r="AV19" s="112"/>
      <c r="AW19" s="136"/>
      <c r="AX19" s="136"/>
      <c r="AY19" s="154"/>
      <c r="AZ19" s="154"/>
      <c r="BB19" s="112"/>
      <c r="BC19" s="112"/>
      <c r="BD19" s="112"/>
      <c r="BE19" s="136"/>
      <c r="BF19" s="112"/>
      <c r="BG19" s="136"/>
      <c r="BH19" s="136"/>
      <c r="BI19" s="154"/>
      <c r="BJ19" s="154"/>
      <c r="BL19" s="112"/>
      <c r="BM19" s="112"/>
      <c r="BN19" s="112"/>
      <c r="BO19" s="136"/>
      <c r="BP19" s="112"/>
      <c r="BQ19" s="136"/>
      <c r="BR19" s="136"/>
      <c r="BS19" s="154"/>
      <c r="BT19" s="210"/>
      <c r="BW19" s="112"/>
      <c r="BX19" s="112"/>
      <c r="BY19" s="112"/>
      <c r="BZ19" s="136"/>
      <c r="CA19" s="112"/>
      <c r="CB19" s="136"/>
      <c r="CC19" s="136"/>
      <c r="CD19" s="154"/>
      <c r="CE19" s="154"/>
    </row>
    <row r="20" spans="1:84" ht="13.5" customHeight="1">
      <c r="B20" t="s">
        <v>144</v>
      </c>
      <c r="D20" s="16">
        <f>+D18-D19</f>
        <v>33295</v>
      </c>
      <c r="E20" s="138"/>
      <c r="F20" s="16">
        <f>+F18-F19</f>
        <v>31221</v>
      </c>
      <c r="G20" s="20"/>
      <c r="H20" s="16">
        <v>34011</v>
      </c>
      <c r="I20" s="191"/>
      <c r="J20" s="191"/>
      <c r="K20" s="94"/>
      <c r="L20" s="16">
        <v>30026</v>
      </c>
      <c r="N20" s="16">
        <f>+N18-N19</f>
        <v>31591</v>
      </c>
      <c r="O20" s="138"/>
      <c r="P20" s="16">
        <v>32224</v>
      </c>
      <c r="Q20" s="20"/>
      <c r="R20" s="16">
        <v>30992</v>
      </c>
      <c r="S20" s="191"/>
      <c r="T20" s="140"/>
      <c r="U20" s="94"/>
      <c r="V20" s="97">
        <f>V18-V19</f>
        <v>31400</v>
      </c>
      <c r="X20" s="16">
        <v>28290</v>
      </c>
      <c r="Y20" s="138"/>
      <c r="Z20" s="16">
        <v>30397</v>
      </c>
      <c r="AA20" s="20"/>
      <c r="AB20" s="16">
        <v>30980</v>
      </c>
      <c r="AC20" s="191"/>
      <c r="AD20" s="140"/>
      <c r="AE20" s="94"/>
      <c r="AF20" s="154">
        <v>32777</v>
      </c>
      <c r="AH20" s="112"/>
      <c r="AI20" s="112"/>
      <c r="AJ20" s="112"/>
      <c r="AK20" s="136"/>
      <c r="AL20" s="112"/>
      <c r="AM20" s="136"/>
      <c r="AN20" s="136"/>
      <c r="AO20" s="154"/>
      <c r="AP20" s="154"/>
      <c r="AR20" s="112"/>
      <c r="AS20" s="112"/>
      <c r="AT20" s="112"/>
      <c r="AU20" s="136"/>
      <c r="AV20" s="112"/>
      <c r="AW20" s="136"/>
      <c r="AX20" s="136"/>
      <c r="AY20" s="154"/>
      <c r="AZ20" s="154"/>
      <c r="BB20" s="112"/>
      <c r="BC20" s="112"/>
      <c r="BD20" s="112"/>
      <c r="BE20" s="136"/>
      <c r="BF20" s="112"/>
      <c r="BG20" s="136"/>
      <c r="BH20" s="136"/>
      <c r="BI20" s="154"/>
      <c r="BJ20" s="154"/>
      <c r="BL20" s="112"/>
      <c r="BM20" s="112"/>
      <c r="BN20" s="112"/>
      <c r="BO20" s="136"/>
      <c r="BP20" s="112"/>
      <c r="BQ20" s="136"/>
      <c r="BR20" s="136"/>
      <c r="BS20" s="154"/>
      <c r="BT20" s="210"/>
      <c r="BW20" s="112"/>
      <c r="BX20" s="112"/>
      <c r="BY20" s="112"/>
      <c r="BZ20" s="136"/>
      <c r="CA20" s="112"/>
      <c r="CB20" s="136"/>
      <c r="CC20" s="136"/>
      <c r="CD20" s="154"/>
      <c r="CE20" s="154"/>
    </row>
    <row r="21" spans="1:84" ht="13.5" customHeight="1" thickBot="1">
      <c r="B21" s="12" t="s">
        <v>145</v>
      </c>
      <c r="C21" s="12"/>
      <c r="D21" s="13">
        <v>30320</v>
      </c>
      <c r="E21" s="137"/>
      <c r="F21" s="13">
        <v>30430</v>
      </c>
      <c r="G21" s="113"/>
      <c r="H21" s="13">
        <v>30875</v>
      </c>
      <c r="I21" s="190"/>
      <c r="J21" s="190"/>
      <c r="K21" s="155"/>
      <c r="L21" s="13">
        <v>27079</v>
      </c>
      <c r="M21" s="12"/>
      <c r="N21" s="13">
        <v>30229</v>
      </c>
      <c r="O21" s="137"/>
      <c r="P21" s="13">
        <v>31861</v>
      </c>
      <c r="Q21" s="113"/>
      <c r="R21" s="13">
        <v>31055</v>
      </c>
      <c r="S21" s="190"/>
      <c r="T21" s="139"/>
      <c r="U21" s="155"/>
      <c r="V21" s="155">
        <v>31198</v>
      </c>
      <c r="W21" s="12"/>
      <c r="X21" s="13">
        <v>26392</v>
      </c>
      <c r="Y21" s="137"/>
      <c r="Z21" s="13">
        <v>27714</v>
      </c>
      <c r="AA21" s="113"/>
      <c r="AB21" s="13">
        <v>29227</v>
      </c>
      <c r="AC21" s="190"/>
      <c r="AD21" s="139"/>
      <c r="AE21" s="155"/>
      <c r="AF21" s="155">
        <v>29200</v>
      </c>
      <c r="AH21" s="112"/>
      <c r="AI21" s="112"/>
      <c r="AJ21" s="112"/>
      <c r="AK21" s="136"/>
      <c r="AL21" s="112"/>
      <c r="AM21" s="136"/>
      <c r="AN21" s="136"/>
      <c r="AO21" s="154"/>
      <c r="AP21" s="154"/>
      <c r="AR21" s="112"/>
      <c r="AS21" s="112"/>
      <c r="AT21" s="112"/>
      <c r="AU21" s="136"/>
      <c r="AV21" s="112"/>
      <c r="AW21" s="136"/>
      <c r="AX21" s="136"/>
      <c r="AY21" s="154"/>
      <c r="AZ21" s="154"/>
      <c r="BB21" s="112"/>
      <c r="BC21" s="112"/>
      <c r="BD21" s="112"/>
      <c r="BE21" s="136"/>
      <c r="BF21" s="112"/>
      <c r="BG21" s="136"/>
      <c r="BH21" s="136"/>
      <c r="BI21" s="154"/>
      <c r="BJ21" s="154"/>
      <c r="BL21" s="112"/>
      <c r="BM21" s="112"/>
      <c r="BN21" s="112"/>
      <c r="BO21" s="136"/>
      <c r="BP21" s="112"/>
      <c r="BQ21" s="136"/>
      <c r="BR21" s="136"/>
      <c r="BS21" s="154"/>
      <c r="BT21" s="210"/>
      <c r="BW21" s="112"/>
      <c r="BX21" s="112"/>
      <c r="BY21" s="112"/>
      <c r="BZ21" s="136"/>
      <c r="CA21" s="112"/>
      <c r="CB21" s="136"/>
      <c r="CC21" s="136"/>
      <c r="CD21" s="154"/>
      <c r="CE21" s="154"/>
    </row>
    <row r="22" spans="1:84" ht="13.5" customHeight="1">
      <c r="B22" t="s">
        <v>146</v>
      </c>
      <c r="D22" s="16">
        <v>26407</v>
      </c>
      <c r="E22" s="138"/>
      <c r="F22" s="16">
        <v>26504</v>
      </c>
      <c r="G22" s="20"/>
      <c r="H22" s="16">
        <v>26844</v>
      </c>
      <c r="I22" s="191"/>
      <c r="J22" s="191"/>
      <c r="K22" s="94"/>
      <c r="L22" s="16">
        <v>23110</v>
      </c>
      <c r="N22" s="16">
        <v>26307</v>
      </c>
      <c r="O22" s="138"/>
      <c r="P22" s="16">
        <v>27951</v>
      </c>
      <c r="Q22" s="20"/>
      <c r="R22" s="16">
        <v>27122</v>
      </c>
      <c r="S22" s="191"/>
      <c r="T22" s="140"/>
      <c r="U22" s="94"/>
      <c r="V22" s="16">
        <v>27178</v>
      </c>
      <c r="X22" s="16">
        <v>22123</v>
      </c>
      <c r="Y22" s="138"/>
      <c r="Z22" s="16">
        <v>23345</v>
      </c>
      <c r="AA22" s="20"/>
      <c r="AB22" s="16">
        <v>24787</v>
      </c>
      <c r="AC22" s="191"/>
      <c r="AD22" s="140"/>
      <c r="AE22" s="94"/>
      <c r="AF22" s="16">
        <v>25396</v>
      </c>
      <c r="AH22" s="112"/>
      <c r="AI22" s="112"/>
      <c r="AJ22" s="112"/>
      <c r="AK22" s="136"/>
      <c r="AL22" s="112"/>
      <c r="AM22" s="136"/>
      <c r="AN22" s="136"/>
      <c r="AO22" s="154"/>
      <c r="AP22" s="154"/>
      <c r="AR22" s="112"/>
      <c r="AS22" s="112"/>
      <c r="AT22" s="112"/>
      <c r="AU22" s="136"/>
      <c r="AV22" s="112"/>
      <c r="AW22" s="136"/>
      <c r="AX22" s="136"/>
      <c r="AY22" s="154"/>
      <c r="AZ22" s="154"/>
      <c r="BB22" s="112"/>
      <c r="BC22" s="112"/>
      <c r="BD22" s="112"/>
      <c r="BE22" s="136"/>
      <c r="BF22" s="112"/>
      <c r="BG22" s="136"/>
      <c r="BH22" s="136"/>
      <c r="BI22" s="154"/>
      <c r="BJ22" s="154"/>
      <c r="BL22" s="112"/>
      <c r="BM22" s="112"/>
      <c r="BN22" s="112"/>
      <c r="BO22" s="136"/>
      <c r="BP22" s="112"/>
      <c r="BQ22" s="136"/>
      <c r="BR22" s="136"/>
      <c r="BS22" s="154"/>
      <c r="BT22" s="210"/>
      <c r="BW22" s="112"/>
      <c r="BX22" s="112"/>
      <c r="BY22" s="112"/>
      <c r="BZ22" s="136"/>
      <c r="CA22" s="112"/>
      <c r="CB22" s="136"/>
      <c r="CC22" s="136"/>
      <c r="CD22" s="154"/>
      <c r="CE22" s="154"/>
    </row>
    <row r="23" spans="1:84" ht="13.5" customHeight="1">
      <c r="B23" t="s">
        <v>147</v>
      </c>
      <c r="D23" s="16">
        <v>3913</v>
      </c>
      <c r="E23" s="138"/>
      <c r="F23" s="16">
        <v>3926</v>
      </c>
      <c r="G23" s="20"/>
      <c r="H23" s="16">
        <v>4031</v>
      </c>
      <c r="I23" s="191"/>
      <c r="J23" s="191"/>
      <c r="K23" s="184"/>
      <c r="L23" s="16">
        <v>3969</v>
      </c>
      <c r="N23" s="16">
        <v>3922</v>
      </c>
      <c r="O23" s="138"/>
      <c r="P23" s="16">
        <v>3910</v>
      </c>
      <c r="Q23" s="20"/>
      <c r="R23" s="16">
        <v>3933</v>
      </c>
      <c r="S23" s="191"/>
      <c r="T23" s="140"/>
      <c r="U23" s="184"/>
      <c r="V23" s="112">
        <v>4020</v>
      </c>
      <c r="X23" s="16">
        <v>4269</v>
      </c>
      <c r="Y23" s="138"/>
      <c r="Z23" s="16">
        <v>4369</v>
      </c>
      <c r="AA23" s="20"/>
      <c r="AB23" s="16">
        <v>4440</v>
      </c>
      <c r="AC23" s="191"/>
      <c r="AD23" s="140"/>
      <c r="AE23" s="184"/>
      <c r="AF23" s="112">
        <v>3804</v>
      </c>
      <c r="AH23" s="112"/>
      <c r="AI23" s="112"/>
      <c r="AJ23" s="112"/>
      <c r="AK23" s="136"/>
      <c r="AL23" s="112"/>
      <c r="AM23" s="136"/>
      <c r="AN23" s="136"/>
      <c r="AO23" s="211"/>
      <c r="AP23" s="112"/>
      <c r="AR23" s="112"/>
      <c r="AS23" s="112"/>
      <c r="AT23" s="112"/>
      <c r="AU23" s="136"/>
      <c r="AV23" s="112"/>
      <c r="AW23" s="136"/>
      <c r="AX23" s="136"/>
      <c r="AY23" s="211"/>
      <c r="AZ23" s="112"/>
      <c r="BB23" s="112"/>
      <c r="BC23" s="112"/>
      <c r="BD23" s="112"/>
      <c r="BE23" s="136"/>
      <c r="BF23" s="112"/>
      <c r="BG23" s="136"/>
      <c r="BH23" s="136"/>
      <c r="BI23" s="211"/>
      <c r="BJ23" s="112"/>
      <c r="BL23" s="112"/>
      <c r="BM23" s="112"/>
      <c r="BN23" s="112"/>
      <c r="BO23" s="136"/>
      <c r="BP23" s="112"/>
      <c r="BQ23" s="136"/>
      <c r="BR23" s="136"/>
      <c r="BS23" s="211"/>
      <c r="BT23" s="112"/>
      <c r="BW23" s="112"/>
      <c r="BX23" s="112"/>
      <c r="BY23" s="112"/>
      <c r="BZ23" s="136"/>
      <c r="CA23" s="112"/>
      <c r="CB23" s="136"/>
      <c r="CC23" s="136"/>
      <c r="CD23" s="211"/>
      <c r="CE23" s="112"/>
    </row>
    <row r="24" spans="1:84" s="207" customFormat="1" ht="13.5" customHeight="1">
      <c r="D24" s="16"/>
      <c r="E24" s="16"/>
      <c r="F24" s="16"/>
      <c r="G24" s="20"/>
      <c r="H24" s="16"/>
      <c r="I24" s="20"/>
      <c r="J24" s="20"/>
      <c r="K24" s="94"/>
      <c r="L24" s="154"/>
      <c r="M24"/>
      <c r="N24" s="16"/>
      <c r="O24" s="16"/>
      <c r="P24" s="16"/>
      <c r="Q24" s="20"/>
      <c r="R24" s="16"/>
      <c r="S24" s="20"/>
      <c r="T24" s="20"/>
      <c r="U24" s="94"/>
      <c r="V24" s="154"/>
      <c r="W24"/>
      <c r="X24" s="16"/>
      <c r="Y24" s="16"/>
      <c r="Z24" s="16"/>
      <c r="AA24" s="20"/>
      <c r="AB24" s="16"/>
      <c r="AC24" s="20"/>
      <c r="AD24" s="20"/>
      <c r="AE24" s="94"/>
      <c r="AF24" s="154"/>
      <c r="AG24"/>
      <c r="AH24" s="112"/>
      <c r="AI24" s="112"/>
      <c r="AJ24" s="112"/>
      <c r="AK24" s="136"/>
      <c r="AL24" s="112"/>
      <c r="AM24" s="136"/>
      <c r="AN24" s="136"/>
      <c r="AO24" s="154"/>
      <c r="AP24" s="154"/>
      <c r="AQ24"/>
      <c r="AR24" s="112"/>
      <c r="AS24" s="112"/>
      <c r="AT24" s="112"/>
      <c r="AU24" s="136"/>
      <c r="AV24" s="112"/>
      <c r="AW24" s="136"/>
      <c r="AX24" s="136"/>
      <c r="AY24" s="154"/>
      <c r="AZ24" s="154"/>
      <c r="BA24"/>
      <c r="BB24" s="112"/>
      <c r="BC24" s="112"/>
      <c r="BD24" s="112"/>
      <c r="BE24" s="136"/>
      <c r="BF24" s="112"/>
      <c r="BG24" s="136"/>
      <c r="BH24" s="136"/>
      <c r="BI24" s="154"/>
      <c r="BJ24" s="154"/>
      <c r="BK24"/>
      <c r="BL24" s="112"/>
      <c r="BM24" s="112"/>
      <c r="BN24" s="112"/>
      <c r="BO24" s="136"/>
      <c r="BP24" s="112"/>
      <c r="BQ24" s="136"/>
      <c r="BR24" s="136"/>
      <c r="BS24" s="154"/>
      <c r="BT24" s="210"/>
      <c r="BU24"/>
      <c r="BV24"/>
      <c r="BW24" s="112"/>
      <c r="BX24" s="112"/>
      <c r="BY24" s="112"/>
      <c r="BZ24" s="136"/>
      <c r="CA24" s="112"/>
      <c r="CB24" s="136"/>
      <c r="CC24" s="136"/>
      <c r="CD24" s="154"/>
      <c r="CE24" s="154"/>
      <c r="CF24"/>
    </row>
    <row r="25" spans="1:84">
      <c r="D25" s="20"/>
      <c r="E25" s="20"/>
      <c r="F25" s="20"/>
      <c r="G25" s="20"/>
      <c r="H25" s="20"/>
      <c r="I25" s="20"/>
      <c r="J25" s="20"/>
      <c r="K25" s="184"/>
      <c r="L25" s="184"/>
      <c r="N25" s="20"/>
      <c r="O25" s="20"/>
      <c r="P25" s="20"/>
      <c r="Q25" s="20"/>
      <c r="R25" s="20"/>
      <c r="S25" s="20"/>
      <c r="T25" s="20"/>
      <c r="U25" s="184"/>
      <c r="V25" s="184"/>
      <c r="X25" s="20"/>
      <c r="Y25" s="20"/>
      <c r="Z25" s="20"/>
      <c r="AA25" s="20"/>
      <c r="AB25" s="20"/>
      <c r="AC25" s="20"/>
      <c r="AD25" s="20"/>
      <c r="AE25" s="184"/>
      <c r="AF25" s="94"/>
      <c r="AH25" s="136"/>
      <c r="AI25" s="136"/>
      <c r="AJ25" s="136"/>
      <c r="AK25" s="136"/>
      <c r="AL25" s="136"/>
      <c r="AM25" s="136"/>
      <c r="AN25" s="136"/>
      <c r="AO25" s="211"/>
      <c r="AP25" s="211"/>
      <c r="AR25" s="136"/>
      <c r="AS25" s="136"/>
      <c r="AT25" s="136"/>
      <c r="AU25" s="136"/>
      <c r="AV25" s="136"/>
      <c r="AW25" s="136"/>
      <c r="AX25" s="136"/>
      <c r="AY25" s="211"/>
      <c r="AZ25" s="211"/>
      <c r="BB25" s="136"/>
      <c r="BC25" s="136"/>
      <c r="BD25" s="136"/>
      <c r="BE25" s="136"/>
      <c r="BF25" s="136"/>
      <c r="BG25" s="136"/>
      <c r="BH25" s="136"/>
      <c r="BI25" s="211"/>
      <c r="BJ25" s="211"/>
      <c r="BL25" s="136"/>
      <c r="BM25" s="136"/>
      <c r="BN25" s="136"/>
      <c r="BO25" s="136"/>
      <c r="BP25" s="136"/>
      <c r="BQ25" s="136"/>
      <c r="BR25" s="136"/>
      <c r="BS25" s="211"/>
      <c r="BT25" s="211"/>
      <c r="BW25" s="136"/>
      <c r="BX25" s="136"/>
      <c r="BY25" s="136"/>
      <c r="BZ25" s="136"/>
      <c r="CA25" s="136"/>
      <c r="CB25" s="136"/>
      <c r="CC25" s="136"/>
      <c r="CD25" s="211"/>
      <c r="CE25" s="211"/>
    </row>
    <row r="26" spans="1:84" s="3" customFormat="1" ht="16.2">
      <c r="A26" s="4" t="s">
        <v>27</v>
      </c>
    </row>
    <row r="27" spans="1:84">
      <c r="B27" t="s">
        <v>1</v>
      </c>
      <c r="D27" s="132" t="str">
        <f>D5</f>
        <v>2019年度　（2019年4月-2020年3月）</v>
      </c>
      <c r="E27" s="132"/>
      <c r="F27" s="132"/>
      <c r="G27" s="132"/>
      <c r="H27" s="132"/>
      <c r="I27" s="132"/>
      <c r="J27" s="132"/>
      <c r="K27" s="132"/>
      <c r="L27" s="132"/>
      <c r="N27" s="132" t="str">
        <f>N5</f>
        <v>2018年度　（2018年4月-2019年3月）</v>
      </c>
      <c r="O27" s="132"/>
      <c r="P27" s="132"/>
      <c r="Q27" s="132"/>
      <c r="R27" s="132"/>
      <c r="S27" s="132"/>
      <c r="T27" s="132"/>
      <c r="U27" s="132"/>
      <c r="V27" s="132"/>
      <c r="X27" s="231" t="str">
        <f>X5</f>
        <v>2017年度　（2017年4月-2018年3月）</v>
      </c>
      <c r="Y27" s="231"/>
      <c r="Z27" s="231"/>
      <c r="AA27" s="231"/>
      <c r="AB27" s="231"/>
      <c r="AC27" s="231"/>
      <c r="AD27" s="231"/>
      <c r="AE27" s="231"/>
      <c r="AF27" s="231"/>
      <c r="AH27" s="5"/>
      <c r="AI27" s="5"/>
      <c r="AJ27" s="5"/>
      <c r="AK27" s="5"/>
      <c r="AL27" s="5"/>
      <c r="AM27" s="5"/>
      <c r="AN27" s="5"/>
      <c r="AO27" s="5"/>
      <c r="AP27" s="5"/>
      <c r="AR27" s="5"/>
      <c r="AS27" s="5"/>
      <c r="AT27" s="5"/>
      <c r="AU27" s="5"/>
      <c r="AV27" s="5"/>
      <c r="AW27" s="5"/>
      <c r="AX27" s="5"/>
      <c r="AY27" s="5"/>
      <c r="AZ27" s="5"/>
      <c r="BB27" s="5"/>
      <c r="BC27" s="5"/>
      <c r="BD27" s="5"/>
      <c r="BE27" s="5"/>
      <c r="BF27" s="5"/>
      <c r="BG27" s="5"/>
      <c r="BH27" s="5"/>
      <c r="BI27" s="5"/>
      <c r="BJ27" s="5"/>
      <c r="BL27" s="5"/>
      <c r="BM27" s="5"/>
      <c r="BN27" s="5"/>
      <c r="BO27" s="5"/>
      <c r="BP27" s="5"/>
      <c r="BQ27" s="5"/>
      <c r="BR27" s="5"/>
      <c r="BS27" s="5"/>
      <c r="BT27" s="5"/>
      <c r="BW27" s="5"/>
      <c r="BX27" s="5"/>
      <c r="BY27" s="5"/>
      <c r="BZ27" s="5"/>
      <c r="CA27" s="5"/>
      <c r="CB27" s="5"/>
      <c r="CC27" s="5"/>
      <c r="CD27" s="5"/>
      <c r="CE27" s="5"/>
    </row>
    <row r="28" spans="1:84" ht="3.75" customHeight="1">
      <c r="D28" s="5"/>
      <c r="E28" s="5"/>
      <c r="F28" s="5"/>
      <c r="G28" s="5"/>
      <c r="H28" s="5"/>
      <c r="I28" s="5"/>
      <c r="J28" s="5"/>
      <c r="K28" s="5"/>
      <c r="L28" s="132"/>
      <c r="N28" s="5"/>
      <c r="O28" s="5"/>
      <c r="P28" s="5"/>
      <c r="Q28" s="5"/>
      <c r="R28" s="5"/>
      <c r="S28" s="5"/>
      <c r="T28" s="5"/>
      <c r="U28" s="5"/>
      <c r="V28" s="132"/>
      <c r="X28" s="5"/>
      <c r="Y28" s="5"/>
      <c r="Z28" s="5"/>
      <c r="AA28" s="5"/>
      <c r="AB28" s="5"/>
      <c r="AC28" s="5"/>
      <c r="AD28" s="5"/>
      <c r="AE28" s="5"/>
      <c r="AF28" s="231"/>
      <c r="AH28" s="5"/>
      <c r="AI28" s="5"/>
      <c r="AJ28" s="5"/>
      <c r="AK28" s="5"/>
      <c r="AL28" s="5"/>
      <c r="AM28" s="5"/>
      <c r="AN28" s="5"/>
      <c r="AO28" s="5"/>
      <c r="AP28" s="5"/>
      <c r="AR28" s="5"/>
      <c r="AS28" s="5"/>
      <c r="AT28" s="5"/>
      <c r="AU28" s="5"/>
      <c r="AV28" s="5"/>
      <c r="AW28" s="5"/>
      <c r="AX28" s="5"/>
      <c r="AY28" s="5"/>
      <c r="AZ28" s="5"/>
      <c r="BB28" s="5"/>
      <c r="BC28" s="5"/>
      <c r="BD28" s="5"/>
      <c r="BE28" s="5"/>
      <c r="BF28" s="5"/>
      <c r="BG28" s="5"/>
      <c r="BH28" s="5"/>
      <c r="BI28" s="5"/>
      <c r="BJ28" s="5"/>
      <c r="BL28" s="5"/>
      <c r="BM28" s="5"/>
      <c r="BN28" s="5"/>
      <c r="BO28" s="5"/>
      <c r="BP28" s="5"/>
      <c r="BQ28" s="5"/>
      <c r="BR28" s="5"/>
      <c r="BS28" s="5"/>
      <c r="BT28" s="5"/>
      <c r="BW28" s="5"/>
      <c r="BX28" s="5"/>
      <c r="BY28" s="5"/>
      <c r="BZ28" s="5"/>
      <c r="CA28" s="5"/>
      <c r="CB28" s="5"/>
      <c r="CC28" s="5"/>
      <c r="CD28" s="5"/>
      <c r="CE28" s="5"/>
    </row>
    <row r="29" spans="1:84">
      <c r="D29" s="6"/>
      <c r="E29" s="6"/>
      <c r="F29" s="7" t="s">
        <v>28</v>
      </c>
      <c r="H29" s="7"/>
      <c r="I29" s="7"/>
      <c r="J29" s="7" t="s">
        <v>29</v>
      </c>
      <c r="L29" s="133" t="s">
        <v>30</v>
      </c>
      <c r="N29" s="6"/>
      <c r="O29" s="6"/>
      <c r="P29" s="7" t="s">
        <v>28</v>
      </c>
      <c r="R29" s="7"/>
      <c r="S29" s="7"/>
      <c r="T29" s="7" t="s">
        <v>29</v>
      </c>
      <c r="V29" s="133" t="s">
        <v>30</v>
      </c>
      <c r="X29" s="6"/>
      <c r="Y29" s="6"/>
      <c r="Z29" s="7" t="s">
        <v>28</v>
      </c>
      <c r="AB29" s="7"/>
      <c r="AC29" s="7"/>
      <c r="AD29" s="7" t="s">
        <v>29</v>
      </c>
      <c r="AF29" s="232" t="s">
        <v>30</v>
      </c>
      <c r="AJ29" s="8"/>
      <c r="AL29" s="8"/>
      <c r="AM29" s="8"/>
      <c r="AN29" s="8"/>
      <c r="AP29" s="8"/>
      <c r="AT29" s="8"/>
      <c r="AV29" s="8"/>
      <c r="AW29" s="8"/>
      <c r="AX29" s="8"/>
      <c r="AZ29" s="8"/>
      <c r="BD29" s="8"/>
      <c r="BF29" s="8"/>
      <c r="BG29" s="8"/>
      <c r="BH29" s="8"/>
      <c r="BJ29" s="8"/>
      <c r="BN29" s="8"/>
      <c r="BP29" s="8"/>
      <c r="BQ29" s="8"/>
      <c r="BR29" s="8"/>
      <c r="BT29" s="8"/>
      <c r="BY29" s="8"/>
      <c r="CA29" s="8"/>
      <c r="CB29" s="8"/>
      <c r="CC29" s="8"/>
      <c r="CE29" s="8"/>
    </row>
    <row r="30" spans="1:84" s="9" customFormat="1" ht="10.8">
      <c r="D30" s="9" t="s">
        <v>31</v>
      </c>
      <c r="E30" s="9" t="s">
        <v>32</v>
      </c>
      <c r="F30" s="10" t="s">
        <v>33</v>
      </c>
      <c r="H30" s="9" t="s">
        <v>7</v>
      </c>
      <c r="I30" s="9" t="s">
        <v>8</v>
      </c>
      <c r="J30" s="10"/>
      <c r="L30" s="134"/>
      <c r="N30" s="9" t="s">
        <v>31</v>
      </c>
      <c r="O30" s="9" t="s">
        <v>32</v>
      </c>
      <c r="P30" s="10" t="s">
        <v>33</v>
      </c>
      <c r="R30" s="9" t="s">
        <v>7</v>
      </c>
      <c r="S30" s="9" t="s">
        <v>8</v>
      </c>
      <c r="T30" s="10"/>
      <c r="V30" s="134"/>
      <c r="X30" s="9" t="s">
        <v>31</v>
      </c>
      <c r="Y30" s="9" t="s">
        <v>32</v>
      </c>
      <c r="Z30" s="10" t="s">
        <v>33</v>
      </c>
      <c r="AB30" s="9" t="s">
        <v>7</v>
      </c>
      <c r="AC30" s="9" t="s">
        <v>8</v>
      </c>
      <c r="AD30" s="10"/>
      <c r="AF30" s="233"/>
      <c r="AJ30" s="11"/>
      <c r="AN30" s="11"/>
      <c r="AP30" s="11"/>
      <c r="AT30" s="11"/>
      <c r="AX30" s="11"/>
      <c r="AZ30" s="11"/>
      <c r="BD30" s="11"/>
      <c r="BH30" s="11"/>
      <c r="BJ30" s="11"/>
      <c r="BN30" s="11"/>
      <c r="BR30" s="11"/>
      <c r="BT30" s="11"/>
      <c r="BY30" s="11"/>
      <c r="CC30" s="11"/>
      <c r="CE30" s="11"/>
    </row>
    <row r="31" spans="1:84" s="9" customFormat="1" ht="10.8">
      <c r="D31" s="9" t="s">
        <v>34</v>
      </c>
      <c r="E31" s="9" t="s">
        <v>35</v>
      </c>
      <c r="F31" s="10" t="s">
        <v>36</v>
      </c>
      <c r="H31" s="9" t="s">
        <v>12</v>
      </c>
      <c r="I31" s="9" t="s">
        <v>13</v>
      </c>
      <c r="J31" s="10" t="s">
        <v>37</v>
      </c>
      <c r="L31" s="134" t="s">
        <v>38</v>
      </c>
      <c r="N31" s="9" t="s">
        <v>34</v>
      </c>
      <c r="O31" s="9" t="s">
        <v>35</v>
      </c>
      <c r="P31" s="10" t="s">
        <v>36</v>
      </c>
      <c r="R31" s="9" t="s">
        <v>12</v>
      </c>
      <c r="S31" s="9" t="s">
        <v>13</v>
      </c>
      <c r="T31" s="10" t="s">
        <v>37</v>
      </c>
      <c r="V31" s="134" t="s">
        <v>38</v>
      </c>
      <c r="X31" s="9" t="s">
        <v>34</v>
      </c>
      <c r="Y31" s="9" t="s">
        <v>35</v>
      </c>
      <c r="Z31" s="10" t="s">
        <v>36</v>
      </c>
      <c r="AB31" s="9" t="s">
        <v>12</v>
      </c>
      <c r="AC31" s="9" t="s">
        <v>13</v>
      </c>
      <c r="AD31" s="10" t="s">
        <v>37</v>
      </c>
      <c r="AF31" s="233" t="s">
        <v>38</v>
      </c>
      <c r="AJ31" s="11"/>
      <c r="AN31" s="11"/>
      <c r="AP31" s="11"/>
      <c r="AT31" s="11"/>
      <c r="AX31" s="11"/>
      <c r="AZ31" s="11"/>
      <c r="BD31" s="11"/>
      <c r="BH31" s="11"/>
      <c r="BJ31" s="11"/>
      <c r="BN31" s="11"/>
      <c r="BR31" s="11"/>
      <c r="BT31" s="11"/>
      <c r="BY31" s="11"/>
      <c r="CC31" s="11"/>
      <c r="CE31" s="11"/>
    </row>
    <row r="32" spans="1:84" s="3" customFormat="1" ht="6.75" customHeight="1">
      <c r="A32" s="2"/>
    </row>
    <row r="33" spans="1:83" ht="13.5" customHeight="1" thickBot="1">
      <c r="B33" s="12" t="s">
        <v>39</v>
      </c>
      <c r="C33" s="12"/>
      <c r="D33" s="13">
        <v>25148</v>
      </c>
      <c r="E33" s="13">
        <v>25483</v>
      </c>
      <c r="F33" s="13">
        <v>50631</v>
      </c>
      <c r="G33" s="113"/>
      <c r="H33" s="13">
        <f>76072-F33</f>
        <v>25441</v>
      </c>
      <c r="I33" s="13">
        <f>J33-H33</f>
        <v>24046</v>
      </c>
      <c r="J33" s="13">
        <f>L33-F33</f>
        <v>49487</v>
      </c>
      <c r="K33" s="155"/>
      <c r="L33" s="13">
        <v>100118</v>
      </c>
      <c r="M33" s="12"/>
      <c r="N33" s="13">
        <v>25669</v>
      </c>
      <c r="O33" s="13">
        <f>+P33-N33</f>
        <v>28627</v>
      </c>
      <c r="P33" s="13">
        <v>54296</v>
      </c>
      <c r="Q33" s="12"/>
      <c r="R33" s="57">
        <f>83313-P33</f>
        <v>29017</v>
      </c>
      <c r="S33" s="192">
        <f>T33-R33</f>
        <v>27983</v>
      </c>
      <c r="T33" s="192">
        <f>V33-P33</f>
        <v>57000</v>
      </c>
      <c r="U33" s="192"/>
      <c r="V33" s="192">
        <v>111296</v>
      </c>
      <c r="W33" s="12"/>
      <c r="X33" s="13">
        <v>22252</v>
      </c>
      <c r="Y33" s="185">
        <f>Z33-X33</f>
        <v>24593.620000000003</v>
      </c>
      <c r="Z33" s="185">
        <v>46845.62</v>
      </c>
      <c r="AA33" s="12"/>
      <c r="AB33" s="200">
        <f>73944.07-Z33</f>
        <v>27098.450000000004</v>
      </c>
      <c r="AC33" s="192">
        <f>AD33-AB33</f>
        <v>29066.649999999994</v>
      </c>
      <c r="AD33" s="192">
        <f>AF33-Z33</f>
        <v>56165.1</v>
      </c>
      <c r="AE33" s="192"/>
      <c r="AF33" s="192">
        <v>103010.72</v>
      </c>
      <c r="AH33" s="112"/>
      <c r="AI33" s="112"/>
      <c r="AJ33" s="112"/>
      <c r="AL33" s="58"/>
      <c r="AM33" s="25"/>
      <c r="AN33" s="25"/>
      <c r="AO33" s="25"/>
      <c r="AP33" s="25"/>
      <c r="AR33" s="112"/>
      <c r="AS33" s="112"/>
      <c r="AT33" s="112"/>
      <c r="AV33" s="58"/>
      <c r="AW33" s="74"/>
      <c r="AX33" s="74"/>
      <c r="AY33" s="74"/>
      <c r="AZ33" s="74"/>
      <c r="BB33" s="112"/>
      <c r="BC33" s="112"/>
      <c r="BD33" s="112"/>
      <c r="BF33" s="58"/>
      <c r="BG33" s="74"/>
      <c r="BH33" s="74"/>
      <c r="BI33" s="74"/>
      <c r="BJ33" s="74"/>
      <c r="BL33" s="112"/>
      <c r="BM33" s="112"/>
      <c r="BN33" s="112"/>
      <c r="BP33" s="58"/>
      <c r="BQ33" s="97"/>
      <c r="BR33" s="97"/>
      <c r="BS33" s="97"/>
      <c r="BT33" s="97"/>
      <c r="BW33" s="112"/>
      <c r="BX33" s="112"/>
      <c r="BY33" s="112"/>
      <c r="CA33" s="58"/>
      <c r="CB33" s="97"/>
      <c r="CC33" s="97"/>
      <c r="CD33" s="97"/>
      <c r="CE33" s="97"/>
    </row>
    <row r="34" spans="1:83" ht="13.5" customHeight="1">
      <c r="B34" t="s">
        <v>40</v>
      </c>
      <c r="D34" s="16">
        <v>-22841</v>
      </c>
      <c r="E34" s="16">
        <v>-22946</v>
      </c>
      <c r="F34" s="16">
        <v>-45787</v>
      </c>
      <c r="G34" s="20"/>
      <c r="H34" s="16">
        <f>-68405-F34</f>
        <v>-22618</v>
      </c>
      <c r="I34" s="16">
        <f t="shared" ref="I34:I46" si="0">J34-H34</f>
        <v>160861</v>
      </c>
      <c r="J34" s="16">
        <f t="shared" ref="J34:J46" si="1">L34-F34</f>
        <v>138243</v>
      </c>
      <c r="K34" s="94"/>
      <c r="L34" s="16">
        <v>92456</v>
      </c>
      <c r="N34" s="16">
        <v>-22465</v>
      </c>
      <c r="O34" s="16">
        <f t="shared" ref="O34:O46" si="2">+P34-N34</f>
        <v>-24780</v>
      </c>
      <c r="P34" s="16">
        <v>-47245</v>
      </c>
      <c r="R34" s="32">
        <f>-74366-P34</f>
        <v>-27121</v>
      </c>
      <c r="S34" s="193">
        <f t="shared" ref="S34:S46" si="3">T34-R34</f>
        <v>-24731</v>
      </c>
      <c r="T34" s="193">
        <f t="shared" ref="T34:T46" si="4">V34-P34</f>
        <v>-51852</v>
      </c>
      <c r="U34" s="25"/>
      <c r="V34" s="25">
        <v>-99097</v>
      </c>
      <c r="X34" s="16">
        <v>-20135</v>
      </c>
      <c r="Y34" s="16">
        <f t="shared" ref="Y34:Y46" si="5">Z34-X34</f>
        <v>-21309.949999999997</v>
      </c>
      <c r="Z34" s="16">
        <v>-41444.949999999997</v>
      </c>
      <c r="AB34" s="182">
        <f>-64577.77-Z34</f>
        <v>-23132.82</v>
      </c>
      <c r="AC34" s="193">
        <f t="shared" ref="AC34:AC46" si="6">AD34-AB34</f>
        <v>-25567.060000000005</v>
      </c>
      <c r="AD34" s="193">
        <f t="shared" ref="AD34:AD46" si="7">AF34-Z34</f>
        <v>-48699.880000000005</v>
      </c>
      <c r="AE34" s="25"/>
      <c r="AF34" s="25">
        <v>-90144.83</v>
      </c>
      <c r="AH34" s="112"/>
      <c r="AI34" s="112"/>
      <c r="AJ34" s="112"/>
      <c r="AL34" s="25"/>
      <c r="AM34" s="25"/>
      <c r="AN34" s="25"/>
      <c r="AO34" s="25"/>
      <c r="AP34" s="25"/>
      <c r="AR34" s="112"/>
      <c r="AS34" s="112"/>
      <c r="AT34" s="112"/>
      <c r="AV34" s="74"/>
      <c r="AW34" s="74"/>
      <c r="AX34" s="74"/>
      <c r="AY34" s="74"/>
      <c r="AZ34" s="74"/>
      <c r="BB34" s="112"/>
      <c r="BC34" s="112"/>
      <c r="BD34" s="112"/>
      <c r="BF34" s="74"/>
      <c r="BG34" s="74"/>
      <c r="BH34" s="74"/>
      <c r="BI34" s="74"/>
      <c r="BJ34" s="74"/>
      <c r="BL34" s="112"/>
      <c r="BM34" s="112"/>
      <c r="BN34" s="112"/>
      <c r="BP34" s="97"/>
      <c r="BQ34" s="97"/>
      <c r="BR34" s="97"/>
      <c r="BS34" s="97"/>
      <c r="BT34" s="97"/>
      <c r="BW34" s="112"/>
      <c r="BX34" s="112"/>
      <c r="BY34" s="112"/>
      <c r="CA34" s="97"/>
      <c r="CB34" s="97"/>
      <c r="CC34" s="97"/>
      <c r="CD34" s="97"/>
      <c r="CE34" s="97"/>
    </row>
    <row r="35" spans="1:83" ht="13.5" customHeight="1">
      <c r="B35" t="s">
        <v>41</v>
      </c>
      <c r="D35" s="16">
        <v>2308</v>
      </c>
      <c r="E35" s="16">
        <v>2536</v>
      </c>
      <c r="F35" s="16">
        <f>+F33+F34</f>
        <v>4844</v>
      </c>
      <c r="G35" s="20"/>
      <c r="H35" s="16">
        <f>+H33+H34</f>
        <v>2823</v>
      </c>
      <c r="I35" s="16">
        <f t="shared" si="0"/>
        <v>-5</v>
      </c>
      <c r="J35" s="16">
        <f t="shared" si="1"/>
        <v>2818</v>
      </c>
      <c r="K35" s="94"/>
      <c r="L35" s="16">
        <v>7662</v>
      </c>
      <c r="N35" s="16">
        <v>3204</v>
      </c>
      <c r="O35" s="16">
        <f t="shared" si="2"/>
        <v>3846</v>
      </c>
      <c r="P35" s="16">
        <v>7050</v>
      </c>
      <c r="R35" s="16">
        <f>+R33+R34</f>
        <v>1896</v>
      </c>
      <c r="S35" s="25">
        <f t="shared" si="3"/>
        <v>3253</v>
      </c>
      <c r="T35" s="25">
        <f t="shared" si="4"/>
        <v>5149</v>
      </c>
      <c r="U35" s="25"/>
      <c r="V35" s="25">
        <v>12199</v>
      </c>
      <c r="X35" s="16">
        <v>2117</v>
      </c>
      <c r="Y35" s="16">
        <f t="shared" si="5"/>
        <v>3283.67</v>
      </c>
      <c r="Z35" s="16">
        <v>5400.67</v>
      </c>
      <c r="AB35" s="186">
        <f>9366.3-Z35</f>
        <v>3965.6299999999992</v>
      </c>
      <c r="AC35" s="25">
        <f t="shared" si="6"/>
        <v>3499.59</v>
      </c>
      <c r="AD35" s="25">
        <f t="shared" si="7"/>
        <v>7465.2199999999993</v>
      </c>
      <c r="AE35" s="25"/>
      <c r="AF35" s="25">
        <v>12865.89</v>
      </c>
      <c r="AH35" s="112"/>
      <c r="AI35" s="112"/>
      <c r="AJ35" s="112"/>
      <c r="AL35" s="112"/>
      <c r="AM35" s="25"/>
      <c r="AN35" s="25"/>
      <c r="AO35" s="25"/>
      <c r="AP35" s="25"/>
      <c r="AR35" s="112"/>
      <c r="AS35" s="112"/>
      <c r="AT35" s="112"/>
      <c r="AV35" s="74"/>
      <c r="AW35" s="74"/>
      <c r="AX35" s="74"/>
      <c r="AY35" s="74"/>
      <c r="AZ35" s="74"/>
      <c r="BB35" s="112"/>
      <c r="BC35" s="112"/>
      <c r="BD35" s="112"/>
      <c r="BF35" s="74"/>
      <c r="BG35" s="74"/>
      <c r="BH35" s="74"/>
      <c r="BI35" s="74"/>
      <c r="BJ35" s="74"/>
      <c r="BL35" s="112"/>
      <c r="BM35" s="112"/>
      <c r="BN35" s="112"/>
      <c r="BP35" s="97"/>
      <c r="BQ35" s="97"/>
      <c r="BR35" s="97"/>
      <c r="BS35" s="97"/>
      <c r="BT35" s="97"/>
      <c r="BW35" s="112"/>
      <c r="BX35" s="112"/>
      <c r="BY35" s="112"/>
      <c r="CA35" s="97"/>
      <c r="CB35" s="97"/>
      <c r="CC35" s="97"/>
      <c r="CD35" s="97"/>
      <c r="CE35" s="97"/>
    </row>
    <row r="36" spans="1:83" ht="13.5" customHeight="1">
      <c r="B36" t="s">
        <v>42</v>
      </c>
      <c r="D36" s="16">
        <v>-1981</v>
      </c>
      <c r="E36" s="16">
        <v>-2014</v>
      </c>
      <c r="F36" s="16">
        <v>-3995</v>
      </c>
      <c r="G36" s="20"/>
      <c r="H36" s="16">
        <f>-6108-F36</f>
        <v>-2113</v>
      </c>
      <c r="I36" s="16">
        <f t="shared" si="0"/>
        <v>14401</v>
      </c>
      <c r="J36" s="16">
        <f t="shared" si="1"/>
        <v>12288</v>
      </c>
      <c r="K36" s="94"/>
      <c r="L36" s="16">
        <v>8293</v>
      </c>
      <c r="N36" s="16">
        <v>-1919</v>
      </c>
      <c r="O36" s="16">
        <f t="shared" si="2"/>
        <v>-1910</v>
      </c>
      <c r="P36" s="16">
        <v>-3829</v>
      </c>
      <c r="R36" s="32">
        <f>-5848-P36</f>
        <v>-2019</v>
      </c>
      <c r="S36" s="25">
        <f t="shared" si="3"/>
        <v>-2315</v>
      </c>
      <c r="T36" s="25">
        <f t="shared" si="4"/>
        <v>-4334</v>
      </c>
      <c r="U36" s="25"/>
      <c r="V36" s="25">
        <v>-8163</v>
      </c>
      <c r="X36" s="16">
        <v>-1846</v>
      </c>
      <c r="Y36" s="16">
        <f t="shared" si="5"/>
        <v>-1852.08</v>
      </c>
      <c r="Z36" s="16">
        <v>-3698.08</v>
      </c>
      <c r="AB36" s="182">
        <f>-5639.04-Z36</f>
        <v>-1940.96</v>
      </c>
      <c r="AC36" s="25">
        <f t="shared" si="6"/>
        <v>-2199.3599999999997</v>
      </c>
      <c r="AD36" s="25">
        <f t="shared" si="7"/>
        <v>-4140.32</v>
      </c>
      <c r="AE36" s="25"/>
      <c r="AF36" s="25">
        <v>-7838.4</v>
      </c>
      <c r="AH36" s="112"/>
      <c r="AI36" s="112"/>
      <c r="AJ36" s="112"/>
      <c r="AL36" s="25"/>
      <c r="AM36" s="25"/>
      <c r="AN36" s="25"/>
      <c r="AO36" s="25"/>
      <c r="AP36" s="25"/>
      <c r="AR36" s="112"/>
      <c r="AS36" s="112"/>
      <c r="AT36" s="112"/>
      <c r="AV36" s="74"/>
      <c r="AW36" s="74"/>
      <c r="AX36" s="74"/>
      <c r="AY36" s="74"/>
      <c r="AZ36" s="74"/>
      <c r="BB36" s="112"/>
      <c r="BC36" s="112"/>
      <c r="BD36" s="112"/>
      <c r="BF36" s="74"/>
      <c r="BG36" s="74"/>
      <c r="BH36" s="74"/>
      <c r="BI36" s="74"/>
      <c r="BJ36" s="74"/>
      <c r="BL36" s="112"/>
      <c r="BM36" s="112"/>
      <c r="BN36" s="112"/>
      <c r="BP36" s="97"/>
      <c r="BQ36" s="97"/>
      <c r="BR36" s="97"/>
      <c r="BS36" s="97"/>
      <c r="BT36" s="97"/>
      <c r="BW36" s="112"/>
      <c r="BX36" s="112"/>
      <c r="BY36" s="112"/>
      <c r="CA36" s="97"/>
      <c r="CB36" s="97"/>
      <c r="CC36" s="97"/>
      <c r="CD36" s="97"/>
      <c r="CE36" s="97"/>
    </row>
    <row r="37" spans="1:83" ht="13.5" customHeight="1">
      <c r="B37" t="s">
        <v>157</v>
      </c>
      <c r="D37" s="16">
        <v>101</v>
      </c>
      <c r="E37" s="16">
        <v>157</v>
      </c>
      <c r="F37" s="16">
        <v>258</v>
      </c>
      <c r="G37" s="20"/>
      <c r="H37" s="16">
        <f>402-F37</f>
        <v>144</v>
      </c>
      <c r="I37" s="16">
        <f t="shared" si="0"/>
        <v>-243</v>
      </c>
      <c r="J37" s="16">
        <f t="shared" si="1"/>
        <v>-99</v>
      </c>
      <c r="K37" s="94"/>
      <c r="L37" s="16">
        <v>159</v>
      </c>
      <c r="N37" s="16">
        <v>177</v>
      </c>
      <c r="O37" s="16">
        <f t="shared" si="2"/>
        <v>178</v>
      </c>
      <c r="P37" s="16">
        <v>355</v>
      </c>
      <c r="R37" s="32">
        <f>446-P37</f>
        <v>91</v>
      </c>
      <c r="S37" s="25">
        <f t="shared" si="3"/>
        <v>15</v>
      </c>
      <c r="T37" s="25">
        <f t="shared" si="4"/>
        <v>106</v>
      </c>
      <c r="U37" s="25"/>
      <c r="V37" s="25">
        <v>461</v>
      </c>
      <c r="X37" s="16">
        <v>89</v>
      </c>
      <c r="Y37" s="16">
        <f t="shared" si="5"/>
        <v>165.6</v>
      </c>
      <c r="Z37" s="16">
        <v>254.6</v>
      </c>
      <c r="AB37" s="182">
        <f>439.1-Z37</f>
        <v>184.50000000000003</v>
      </c>
      <c r="AC37" s="25">
        <f t="shared" si="6"/>
        <v>185.99999999999997</v>
      </c>
      <c r="AD37" s="25">
        <f t="shared" si="7"/>
        <v>370.5</v>
      </c>
      <c r="AE37" s="25"/>
      <c r="AF37" s="25">
        <v>625.1</v>
      </c>
      <c r="AH37" s="112"/>
      <c r="AI37" s="112"/>
      <c r="AJ37" s="112"/>
      <c r="AL37" s="25"/>
      <c r="AM37" s="25"/>
      <c r="AN37" s="25"/>
      <c r="AO37" s="25"/>
      <c r="AP37" s="25"/>
      <c r="AR37" s="112"/>
      <c r="AS37" s="112"/>
      <c r="AT37" s="112"/>
      <c r="AV37" s="74"/>
      <c r="AW37" s="74"/>
      <c r="AX37" s="74"/>
      <c r="AY37" s="74"/>
      <c r="AZ37" s="74"/>
      <c r="BB37" s="112"/>
      <c r="BC37" s="112"/>
      <c r="BD37" s="112"/>
      <c r="BF37" s="74"/>
      <c r="BG37" s="74"/>
      <c r="BH37" s="74"/>
      <c r="BI37" s="74"/>
      <c r="BJ37" s="74"/>
      <c r="BL37" s="112"/>
      <c r="BM37" s="112"/>
      <c r="BN37" s="112"/>
      <c r="BP37" s="97"/>
      <c r="BQ37" s="97"/>
      <c r="BR37" s="97"/>
      <c r="BS37" s="97"/>
      <c r="BT37" s="97"/>
      <c r="BW37" s="112"/>
      <c r="BX37" s="112"/>
      <c r="BY37" s="112"/>
      <c r="CA37" s="97"/>
      <c r="CB37" s="97"/>
      <c r="CC37" s="97"/>
      <c r="CD37" s="97"/>
      <c r="CE37" s="97"/>
    </row>
    <row r="38" spans="1:83" ht="13.5" customHeight="1">
      <c r="B38" t="s">
        <v>169</v>
      </c>
      <c r="D38" s="16">
        <v>199</v>
      </c>
      <c r="E38" s="16">
        <v>198</v>
      </c>
      <c r="F38" s="16">
        <v>397</v>
      </c>
      <c r="G38" s="20"/>
      <c r="H38" s="16">
        <f>514-F38</f>
        <v>117</v>
      </c>
      <c r="I38" s="16">
        <f t="shared" si="0"/>
        <v>256</v>
      </c>
      <c r="J38" s="16">
        <f t="shared" si="1"/>
        <v>373</v>
      </c>
      <c r="K38" s="94"/>
      <c r="L38" s="16">
        <v>770</v>
      </c>
      <c r="N38" s="16">
        <v>995</v>
      </c>
      <c r="O38" s="16">
        <f t="shared" si="2"/>
        <v>164</v>
      </c>
      <c r="P38" s="16">
        <v>1159</v>
      </c>
      <c r="R38" s="32">
        <f>1440-P38</f>
        <v>281</v>
      </c>
      <c r="S38" s="25">
        <f t="shared" si="3"/>
        <v>495</v>
      </c>
      <c r="T38" s="25">
        <f t="shared" si="4"/>
        <v>776</v>
      </c>
      <c r="U38" s="25"/>
      <c r="V38" s="25">
        <v>1935</v>
      </c>
      <c r="X38" s="16">
        <v>166</v>
      </c>
      <c r="Y38" s="16">
        <f t="shared" si="5"/>
        <v>90.199999999999989</v>
      </c>
      <c r="Z38" s="16">
        <v>256.2</v>
      </c>
      <c r="AB38" s="182">
        <f>473.77-Z38</f>
        <v>217.57</v>
      </c>
      <c r="AC38" s="25">
        <f t="shared" si="6"/>
        <v>945.23</v>
      </c>
      <c r="AD38" s="25">
        <f t="shared" si="7"/>
        <v>1162.8</v>
      </c>
      <c r="AE38" s="25"/>
      <c r="AF38" s="25">
        <v>1419</v>
      </c>
      <c r="AH38" s="112"/>
      <c r="AI38" s="112"/>
      <c r="AJ38" s="112"/>
      <c r="AL38" s="25"/>
      <c r="AM38" s="25"/>
      <c r="AN38" s="25"/>
      <c r="AO38" s="25"/>
      <c r="AP38" s="25"/>
      <c r="AR38" s="112"/>
      <c r="AS38" s="112"/>
      <c r="AT38" s="112"/>
      <c r="AV38" s="74"/>
      <c r="AW38" s="74"/>
      <c r="AX38" s="74"/>
      <c r="AY38" s="74"/>
      <c r="AZ38" s="74"/>
      <c r="BB38" s="112"/>
      <c r="BC38" s="112"/>
      <c r="BD38" s="112"/>
      <c r="BF38" s="74"/>
      <c r="BG38" s="74"/>
      <c r="BH38" s="74"/>
      <c r="BI38" s="74"/>
      <c r="BJ38" s="74"/>
      <c r="BL38" s="112"/>
      <c r="BM38" s="112"/>
      <c r="BN38" s="112"/>
      <c r="BP38" s="97"/>
      <c r="BQ38" s="97"/>
      <c r="BR38" s="97"/>
      <c r="BS38" s="97"/>
      <c r="BT38" s="97"/>
      <c r="BW38" s="112"/>
      <c r="BX38" s="112"/>
      <c r="BY38" s="112"/>
      <c r="CA38" s="97"/>
      <c r="CB38" s="97"/>
      <c r="CC38" s="97"/>
      <c r="CD38" s="97"/>
      <c r="CE38" s="97"/>
    </row>
    <row r="39" spans="1:83" ht="13.5" customHeight="1">
      <c r="B39" t="s">
        <v>170</v>
      </c>
      <c r="D39" s="16">
        <v>-133</v>
      </c>
      <c r="E39" s="16">
        <v>-62</v>
      </c>
      <c r="F39" s="16">
        <v>-195</v>
      </c>
      <c r="G39" s="20"/>
      <c r="H39" s="16">
        <f>-260-F39</f>
        <v>-65</v>
      </c>
      <c r="I39" s="16">
        <f t="shared" si="0"/>
        <v>1687</v>
      </c>
      <c r="J39" s="16">
        <f t="shared" si="1"/>
        <v>1622</v>
      </c>
      <c r="K39" s="94"/>
      <c r="L39" s="16">
        <v>1427</v>
      </c>
      <c r="N39" s="16">
        <v>-183</v>
      </c>
      <c r="O39" s="16">
        <f t="shared" si="2"/>
        <v>-140</v>
      </c>
      <c r="P39" s="16">
        <v>-323</v>
      </c>
      <c r="R39" s="32">
        <f>-392-P39</f>
        <v>-69</v>
      </c>
      <c r="S39" s="25">
        <f t="shared" si="3"/>
        <v>-670</v>
      </c>
      <c r="T39" s="25">
        <f t="shared" si="4"/>
        <v>-739</v>
      </c>
      <c r="U39" s="25"/>
      <c r="V39" s="25">
        <v>-1062</v>
      </c>
      <c r="X39" s="16">
        <v>-76</v>
      </c>
      <c r="Y39" s="16">
        <f t="shared" si="5"/>
        <v>-183.76</v>
      </c>
      <c r="Z39" s="16">
        <v>-259.76</v>
      </c>
      <c r="AB39" s="182">
        <f>-525.62-Z39</f>
        <v>-265.86</v>
      </c>
      <c r="AC39" s="25">
        <f t="shared" si="6"/>
        <v>-1670.38</v>
      </c>
      <c r="AD39" s="25">
        <f t="shared" si="7"/>
        <v>-1936.24</v>
      </c>
      <c r="AE39" s="25"/>
      <c r="AF39" s="25">
        <v>-2196</v>
      </c>
      <c r="AH39" s="112"/>
      <c r="AI39" s="112"/>
      <c r="AJ39" s="112"/>
      <c r="AL39" s="25"/>
      <c r="AM39" s="25"/>
      <c r="AN39" s="25"/>
      <c r="AO39" s="25"/>
      <c r="AP39" s="25"/>
      <c r="AR39" s="112"/>
      <c r="AS39" s="112"/>
      <c r="AT39" s="112"/>
      <c r="AV39" s="74"/>
      <c r="AW39" s="74"/>
      <c r="AX39" s="74"/>
      <c r="AY39" s="74"/>
      <c r="AZ39" s="74"/>
      <c r="BB39" s="112"/>
      <c r="BC39" s="112"/>
      <c r="BD39" s="112"/>
      <c r="BF39" s="74"/>
      <c r="BG39" s="74"/>
      <c r="BH39" s="74"/>
      <c r="BI39" s="74"/>
      <c r="BJ39" s="74"/>
      <c r="BL39" s="112"/>
      <c r="BM39" s="112"/>
      <c r="BN39" s="112"/>
      <c r="BP39" s="97"/>
      <c r="BQ39" s="97"/>
      <c r="BR39" s="97"/>
      <c r="BS39" s="97"/>
      <c r="BT39" s="97"/>
      <c r="BW39" s="112"/>
      <c r="BX39" s="112"/>
      <c r="BY39" s="112"/>
      <c r="CA39" s="97"/>
      <c r="CB39" s="97"/>
      <c r="CC39" s="97"/>
      <c r="CD39" s="97"/>
      <c r="CE39" s="97"/>
    </row>
    <row r="40" spans="1:83" ht="13.5" customHeight="1" thickBot="1">
      <c r="B40" s="12" t="s">
        <v>43</v>
      </c>
      <c r="C40" s="12"/>
      <c r="D40" s="13">
        <v>493</v>
      </c>
      <c r="E40" s="13">
        <v>816</v>
      </c>
      <c r="F40" s="13">
        <f>+F35+F36+F37+F38+F39</f>
        <v>1309</v>
      </c>
      <c r="G40" s="113"/>
      <c r="H40" s="13">
        <f>+H35+H36+H37+H38+H39</f>
        <v>906</v>
      </c>
      <c r="I40" s="13">
        <f t="shared" si="0"/>
        <v>-3346</v>
      </c>
      <c r="J40" s="13">
        <f t="shared" si="1"/>
        <v>-2440</v>
      </c>
      <c r="K40" s="155"/>
      <c r="L40" s="13">
        <v>-1131</v>
      </c>
      <c r="M40" s="12"/>
      <c r="N40" s="13">
        <v>2273</v>
      </c>
      <c r="O40" s="209">
        <f t="shared" si="2"/>
        <v>2139</v>
      </c>
      <c r="P40" s="13">
        <v>4412</v>
      </c>
      <c r="Q40" s="12"/>
      <c r="R40" s="209">
        <v>181</v>
      </c>
      <c r="S40" s="192">
        <f t="shared" si="3"/>
        <v>778</v>
      </c>
      <c r="T40" s="192">
        <f t="shared" si="4"/>
        <v>959</v>
      </c>
      <c r="U40" s="192"/>
      <c r="V40" s="192">
        <v>5371</v>
      </c>
      <c r="W40" s="12"/>
      <c r="X40" s="13">
        <v>450</v>
      </c>
      <c r="Y40" s="209">
        <f t="shared" si="5"/>
        <v>1503.63</v>
      </c>
      <c r="Z40" s="13">
        <v>1953.63</v>
      </c>
      <c r="AA40" s="12"/>
      <c r="AB40" s="187">
        <f>4114.51-Z40</f>
        <v>2160.88</v>
      </c>
      <c r="AC40" s="192">
        <f t="shared" si="6"/>
        <v>760.94999999999982</v>
      </c>
      <c r="AD40" s="192">
        <f t="shared" si="7"/>
        <v>2921.83</v>
      </c>
      <c r="AE40" s="192"/>
      <c r="AF40" s="192">
        <v>4875.46</v>
      </c>
      <c r="AH40" s="112"/>
      <c r="AI40" s="112"/>
      <c r="AJ40" s="112"/>
      <c r="AL40" s="112"/>
      <c r="AM40" s="25"/>
      <c r="AN40" s="25"/>
      <c r="AO40" s="25"/>
      <c r="AP40" s="25"/>
      <c r="AR40" s="112"/>
      <c r="AS40" s="112"/>
      <c r="AT40" s="112"/>
      <c r="AV40" s="74"/>
      <c r="AW40" s="74"/>
      <c r="AX40" s="74"/>
      <c r="AY40" s="74"/>
      <c r="AZ40" s="74"/>
      <c r="BB40" s="112"/>
      <c r="BC40" s="112"/>
      <c r="BD40" s="112"/>
      <c r="BF40" s="74"/>
      <c r="BG40" s="74"/>
      <c r="BH40" s="74"/>
      <c r="BI40" s="74"/>
      <c r="BJ40" s="74"/>
      <c r="BL40" s="112"/>
      <c r="BM40" s="112"/>
      <c r="BN40" s="112"/>
      <c r="BP40" s="97"/>
      <c r="BQ40" s="97"/>
      <c r="BR40" s="97"/>
      <c r="BS40" s="97"/>
      <c r="BT40" s="97"/>
      <c r="BW40" s="112"/>
      <c r="BX40" s="112"/>
      <c r="BY40" s="112"/>
      <c r="CA40" s="97"/>
      <c r="CB40" s="97"/>
      <c r="CC40" s="97"/>
      <c r="CD40" s="97"/>
      <c r="CE40" s="97"/>
    </row>
    <row r="41" spans="1:83" ht="13.5" customHeight="1">
      <c r="B41" t="s">
        <v>158</v>
      </c>
      <c r="D41" s="16">
        <v>25</v>
      </c>
      <c r="E41" s="16">
        <v>22</v>
      </c>
      <c r="F41" s="16">
        <v>47</v>
      </c>
      <c r="G41" s="20"/>
      <c r="H41" s="16">
        <f>70-F41</f>
        <v>23</v>
      </c>
      <c r="I41" s="16">
        <f t="shared" si="0"/>
        <v>51</v>
      </c>
      <c r="J41" s="16">
        <f t="shared" si="1"/>
        <v>74</v>
      </c>
      <c r="K41" s="94"/>
      <c r="L41" s="16">
        <v>121</v>
      </c>
      <c r="N41" s="16">
        <v>12</v>
      </c>
      <c r="O41" s="16">
        <f t="shared" si="2"/>
        <v>13</v>
      </c>
      <c r="P41" s="16">
        <v>25</v>
      </c>
      <c r="R41" s="32">
        <f>50-P41</f>
        <v>25</v>
      </c>
      <c r="S41" s="25">
        <f t="shared" si="3"/>
        <v>20</v>
      </c>
      <c r="T41" s="193">
        <f t="shared" si="4"/>
        <v>45</v>
      </c>
      <c r="U41" s="25"/>
      <c r="V41" s="25">
        <v>70</v>
      </c>
      <c r="X41" s="16">
        <v>11</v>
      </c>
      <c r="Y41" s="16">
        <f t="shared" si="5"/>
        <v>10.629999999999999</v>
      </c>
      <c r="Z41" s="16">
        <v>21.63</v>
      </c>
      <c r="AB41" s="182">
        <f>34.72-Z41</f>
        <v>13.09</v>
      </c>
      <c r="AC41" s="25">
        <f t="shared" si="6"/>
        <v>48.379999999999995</v>
      </c>
      <c r="AD41" s="193">
        <f t="shared" si="7"/>
        <v>61.47</v>
      </c>
      <c r="AE41" s="25"/>
      <c r="AF41" s="25">
        <v>83.1</v>
      </c>
      <c r="AH41" s="112"/>
      <c r="AI41" s="112"/>
      <c r="AJ41" s="112"/>
      <c r="AL41" s="25"/>
      <c r="AM41" s="25"/>
      <c r="AN41" s="25"/>
      <c r="AO41" s="25"/>
      <c r="AP41" s="25"/>
      <c r="AR41" s="112"/>
      <c r="AS41" s="112"/>
      <c r="AT41" s="112"/>
      <c r="AV41" s="74"/>
      <c r="AW41" s="74"/>
      <c r="AX41" s="74"/>
      <c r="AY41" s="74"/>
      <c r="AZ41" s="74"/>
      <c r="BB41" s="112"/>
      <c r="BC41" s="112"/>
      <c r="BD41" s="112"/>
      <c r="BF41" s="74"/>
      <c r="BG41" s="74"/>
      <c r="BH41" s="74"/>
      <c r="BI41" s="74"/>
      <c r="BJ41" s="74"/>
      <c r="BL41" s="112"/>
      <c r="BM41" s="112"/>
      <c r="BN41" s="112"/>
      <c r="BP41" s="97"/>
      <c r="BQ41" s="97"/>
      <c r="BR41" s="97"/>
      <c r="BS41" s="97"/>
      <c r="BT41" s="97"/>
      <c r="BW41" s="112"/>
      <c r="BX41" s="112"/>
      <c r="BY41" s="112"/>
      <c r="CA41" s="97"/>
      <c r="CB41" s="97"/>
      <c r="CC41" s="97"/>
      <c r="CD41" s="97"/>
      <c r="CE41" s="97"/>
    </row>
    <row r="42" spans="1:83" ht="13.5" customHeight="1">
      <c r="B42" t="s">
        <v>159</v>
      </c>
      <c r="D42" s="16">
        <v>-93</v>
      </c>
      <c r="E42" s="16">
        <v>-84</v>
      </c>
      <c r="F42" s="16">
        <v>-177</v>
      </c>
      <c r="G42" s="20"/>
      <c r="H42" s="16">
        <f>-257-F42</f>
        <v>-80</v>
      </c>
      <c r="I42" s="16">
        <f t="shared" si="0"/>
        <v>-91</v>
      </c>
      <c r="J42" s="16">
        <f t="shared" si="1"/>
        <v>-171</v>
      </c>
      <c r="K42" s="94"/>
      <c r="L42" s="16">
        <v>-348</v>
      </c>
      <c r="N42" s="16">
        <v>-113</v>
      </c>
      <c r="O42" s="16">
        <f t="shared" si="2"/>
        <v>-83</v>
      </c>
      <c r="P42" s="16">
        <v>-196</v>
      </c>
      <c r="R42" s="32">
        <f>-288-P42</f>
        <v>-92</v>
      </c>
      <c r="S42" s="25">
        <f t="shared" si="3"/>
        <v>-67</v>
      </c>
      <c r="T42" s="25">
        <f t="shared" si="4"/>
        <v>-159</v>
      </c>
      <c r="U42" s="25"/>
      <c r="V42" s="25">
        <v>-355</v>
      </c>
      <c r="X42" s="16">
        <v>-81</v>
      </c>
      <c r="Y42" s="16">
        <f t="shared" si="5"/>
        <v>-76.52000000000001</v>
      </c>
      <c r="Z42" s="16">
        <v>-157.52000000000001</v>
      </c>
      <c r="AB42" s="182">
        <f>-214.34-Z42</f>
        <v>-56.819999999999993</v>
      </c>
      <c r="AC42" s="25">
        <f t="shared" si="6"/>
        <v>-69.869999999999976</v>
      </c>
      <c r="AD42" s="25">
        <f t="shared" si="7"/>
        <v>-126.68999999999997</v>
      </c>
      <c r="AE42" s="25"/>
      <c r="AF42" s="25">
        <v>-284.20999999999998</v>
      </c>
      <c r="AH42" s="112"/>
      <c r="AI42" s="112"/>
      <c r="AJ42" s="112"/>
      <c r="AL42" s="25"/>
      <c r="AM42" s="25"/>
      <c r="AN42" s="25"/>
      <c r="AO42" s="25"/>
      <c r="AP42" s="25"/>
      <c r="AR42" s="112"/>
      <c r="AS42" s="112"/>
      <c r="AT42" s="112"/>
      <c r="AV42" s="74"/>
      <c r="AW42" s="74"/>
      <c r="AX42" s="74"/>
      <c r="AY42" s="74"/>
      <c r="AZ42" s="74"/>
      <c r="BB42" s="112"/>
      <c r="BC42" s="112"/>
      <c r="BD42" s="112"/>
      <c r="BF42" s="74"/>
      <c r="BG42" s="74"/>
      <c r="BH42" s="74"/>
      <c r="BI42" s="74"/>
      <c r="BJ42" s="74"/>
      <c r="BL42" s="112"/>
      <c r="BM42" s="112"/>
      <c r="BN42" s="112"/>
      <c r="BP42" s="97"/>
      <c r="BQ42" s="97"/>
      <c r="BR42" s="97"/>
      <c r="BS42" s="97"/>
      <c r="BT42" s="97"/>
      <c r="BW42" s="112"/>
      <c r="BX42" s="112"/>
      <c r="BY42" s="112"/>
      <c r="CA42" s="97"/>
      <c r="CB42" s="97"/>
      <c r="CC42" s="97"/>
      <c r="CD42" s="97"/>
      <c r="CE42" s="97"/>
    </row>
    <row r="43" spans="1:83" ht="13.5" customHeight="1" thickBot="1">
      <c r="B43" s="12" t="s">
        <v>160</v>
      </c>
      <c r="C43" s="12"/>
      <c r="D43" s="13">
        <v>425</v>
      </c>
      <c r="E43" s="13">
        <v>754</v>
      </c>
      <c r="F43" s="13">
        <f>+F40+F41+F42</f>
        <v>1179</v>
      </c>
      <c r="G43" s="113"/>
      <c r="H43" s="13">
        <f>+H40+H41+H42</f>
        <v>849</v>
      </c>
      <c r="I43" s="13">
        <f t="shared" si="0"/>
        <v>-3386</v>
      </c>
      <c r="J43" s="13">
        <f t="shared" si="1"/>
        <v>-2537</v>
      </c>
      <c r="K43" s="155"/>
      <c r="L43" s="13">
        <v>-1358</v>
      </c>
      <c r="M43" s="12"/>
      <c r="N43" s="13">
        <v>2172</v>
      </c>
      <c r="O43" s="209">
        <f t="shared" si="2"/>
        <v>2069</v>
      </c>
      <c r="P43" s="13">
        <v>4241</v>
      </c>
      <c r="Q43" s="12"/>
      <c r="R43" s="209">
        <f>+R40+R41+R42</f>
        <v>114</v>
      </c>
      <c r="S43" s="192">
        <f t="shared" si="3"/>
        <v>731</v>
      </c>
      <c r="T43" s="192">
        <f t="shared" si="4"/>
        <v>845</v>
      </c>
      <c r="U43" s="192"/>
      <c r="V43" s="192">
        <v>5086</v>
      </c>
      <c r="W43" s="12"/>
      <c r="X43" s="13">
        <v>380</v>
      </c>
      <c r="Y43" s="209">
        <f t="shared" si="5"/>
        <v>1437.74</v>
      </c>
      <c r="Z43" s="13">
        <v>1817.74</v>
      </c>
      <c r="AA43" s="12"/>
      <c r="AB43" s="187">
        <f>3934.89-Z43</f>
        <v>2117.1499999999996</v>
      </c>
      <c r="AC43" s="192">
        <f t="shared" si="6"/>
        <v>739.46000000000095</v>
      </c>
      <c r="AD43" s="192">
        <f t="shared" si="7"/>
        <v>2856.6100000000006</v>
      </c>
      <c r="AE43" s="192"/>
      <c r="AF43" s="192">
        <v>4674.3500000000004</v>
      </c>
      <c r="AH43" s="112"/>
      <c r="AI43" s="112"/>
      <c r="AJ43" s="112"/>
      <c r="AL43" s="112"/>
      <c r="AM43" s="25"/>
      <c r="AN43" s="25"/>
      <c r="AO43" s="25"/>
      <c r="AP43" s="25"/>
      <c r="AR43" s="112"/>
      <c r="AS43" s="112"/>
      <c r="AT43" s="112"/>
      <c r="AV43" s="74"/>
      <c r="AW43" s="74"/>
      <c r="AX43" s="74"/>
      <c r="AY43" s="74"/>
      <c r="AZ43" s="74"/>
      <c r="BB43" s="112"/>
      <c r="BC43" s="112"/>
      <c r="BD43" s="112"/>
      <c r="BF43" s="74"/>
      <c r="BG43" s="74"/>
      <c r="BH43" s="74"/>
      <c r="BI43" s="74"/>
      <c r="BJ43" s="74"/>
      <c r="BL43" s="112"/>
      <c r="BM43" s="112"/>
      <c r="BN43" s="112"/>
      <c r="BP43" s="97"/>
      <c r="BQ43" s="97"/>
      <c r="BR43" s="97"/>
      <c r="BS43" s="97"/>
      <c r="BT43" s="97"/>
      <c r="BW43" s="112"/>
      <c r="BX43" s="112"/>
      <c r="BY43" s="112"/>
      <c r="CA43" s="97"/>
      <c r="CB43" s="97"/>
      <c r="CC43" s="97"/>
      <c r="CD43" s="97"/>
      <c r="CE43" s="97"/>
    </row>
    <row r="44" spans="1:83" ht="13.5" customHeight="1">
      <c r="B44" s="21" t="s">
        <v>161</v>
      </c>
      <c r="D44" s="16">
        <v>-199</v>
      </c>
      <c r="E44" s="16">
        <v>551</v>
      </c>
      <c r="F44" s="16">
        <v>352</v>
      </c>
      <c r="G44" s="20"/>
      <c r="H44" s="16">
        <f>573-F44</f>
        <v>221</v>
      </c>
      <c r="I44" s="16">
        <f t="shared" si="0"/>
        <v>-203</v>
      </c>
      <c r="J44" s="16">
        <f t="shared" si="1"/>
        <v>18</v>
      </c>
      <c r="K44" s="94"/>
      <c r="L44" s="16">
        <v>370</v>
      </c>
      <c r="N44" s="16">
        <v>-646</v>
      </c>
      <c r="O44" s="16">
        <f t="shared" si="2"/>
        <v>-583</v>
      </c>
      <c r="P44" s="16">
        <v>-1229</v>
      </c>
      <c r="R44" s="16">
        <f>-1337-P44</f>
        <v>-108</v>
      </c>
      <c r="S44" s="25">
        <f t="shared" si="3"/>
        <v>-178</v>
      </c>
      <c r="T44" s="193">
        <f t="shared" si="4"/>
        <v>-286</v>
      </c>
      <c r="U44" s="25"/>
      <c r="V44" s="25">
        <v>-1515</v>
      </c>
      <c r="X44" s="16">
        <v>-180</v>
      </c>
      <c r="Y44" s="16">
        <f t="shared" si="5"/>
        <v>-306.06</v>
      </c>
      <c r="Z44" s="16">
        <v>-486.06</v>
      </c>
      <c r="AB44" s="186">
        <f>-1040.05-Z44</f>
        <v>-553.99</v>
      </c>
      <c r="AC44" s="25">
        <f t="shared" si="6"/>
        <v>-391.37000000000012</v>
      </c>
      <c r="AD44" s="193">
        <f t="shared" si="7"/>
        <v>-945.36000000000013</v>
      </c>
      <c r="AE44" s="25"/>
      <c r="AF44" s="25">
        <v>-1431.42</v>
      </c>
      <c r="AH44" s="112"/>
      <c r="AI44" s="112"/>
      <c r="AJ44" s="112"/>
      <c r="AL44" s="112"/>
      <c r="AM44" s="25"/>
      <c r="AN44" s="25"/>
      <c r="AO44" s="25"/>
      <c r="AP44" s="25"/>
      <c r="AR44" s="112"/>
      <c r="AS44" s="112"/>
      <c r="AT44" s="112"/>
      <c r="AV44" s="74"/>
      <c r="AW44" s="74"/>
      <c r="AX44" s="74"/>
      <c r="AY44" s="74"/>
      <c r="AZ44" s="74"/>
      <c r="BB44" s="112"/>
      <c r="BC44" s="112"/>
      <c r="BD44" s="112"/>
      <c r="BF44" s="74"/>
      <c r="BG44" s="74"/>
      <c r="BH44" s="74"/>
      <c r="BI44" s="74"/>
      <c r="BJ44" s="74"/>
      <c r="BL44" s="112"/>
      <c r="BM44" s="112"/>
      <c r="BN44" s="112"/>
      <c r="BP44" s="97"/>
      <c r="BQ44" s="97"/>
      <c r="BR44" s="97"/>
      <c r="BS44" s="97"/>
      <c r="BT44" s="97"/>
      <c r="BW44" s="112"/>
      <c r="BX44" s="112"/>
      <c r="BY44" s="112"/>
      <c r="CA44" s="97"/>
      <c r="CB44" s="97"/>
      <c r="CC44" s="97"/>
      <c r="CD44" s="97"/>
      <c r="CE44" s="97"/>
    </row>
    <row r="45" spans="1:83" ht="13.5" customHeight="1">
      <c r="B45" t="s">
        <v>162</v>
      </c>
      <c r="D45" s="16">
        <v>174</v>
      </c>
      <c r="E45" s="16">
        <v>536</v>
      </c>
      <c r="F45" s="16">
        <v>710</v>
      </c>
      <c r="G45" s="20"/>
      <c r="H45" s="16">
        <f>1246-F45</f>
        <v>536</v>
      </c>
      <c r="I45" s="16">
        <f t="shared" si="0"/>
        <v>-3125</v>
      </c>
      <c r="J45" s="16">
        <f t="shared" si="1"/>
        <v>-2589</v>
      </c>
      <c r="K45" s="184"/>
      <c r="L45" s="16">
        <v>-1879</v>
      </c>
      <c r="N45" s="16">
        <v>1451</v>
      </c>
      <c r="O45" s="16">
        <f t="shared" si="2"/>
        <v>1400</v>
      </c>
      <c r="P45" s="16">
        <v>2851</v>
      </c>
      <c r="R45" s="16">
        <f>2783-P45</f>
        <v>-68</v>
      </c>
      <c r="S45" s="112">
        <f t="shared" si="3"/>
        <v>440</v>
      </c>
      <c r="T45" s="25">
        <f t="shared" si="4"/>
        <v>372</v>
      </c>
      <c r="U45" s="25"/>
      <c r="V45" s="25">
        <v>3223</v>
      </c>
      <c r="X45" s="16">
        <v>190</v>
      </c>
      <c r="Y45" s="16">
        <f t="shared" si="5"/>
        <v>1043.29</v>
      </c>
      <c r="Z45" s="16">
        <v>1233.29</v>
      </c>
      <c r="AB45" s="186">
        <f>2693.7-Z45</f>
        <v>1460.4099999999999</v>
      </c>
      <c r="AC45" s="112">
        <f t="shared" si="6"/>
        <v>925.52</v>
      </c>
      <c r="AD45" s="25">
        <f t="shared" si="7"/>
        <v>2385.9299999999998</v>
      </c>
      <c r="AE45" s="25"/>
      <c r="AF45" s="25">
        <v>3619.22</v>
      </c>
      <c r="AH45" s="112"/>
      <c r="AI45" s="112"/>
      <c r="AJ45" s="112"/>
      <c r="AL45" s="112"/>
      <c r="AM45" s="112"/>
      <c r="AN45" s="25"/>
      <c r="AO45" s="25"/>
      <c r="AP45" s="25"/>
      <c r="AR45" s="112"/>
      <c r="AS45" s="112"/>
      <c r="AT45" s="112"/>
      <c r="AV45" s="74"/>
      <c r="AW45" s="112"/>
      <c r="AX45" s="74"/>
      <c r="AY45" s="74"/>
      <c r="AZ45" s="74"/>
      <c r="BB45" s="112"/>
      <c r="BC45" s="112"/>
      <c r="BD45" s="112"/>
      <c r="BF45" s="74"/>
      <c r="BG45" s="74"/>
      <c r="BH45" s="74"/>
      <c r="BI45" s="74"/>
      <c r="BJ45" s="74"/>
      <c r="BL45" s="112"/>
      <c r="BM45" s="112"/>
      <c r="BN45" s="112"/>
      <c r="BP45" s="97"/>
      <c r="BQ45" s="97"/>
      <c r="BR45" s="97"/>
      <c r="BS45" s="97"/>
      <c r="BT45" s="97"/>
      <c r="BW45" s="112"/>
      <c r="BX45" s="112"/>
      <c r="BY45" s="112"/>
      <c r="CA45" s="97"/>
      <c r="CB45" s="97"/>
      <c r="CC45" s="97"/>
      <c r="CD45" s="97"/>
      <c r="CE45" s="97"/>
    </row>
    <row r="46" spans="1:83" ht="13.5" customHeight="1" thickBot="1">
      <c r="B46" s="22" t="s">
        <v>163</v>
      </c>
      <c r="C46" s="22"/>
      <c r="D46" s="23">
        <v>52</v>
      </c>
      <c r="E46" s="163">
        <v>65</v>
      </c>
      <c r="F46" s="23">
        <v>117</v>
      </c>
      <c r="G46" s="22"/>
      <c r="H46" s="163">
        <f>209-F46</f>
        <v>92</v>
      </c>
      <c r="I46" s="163">
        <f t="shared" si="0"/>
        <v>-57</v>
      </c>
      <c r="J46" s="195">
        <f t="shared" si="1"/>
        <v>35</v>
      </c>
      <c r="K46" s="195"/>
      <c r="L46" s="195">
        <v>152</v>
      </c>
      <c r="M46" s="22"/>
      <c r="N46" s="23">
        <v>74</v>
      </c>
      <c r="O46" s="163">
        <f t="shared" si="2"/>
        <v>87</v>
      </c>
      <c r="P46" s="23">
        <v>161</v>
      </c>
      <c r="Q46" s="22"/>
      <c r="R46" s="163">
        <f>235-P46</f>
        <v>74</v>
      </c>
      <c r="S46" s="163">
        <f t="shared" si="3"/>
        <v>113</v>
      </c>
      <c r="T46" s="195">
        <f t="shared" si="4"/>
        <v>187</v>
      </c>
      <c r="U46" s="195"/>
      <c r="V46" s="195">
        <v>348</v>
      </c>
      <c r="W46" s="22"/>
      <c r="X46" s="23">
        <v>10</v>
      </c>
      <c r="Y46" s="163">
        <f t="shared" si="5"/>
        <v>88.39</v>
      </c>
      <c r="Z46" s="23">
        <v>98.39</v>
      </c>
      <c r="AA46" s="22"/>
      <c r="AB46" s="188">
        <f>201.14-Z46</f>
        <v>102.74999999999999</v>
      </c>
      <c r="AC46" s="163">
        <f t="shared" si="6"/>
        <v>-577.42999999999995</v>
      </c>
      <c r="AD46" s="195">
        <f t="shared" si="7"/>
        <v>-474.68</v>
      </c>
      <c r="AE46" s="195"/>
      <c r="AF46" s="195">
        <v>-376.29</v>
      </c>
      <c r="AH46" s="112"/>
      <c r="AI46" s="112"/>
      <c r="AJ46" s="112"/>
      <c r="AL46" s="112"/>
      <c r="AM46" s="112"/>
      <c r="AN46" s="25"/>
      <c r="AO46" s="25"/>
      <c r="AP46" s="25"/>
      <c r="AR46" s="112"/>
      <c r="AS46" s="112"/>
      <c r="AT46" s="112"/>
      <c r="AV46" s="74"/>
      <c r="AW46" s="112"/>
      <c r="AX46" s="74"/>
      <c r="AY46" s="74"/>
      <c r="AZ46" s="74"/>
      <c r="BB46" s="112"/>
      <c r="BC46" s="112"/>
      <c r="BD46" s="112"/>
      <c r="BF46" s="74"/>
      <c r="BG46" s="112"/>
      <c r="BH46" s="74"/>
      <c r="BI46" s="74"/>
      <c r="BJ46" s="74"/>
      <c r="BL46" s="112"/>
      <c r="BM46" s="112"/>
      <c r="BN46" s="112"/>
      <c r="BP46" s="97"/>
      <c r="BQ46" s="97"/>
      <c r="BR46" s="97"/>
      <c r="BS46" s="97"/>
      <c r="BT46" s="97"/>
      <c r="BW46" s="112"/>
      <c r="BX46" s="112"/>
      <c r="BY46" s="112"/>
      <c r="CA46" s="97"/>
      <c r="CB46" s="112"/>
      <c r="CC46" s="97"/>
      <c r="CD46" s="97"/>
      <c r="CE46" s="97"/>
    </row>
    <row r="47" spans="1:83" s="3" customFormat="1" ht="17.25" customHeight="1" thickTop="1">
      <c r="A47" s="2"/>
      <c r="D47" s="24"/>
      <c r="E47" s="24"/>
      <c r="F47" s="24"/>
      <c r="N47" s="24"/>
      <c r="O47" s="24"/>
      <c r="P47" s="24"/>
      <c r="X47" s="24"/>
      <c r="Y47" s="24"/>
      <c r="Z47" s="24"/>
      <c r="AH47" s="24"/>
      <c r="AI47" s="24"/>
      <c r="AJ47" s="24"/>
      <c r="AR47" s="24"/>
      <c r="AS47" s="24"/>
      <c r="AT47" s="24"/>
      <c r="BB47" s="24"/>
      <c r="BC47" s="24"/>
      <c r="BD47" s="24"/>
      <c r="BL47" s="24"/>
      <c r="BM47" s="24"/>
      <c r="BN47" s="24"/>
      <c r="BW47" s="24"/>
      <c r="BX47" s="24"/>
      <c r="BY47" s="24"/>
    </row>
    <row r="48" spans="1:83" s="3" customFormat="1" ht="16.2">
      <c r="A48" s="4" t="s">
        <v>50</v>
      </c>
    </row>
    <row r="49" spans="1:83">
      <c r="B49" t="s">
        <v>1</v>
      </c>
      <c r="D49" s="132" t="str">
        <f>D5</f>
        <v>2019年度　（2019年4月-2020年3月）</v>
      </c>
      <c r="E49" s="132"/>
      <c r="F49" s="132"/>
      <c r="G49" s="132"/>
      <c r="H49" s="132"/>
      <c r="I49" s="132"/>
      <c r="J49" s="132"/>
      <c r="K49" s="132"/>
      <c r="L49" s="132"/>
      <c r="N49" s="132" t="str">
        <f>N5</f>
        <v>2018年度　（2018年4月-2019年3月）</v>
      </c>
      <c r="O49" s="132"/>
      <c r="P49" s="132"/>
      <c r="Q49" s="132"/>
      <c r="R49" s="132"/>
      <c r="S49" s="132"/>
      <c r="T49" s="132"/>
      <c r="U49" s="132"/>
      <c r="V49" s="132"/>
      <c r="X49" s="231" t="str">
        <f>X5</f>
        <v>2017年度　（2017年4月-2018年3月）</v>
      </c>
      <c r="Y49" s="231"/>
      <c r="Z49" s="231"/>
      <c r="AA49" s="231"/>
      <c r="AB49" s="231"/>
      <c r="AC49" s="231"/>
      <c r="AD49" s="231"/>
      <c r="AE49" s="231"/>
      <c r="AF49" s="231"/>
      <c r="AH49" s="5"/>
      <c r="AI49" s="5"/>
      <c r="AJ49" s="5"/>
      <c r="AK49" s="5"/>
      <c r="AL49" s="5"/>
      <c r="AM49" s="5"/>
      <c r="AN49" s="5"/>
      <c r="AO49" s="5"/>
      <c r="AP49" s="5"/>
      <c r="AR49" s="5"/>
      <c r="AS49" s="5"/>
      <c r="AT49" s="5"/>
      <c r="AU49" s="5"/>
      <c r="AV49" s="5"/>
      <c r="AW49" s="5"/>
      <c r="AX49" s="5"/>
      <c r="AY49" s="5"/>
      <c r="AZ49" s="5"/>
      <c r="BB49" s="5"/>
      <c r="BC49" s="5"/>
      <c r="BD49" s="5"/>
      <c r="BE49" s="5"/>
      <c r="BF49" s="5"/>
      <c r="BG49" s="5"/>
      <c r="BH49" s="5"/>
      <c r="BI49" s="5"/>
      <c r="BJ49" s="5"/>
      <c r="BL49" s="5"/>
      <c r="BM49" s="5"/>
      <c r="BN49" s="5"/>
      <c r="BO49" s="5"/>
      <c r="BP49" s="5"/>
      <c r="BQ49" s="5"/>
      <c r="BR49" s="5"/>
      <c r="BS49" s="5"/>
      <c r="BT49" s="5"/>
      <c r="BW49" s="5"/>
      <c r="BX49" s="5"/>
      <c r="BY49" s="5"/>
      <c r="BZ49" s="5"/>
      <c r="CA49" s="5"/>
      <c r="CB49" s="5"/>
      <c r="CC49" s="5"/>
      <c r="CD49" s="5"/>
      <c r="CE49" s="5"/>
    </row>
    <row r="50" spans="1:83" ht="3.75" customHeight="1">
      <c r="D50" s="5"/>
      <c r="E50" s="5"/>
      <c r="F50" s="5"/>
      <c r="G50" s="5"/>
      <c r="H50" s="5"/>
      <c r="I50" s="5"/>
      <c r="J50" s="5"/>
      <c r="K50" s="5"/>
      <c r="L50" s="132"/>
      <c r="N50" s="5"/>
      <c r="O50" s="5"/>
      <c r="P50" s="5"/>
      <c r="Q50" s="5"/>
      <c r="R50" s="5"/>
      <c r="S50" s="5"/>
      <c r="T50" s="5"/>
      <c r="U50" s="5"/>
      <c r="V50" s="132"/>
      <c r="X50" s="5"/>
      <c r="Y50" s="5"/>
      <c r="Z50" s="5"/>
      <c r="AA50" s="5"/>
      <c r="AB50" s="5"/>
      <c r="AC50" s="5"/>
      <c r="AD50" s="5"/>
      <c r="AE50" s="5"/>
      <c r="AF50" s="231"/>
      <c r="AH50" s="5"/>
      <c r="AI50" s="5"/>
      <c r="AJ50" s="5"/>
      <c r="AK50" s="5"/>
      <c r="AL50" s="5"/>
      <c r="AM50" s="5"/>
      <c r="AN50" s="5"/>
      <c r="AO50" s="5"/>
      <c r="AP50" s="5"/>
      <c r="AR50" s="5"/>
      <c r="AS50" s="5"/>
      <c r="AT50" s="5"/>
      <c r="AU50" s="5"/>
      <c r="AV50" s="5"/>
      <c r="AW50" s="5"/>
      <c r="AX50" s="5"/>
      <c r="AY50" s="5"/>
      <c r="AZ50" s="5"/>
      <c r="BB50" s="5"/>
      <c r="BC50" s="5"/>
      <c r="BD50" s="5"/>
      <c r="BE50" s="5"/>
      <c r="BF50" s="5"/>
      <c r="BG50" s="5"/>
      <c r="BH50" s="5"/>
      <c r="BI50" s="5"/>
      <c r="BJ50" s="5"/>
      <c r="BL50" s="5"/>
      <c r="BM50" s="5"/>
      <c r="BN50" s="5"/>
      <c r="BO50" s="5"/>
      <c r="BP50" s="5"/>
      <c r="BQ50" s="5"/>
      <c r="BR50" s="5"/>
      <c r="BS50" s="5"/>
      <c r="BT50" s="5"/>
      <c r="BW50" s="5"/>
      <c r="BX50" s="5"/>
      <c r="BY50" s="5"/>
      <c r="BZ50" s="5"/>
      <c r="CA50" s="5"/>
      <c r="CB50" s="5"/>
      <c r="CC50" s="5"/>
      <c r="CD50" s="5"/>
      <c r="CE50" s="5"/>
    </row>
    <row r="51" spans="1:83">
      <c r="D51" s="6"/>
      <c r="E51" s="6"/>
      <c r="F51" s="7" t="s">
        <v>28</v>
      </c>
      <c r="H51" s="7"/>
      <c r="I51" s="7"/>
      <c r="J51" s="7" t="s">
        <v>29</v>
      </c>
      <c r="L51" s="133" t="s">
        <v>30</v>
      </c>
      <c r="N51" s="6"/>
      <c r="O51" s="6"/>
      <c r="P51" s="7" t="s">
        <v>28</v>
      </c>
      <c r="R51" s="7"/>
      <c r="S51" s="7"/>
      <c r="T51" s="7" t="s">
        <v>29</v>
      </c>
      <c r="V51" s="133" t="s">
        <v>30</v>
      </c>
      <c r="X51" s="6"/>
      <c r="Y51" s="6"/>
      <c r="Z51" s="7" t="s">
        <v>28</v>
      </c>
      <c r="AB51" s="7"/>
      <c r="AC51" s="7"/>
      <c r="AD51" s="7" t="s">
        <v>29</v>
      </c>
      <c r="AF51" s="232" t="s">
        <v>30</v>
      </c>
      <c r="AJ51" s="8"/>
      <c r="AL51" s="8"/>
      <c r="AM51" s="8"/>
      <c r="AN51" s="8"/>
      <c r="AP51" s="8"/>
      <c r="AT51" s="8"/>
      <c r="AV51" s="8"/>
      <c r="AW51" s="8"/>
      <c r="AX51" s="8"/>
      <c r="AZ51" s="8"/>
      <c r="BD51" s="8"/>
      <c r="BF51" s="8"/>
      <c r="BG51" s="8"/>
      <c r="BH51" s="8"/>
      <c r="BJ51" s="8"/>
      <c r="BN51" s="8"/>
      <c r="BP51" s="8"/>
      <c r="BQ51" s="8"/>
      <c r="BR51" s="8"/>
      <c r="BT51" s="8"/>
      <c r="BY51" s="8"/>
      <c r="CA51" s="8"/>
      <c r="CB51" s="8"/>
      <c r="CC51" s="8"/>
      <c r="CE51" s="8"/>
    </row>
    <row r="52" spans="1:83" s="9" customFormat="1" ht="10.8">
      <c r="D52" s="9" t="s">
        <v>31</v>
      </c>
      <c r="E52" s="9" t="s">
        <v>32</v>
      </c>
      <c r="F52" s="10" t="s">
        <v>33</v>
      </c>
      <c r="H52" s="9" t="s">
        <v>7</v>
      </c>
      <c r="I52" s="9" t="s">
        <v>8</v>
      </c>
      <c r="J52" s="10"/>
      <c r="L52" s="134"/>
      <c r="N52" s="9" t="s">
        <v>31</v>
      </c>
      <c r="O52" s="9" t="s">
        <v>32</v>
      </c>
      <c r="P52" s="10" t="s">
        <v>33</v>
      </c>
      <c r="R52" s="9" t="s">
        <v>7</v>
      </c>
      <c r="S52" s="9" t="s">
        <v>8</v>
      </c>
      <c r="T52" s="10"/>
      <c r="V52" s="134"/>
      <c r="X52" s="9" t="s">
        <v>31</v>
      </c>
      <c r="Y52" s="9" t="s">
        <v>32</v>
      </c>
      <c r="Z52" s="10" t="s">
        <v>33</v>
      </c>
      <c r="AB52" s="9" t="s">
        <v>7</v>
      </c>
      <c r="AC52" s="9" t="s">
        <v>8</v>
      </c>
      <c r="AD52" s="10"/>
      <c r="AF52" s="233"/>
      <c r="AJ52" s="11"/>
      <c r="AN52" s="11"/>
      <c r="AP52" s="11"/>
      <c r="AT52" s="11"/>
      <c r="AX52" s="11"/>
      <c r="AZ52" s="11"/>
      <c r="BD52" s="11"/>
      <c r="BH52" s="11"/>
      <c r="BJ52" s="11"/>
      <c r="BN52" s="11"/>
      <c r="BR52" s="11"/>
      <c r="BT52" s="11"/>
      <c r="BY52" s="11"/>
      <c r="CC52" s="11"/>
      <c r="CE52" s="11"/>
    </row>
    <row r="53" spans="1:83" s="9" customFormat="1" ht="10.8">
      <c r="D53" s="9" t="s">
        <v>34</v>
      </c>
      <c r="E53" s="9" t="s">
        <v>35</v>
      </c>
      <c r="F53" s="10" t="s">
        <v>36</v>
      </c>
      <c r="H53" s="9" t="s">
        <v>12</v>
      </c>
      <c r="I53" s="9" t="s">
        <v>13</v>
      </c>
      <c r="J53" s="10" t="s">
        <v>37</v>
      </c>
      <c r="L53" s="134" t="s">
        <v>38</v>
      </c>
      <c r="N53" s="9" t="s">
        <v>34</v>
      </c>
      <c r="O53" s="9" t="s">
        <v>35</v>
      </c>
      <c r="P53" s="10" t="s">
        <v>36</v>
      </c>
      <c r="R53" s="9" t="s">
        <v>12</v>
      </c>
      <c r="S53" s="9" t="s">
        <v>13</v>
      </c>
      <c r="T53" s="10" t="s">
        <v>37</v>
      </c>
      <c r="V53" s="134" t="s">
        <v>38</v>
      </c>
      <c r="X53" s="9" t="s">
        <v>34</v>
      </c>
      <c r="Y53" s="9" t="s">
        <v>35</v>
      </c>
      <c r="Z53" s="10" t="s">
        <v>36</v>
      </c>
      <c r="AB53" s="9" t="s">
        <v>12</v>
      </c>
      <c r="AC53" s="9" t="s">
        <v>13</v>
      </c>
      <c r="AD53" s="10" t="s">
        <v>37</v>
      </c>
      <c r="AF53" s="233" t="s">
        <v>38</v>
      </c>
      <c r="AJ53" s="11"/>
      <c r="AN53" s="11"/>
      <c r="AP53" s="11"/>
      <c r="AT53" s="11"/>
      <c r="AX53" s="11"/>
      <c r="AZ53" s="11"/>
      <c r="BD53" s="11"/>
      <c r="BH53" s="11"/>
      <c r="BJ53" s="11"/>
      <c r="BN53" s="11"/>
      <c r="BR53" s="11"/>
      <c r="BT53" s="11"/>
      <c r="BY53" s="11"/>
      <c r="CC53" s="11"/>
      <c r="CE53" s="11"/>
    </row>
    <row r="54" spans="1:83" s="3" customFormat="1" ht="6.75" customHeight="1">
      <c r="A54" s="2"/>
    </row>
    <row r="55" spans="1:83" ht="13.5" customHeight="1">
      <c r="B55" t="s">
        <v>51</v>
      </c>
      <c r="D55" s="25">
        <v>1386</v>
      </c>
      <c r="E55" s="25">
        <f>+F55-D55</f>
        <v>316</v>
      </c>
      <c r="F55" s="25">
        <v>1702</v>
      </c>
      <c r="G55" s="116"/>
      <c r="H55" s="25">
        <f>2825-F55</f>
        <v>1123</v>
      </c>
      <c r="I55" s="25">
        <f t="shared" ref="I55:I56" si="8">J55-H55</f>
        <v>2282</v>
      </c>
      <c r="J55" s="25">
        <f t="shared" ref="J55:J57" si="9">L55-F55</f>
        <v>3405</v>
      </c>
      <c r="K55" s="25"/>
      <c r="L55" s="25">
        <v>5107</v>
      </c>
      <c r="N55" s="25">
        <v>-477</v>
      </c>
      <c r="O55" s="25">
        <f>+P55-N55</f>
        <v>244</v>
      </c>
      <c r="P55" s="25">
        <v>-233</v>
      </c>
      <c r="Q55" s="116"/>
      <c r="R55" s="25">
        <f>-1229-P55</f>
        <v>-996</v>
      </c>
      <c r="S55" s="25">
        <f>T55-R55</f>
        <v>4671</v>
      </c>
      <c r="T55" s="25">
        <f>V55-P55</f>
        <v>3675</v>
      </c>
      <c r="U55" s="25"/>
      <c r="V55" s="25">
        <v>3442</v>
      </c>
      <c r="X55" s="25">
        <v>1983</v>
      </c>
      <c r="Y55" s="25">
        <f>Z55-X55</f>
        <v>1198</v>
      </c>
      <c r="Z55" s="25">
        <v>3181</v>
      </c>
      <c r="AA55" s="116"/>
      <c r="AB55" s="183">
        <f>3405-Z55</f>
        <v>224</v>
      </c>
      <c r="AC55" s="25">
        <f>AD55-AB55</f>
        <v>3666</v>
      </c>
      <c r="AD55" s="25">
        <f>AF55-Z55</f>
        <v>3890</v>
      </c>
      <c r="AE55" s="25"/>
      <c r="AF55" s="25">
        <v>7071</v>
      </c>
      <c r="AH55" s="25"/>
      <c r="AI55" s="25"/>
      <c r="AJ55" s="25"/>
      <c r="AK55" s="116"/>
      <c r="AL55" s="25"/>
      <c r="AM55" s="25"/>
      <c r="AN55" s="25"/>
      <c r="AO55" s="25"/>
      <c r="AP55" s="25"/>
      <c r="AR55" s="25"/>
      <c r="AS55" s="25"/>
      <c r="AT55" s="25"/>
      <c r="AU55" s="116"/>
      <c r="AV55" s="25"/>
      <c r="AW55" s="25"/>
      <c r="AX55" s="25"/>
      <c r="AY55" s="25"/>
      <c r="AZ55" s="25"/>
      <c r="BB55" s="25"/>
      <c r="BC55" s="25"/>
      <c r="BD55" s="25"/>
      <c r="BE55" s="116"/>
      <c r="BF55" s="25"/>
      <c r="BG55" s="25"/>
      <c r="BH55" s="25"/>
      <c r="BI55" s="25"/>
      <c r="BJ55" s="25"/>
      <c r="BL55" s="25"/>
      <c r="BM55" s="25"/>
      <c r="BN55" s="74"/>
      <c r="BO55" s="116"/>
      <c r="BP55" s="25"/>
      <c r="BQ55" s="25"/>
      <c r="BR55" s="25"/>
      <c r="BS55" s="25"/>
      <c r="BT55" s="25"/>
      <c r="BW55" s="25"/>
      <c r="BX55" s="25"/>
      <c r="BY55" s="74"/>
      <c r="BZ55" s="116"/>
      <c r="CA55" s="25"/>
      <c r="CB55" s="25"/>
      <c r="CC55" s="25"/>
      <c r="CD55" s="25"/>
      <c r="CE55" s="25"/>
    </row>
    <row r="56" spans="1:83" ht="13.5" customHeight="1">
      <c r="B56" t="s">
        <v>52</v>
      </c>
      <c r="D56" s="25">
        <v>-1068</v>
      </c>
      <c r="E56" s="25">
        <f t="shared" ref="E56:E57" si="10">+F56-D56</f>
        <v>-798</v>
      </c>
      <c r="F56" s="25">
        <v>-1866</v>
      </c>
      <c r="G56" s="116"/>
      <c r="H56" s="25">
        <f>-2771-F56</f>
        <v>-905</v>
      </c>
      <c r="I56" s="25">
        <f t="shared" si="8"/>
        <v>-942</v>
      </c>
      <c r="J56" s="25">
        <f t="shared" si="9"/>
        <v>-1847</v>
      </c>
      <c r="K56" s="25"/>
      <c r="L56" s="25">
        <v>-3713</v>
      </c>
      <c r="N56" s="25">
        <v>-397</v>
      </c>
      <c r="O56" s="25">
        <f t="shared" ref="O56:O57" si="11">+P56-N56</f>
        <v>-958</v>
      </c>
      <c r="P56" s="25">
        <v>-1355</v>
      </c>
      <c r="Q56" s="116"/>
      <c r="R56" s="25">
        <f>-2085-P56</f>
        <v>-730</v>
      </c>
      <c r="S56" s="25">
        <f t="shared" ref="S56:S57" si="12">T56-R56</f>
        <v>16</v>
      </c>
      <c r="T56" s="25">
        <f>V56-P56</f>
        <v>-714</v>
      </c>
      <c r="U56" s="25"/>
      <c r="V56" s="25">
        <v>-2069</v>
      </c>
      <c r="X56" s="25">
        <v>-728</v>
      </c>
      <c r="Y56" s="25">
        <f t="shared" ref="Y56:Y58" si="13">Z56-X56</f>
        <v>-566</v>
      </c>
      <c r="Z56" s="25">
        <v>-1294</v>
      </c>
      <c r="AA56" s="116"/>
      <c r="AB56" s="183">
        <f>-1710-Z56</f>
        <v>-416</v>
      </c>
      <c r="AC56" s="25">
        <f t="shared" ref="AC56:AC58" si="14">AD56-AB56</f>
        <v>759</v>
      </c>
      <c r="AD56" s="25">
        <f t="shared" ref="AD56:AD58" si="15">AF56-Z56</f>
        <v>343</v>
      </c>
      <c r="AE56" s="25"/>
      <c r="AF56" s="25">
        <v>-951</v>
      </c>
      <c r="AH56" s="25"/>
      <c r="AI56" s="25"/>
      <c r="AJ56" s="25"/>
      <c r="AK56" s="116"/>
      <c r="AL56" s="25"/>
      <c r="AM56" s="25"/>
      <c r="AN56" s="25"/>
      <c r="AO56" s="25"/>
      <c r="AP56" s="25"/>
      <c r="AR56" s="25"/>
      <c r="AS56" s="25"/>
      <c r="AT56" s="25"/>
      <c r="AU56" s="116"/>
      <c r="AV56" s="25"/>
      <c r="AW56" s="25"/>
      <c r="AX56" s="25"/>
      <c r="AY56" s="25"/>
      <c r="AZ56" s="25"/>
      <c r="BB56" s="25"/>
      <c r="BC56" s="25"/>
      <c r="BD56" s="25"/>
      <c r="BE56" s="116"/>
      <c r="BF56" s="25"/>
      <c r="BG56" s="25"/>
      <c r="BH56" s="25"/>
      <c r="BI56" s="25"/>
      <c r="BJ56" s="25"/>
      <c r="BL56" s="25"/>
      <c r="BM56" s="25"/>
      <c r="BN56" s="25"/>
      <c r="BO56" s="116"/>
      <c r="BP56" s="25"/>
      <c r="BQ56" s="25"/>
      <c r="BR56" s="25"/>
      <c r="BS56" s="25"/>
      <c r="BT56" s="25"/>
      <c r="BW56" s="25"/>
      <c r="BX56" s="25"/>
      <c r="BY56" s="25"/>
      <c r="BZ56" s="116"/>
      <c r="CA56" s="25"/>
      <c r="CB56" s="25"/>
      <c r="CC56" s="25"/>
      <c r="CD56" s="25"/>
      <c r="CE56" s="25"/>
    </row>
    <row r="57" spans="1:83" ht="13.5" customHeight="1">
      <c r="B57" t="s">
        <v>53</v>
      </c>
      <c r="D57" s="25">
        <v>-266</v>
      </c>
      <c r="E57" s="25">
        <f t="shared" si="10"/>
        <v>126</v>
      </c>
      <c r="F57" s="25">
        <v>-140</v>
      </c>
      <c r="G57" s="116"/>
      <c r="H57" s="25">
        <f>-148-F57</f>
        <v>-8</v>
      </c>
      <c r="I57" s="25">
        <f>J57-H57</f>
        <v>-1050</v>
      </c>
      <c r="J57" s="25">
        <f t="shared" si="9"/>
        <v>-1058</v>
      </c>
      <c r="K57" s="25"/>
      <c r="L57" s="25">
        <v>-1198</v>
      </c>
      <c r="N57" s="25">
        <v>-921</v>
      </c>
      <c r="O57" s="25">
        <f t="shared" si="11"/>
        <v>2533</v>
      </c>
      <c r="P57" s="25">
        <v>1612</v>
      </c>
      <c r="Q57" s="116"/>
      <c r="R57" s="25">
        <f>2874-P57</f>
        <v>1262</v>
      </c>
      <c r="S57" s="25">
        <f t="shared" si="12"/>
        <v>-4841</v>
      </c>
      <c r="T57" s="25">
        <f>V57-P57</f>
        <v>-3579</v>
      </c>
      <c r="U57" s="25"/>
      <c r="V57" s="25">
        <v>-1967</v>
      </c>
      <c r="X57" s="25">
        <v>-1465</v>
      </c>
      <c r="Y57" s="25">
        <f t="shared" si="13"/>
        <v>-379</v>
      </c>
      <c r="Z57" s="25">
        <v>-1844</v>
      </c>
      <c r="AA57" s="116"/>
      <c r="AB57" s="183">
        <f>-1917-Z57</f>
        <v>-73</v>
      </c>
      <c r="AC57" s="25">
        <f t="shared" si="14"/>
        <v>-3165</v>
      </c>
      <c r="AD57" s="25">
        <f t="shared" si="15"/>
        <v>-3238</v>
      </c>
      <c r="AE57" s="25"/>
      <c r="AF57" s="25">
        <v>-5082</v>
      </c>
      <c r="AH57" s="25"/>
      <c r="AI57" s="25"/>
      <c r="AJ57" s="25"/>
      <c r="AK57" s="116"/>
      <c r="AL57" s="25"/>
      <c r="AM57" s="25"/>
      <c r="AN57" s="25"/>
      <c r="AO57" s="25"/>
      <c r="AP57" s="25"/>
      <c r="AR57" s="25"/>
      <c r="AS57" s="25"/>
      <c r="AT57" s="25"/>
      <c r="AU57" s="116"/>
      <c r="AV57" s="25"/>
      <c r="AW57" s="25"/>
      <c r="AX57" s="25"/>
      <c r="AY57" s="25"/>
      <c r="AZ57" s="25"/>
      <c r="BB57" s="25"/>
      <c r="BC57" s="25"/>
      <c r="BD57" s="25"/>
      <c r="BE57" s="116"/>
      <c r="BF57" s="25"/>
      <c r="BG57" s="25"/>
      <c r="BH57" s="25"/>
      <c r="BI57" s="25"/>
      <c r="BJ57" s="25"/>
      <c r="BL57" s="25"/>
      <c r="BM57" s="25"/>
      <c r="BN57" s="25"/>
      <c r="BO57" s="116"/>
      <c r="BP57" s="25"/>
      <c r="BQ57" s="25"/>
      <c r="BR57" s="25"/>
      <c r="BS57" s="25"/>
      <c r="BT57" s="25"/>
      <c r="BW57" s="25"/>
      <c r="BX57" s="25"/>
      <c r="BY57" s="25"/>
      <c r="BZ57" s="116"/>
      <c r="CA57" s="25"/>
      <c r="CB57" s="25"/>
      <c r="CC57" s="25"/>
      <c r="CD57" s="25"/>
      <c r="CE57" s="25"/>
    </row>
    <row r="58" spans="1:83" ht="13.5" customHeight="1">
      <c r="B58" s="27" t="s">
        <v>55</v>
      </c>
      <c r="C58" s="27"/>
      <c r="D58" s="28">
        <v>52</v>
      </c>
      <c r="E58" s="28">
        <f>+F58-D58</f>
        <v>-356</v>
      </c>
      <c r="F58" s="28">
        <v>-304</v>
      </c>
      <c r="G58" s="117"/>
      <c r="H58" s="28">
        <f>-94-F58</f>
        <v>210</v>
      </c>
      <c r="I58" s="28">
        <f>J58-H58</f>
        <v>290</v>
      </c>
      <c r="J58" s="28">
        <f>L58-F58</f>
        <v>500</v>
      </c>
      <c r="K58" s="28"/>
      <c r="L58" s="28">
        <v>196</v>
      </c>
      <c r="M58" s="27"/>
      <c r="N58" s="28">
        <v>-1795</v>
      </c>
      <c r="O58" s="28">
        <f>+P58-N58</f>
        <v>1819</v>
      </c>
      <c r="P58" s="28">
        <v>24</v>
      </c>
      <c r="Q58" s="117"/>
      <c r="R58" s="28">
        <f>-441-P58</f>
        <v>-465</v>
      </c>
      <c r="S58" s="28">
        <f>T58-R58</f>
        <v>-153</v>
      </c>
      <c r="T58" s="28">
        <f>V58-P58</f>
        <v>-618</v>
      </c>
      <c r="U58" s="28"/>
      <c r="V58" s="28">
        <v>-594</v>
      </c>
      <c r="W58" s="27"/>
      <c r="X58" s="28">
        <v>-210</v>
      </c>
      <c r="Y58" s="28">
        <f t="shared" si="13"/>
        <v>253</v>
      </c>
      <c r="Z58" s="28">
        <v>43</v>
      </c>
      <c r="AA58" s="117"/>
      <c r="AB58" s="218">
        <v>-265</v>
      </c>
      <c r="AC58" s="28">
        <f t="shared" si="14"/>
        <v>1260</v>
      </c>
      <c r="AD58" s="28">
        <f t="shared" si="15"/>
        <v>995</v>
      </c>
      <c r="AE58" s="28"/>
      <c r="AF58" s="28">
        <v>1038</v>
      </c>
      <c r="AH58" s="25"/>
      <c r="AI58" s="25"/>
      <c r="AJ58" s="25"/>
      <c r="AK58" s="116"/>
      <c r="AL58" s="25"/>
      <c r="AM58" s="25"/>
      <c r="AN58" s="25"/>
      <c r="AO58" s="25"/>
      <c r="AP58" s="25"/>
      <c r="AR58" s="25"/>
      <c r="AS58" s="25"/>
      <c r="AT58" s="25"/>
      <c r="AU58" s="116"/>
      <c r="AV58" s="25"/>
      <c r="AW58" s="25"/>
      <c r="AX58" s="25"/>
      <c r="AY58" s="25"/>
      <c r="AZ58" s="25"/>
      <c r="BB58" s="25"/>
      <c r="BC58" s="25"/>
      <c r="BD58" s="25"/>
      <c r="BE58" s="116"/>
      <c r="BF58" s="25"/>
      <c r="BG58" s="25"/>
      <c r="BH58" s="25"/>
      <c r="BI58" s="25"/>
      <c r="BJ58" s="25"/>
      <c r="BL58" s="25"/>
      <c r="BM58" s="25"/>
      <c r="BN58" s="25"/>
      <c r="BO58" s="116"/>
      <c r="BP58" s="25"/>
      <c r="BQ58" s="25"/>
      <c r="BR58" s="25"/>
      <c r="BS58" s="25"/>
      <c r="BT58" s="25"/>
      <c r="BW58" s="25"/>
      <c r="BX58" s="25"/>
      <c r="BY58" s="25"/>
      <c r="BZ58" s="116"/>
      <c r="CA58" s="25"/>
      <c r="CB58" s="25"/>
      <c r="CC58" s="25"/>
      <c r="CD58" s="25"/>
      <c r="CE58" s="25"/>
    </row>
    <row r="59" spans="1:83" ht="13.5" customHeight="1">
      <c r="B59" s="27" t="s">
        <v>56</v>
      </c>
      <c r="C59" s="27"/>
      <c r="D59" s="28">
        <f>+V62</f>
        <v>3789</v>
      </c>
      <c r="E59" s="28">
        <f>+D62</f>
        <v>3770</v>
      </c>
      <c r="F59" s="28">
        <v>3789</v>
      </c>
      <c r="G59" s="117"/>
      <c r="H59" s="28">
        <f>+F62</f>
        <v>3413</v>
      </c>
      <c r="I59" s="28">
        <f>+H62</f>
        <v>3647</v>
      </c>
      <c r="J59" s="28">
        <f>+F62</f>
        <v>3413</v>
      </c>
      <c r="K59" s="28"/>
      <c r="L59" s="28">
        <v>3789</v>
      </c>
      <c r="M59" s="27"/>
      <c r="N59" s="28">
        <v>4371</v>
      </c>
      <c r="O59" s="28">
        <f>+N62</f>
        <v>2573</v>
      </c>
      <c r="P59" s="28">
        <v>4371</v>
      </c>
      <c r="Q59" s="117"/>
      <c r="R59" s="28">
        <f>+P62</f>
        <v>4475</v>
      </c>
      <c r="S59" s="28">
        <f>+R62</f>
        <v>3954</v>
      </c>
      <c r="T59" s="28">
        <f>+P62</f>
        <v>4475</v>
      </c>
      <c r="U59" s="28"/>
      <c r="V59" s="28">
        <f>+N59</f>
        <v>4371</v>
      </c>
      <c r="W59" s="27"/>
      <c r="X59" s="28">
        <v>3430</v>
      </c>
      <c r="Y59" s="28">
        <f>X62</f>
        <v>3218</v>
      </c>
      <c r="Z59" s="28">
        <f>X59</f>
        <v>3430</v>
      </c>
      <c r="AA59" s="117"/>
      <c r="AB59" s="218">
        <f>Z62</f>
        <v>3484</v>
      </c>
      <c r="AC59" s="28">
        <f>+AB62</f>
        <v>3224</v>
      </c>
      <c r="AD59" s="28">
        <f>+Z62</f>
        <v>3484</v>
      </c>
      <c r="AE59" s="28"/>
      <c r="AF59" s="28">
        <v>3430</v>
      </c>
      <c r="AH59" s="25"/>
      <c r="AI59" s="25"/>
      <c r="AJ59" s="25"/>
      <c r="AK59" s="116"/>
      <c r="AL59" s="25"/>
      <c r="AM59" s="25"/>
      <c r="AN59" s="25"/>
      <c r="AO59" s="25"/>
      <c r="AP59" s="25"/>
      <c r="AR59" s="25"/>
      <c r="AS59" s="25"/>
      <c r="AT59" s="25"/>
      <c r="AU59" s="116"/>
      <c r="AV59" s="25"/>
      <c r="AW59" s="25"/>
      <c r="AX59" s="25"/>
      <c r="AY59" s="25"/>
      <c r="AZ59" s="25"/>
      <c r="BB59" s="25"/>
      <c r="BC59" s="25"/>
      <c r="BD59" s="25"/>
      <c r="BE59" s="116"/>
      <c r="BF59" s="25"/>
      <c r="BG59" s="25"/>
      <c r="BH59" s="25"/>
      <c r="BI59" s="25"/>
      <c r="BJ59" s="25"/>
      <c r="BL59" s="25"/>
      <c r="BM59" s="25"/>
      <c r="BN59" s="25"/>
      <c r="BO59" s="116"/>
      <c r="BP59" s="25"/>
      <c r="BQ59" s="25"/>
      <c r="BR59" s="25"/>
      <c r="BS59" s="25"/>
      <c r="BT59" s="25"/>
      <c r="BW59" s="25"/>
      <c r="BX59" s="25"/>
      <c r="BY59" s="25"/>
      <c r="BZ59" s="116"/>
      <c r="CA59" s="25"/>
      <c r="CB59" s="25"/>
      <c r="CC59" s="25"/>
      <c r="CD59" s="25"/>
      <c r="CE59" s="25"/>
    </row>
    <row r="60" spans="1:83" s="3" customFormat="1" ht="13.5" customHeight="1">
      <c r="A60" s="2"/>
      <c r="B60" s="27" t="s">
        <v>167</v>
      </c>
      <c r="C60" s="30"/>
      <c r="D60" s="28">
        <v>-63</v>
      </c>
      <c r="E60" s="28">
        <f t="shared" ref="E60" si="16">+F60-D60</f>
        <v>-9</v>
      </c>
      <c r="F60" s="28">
        <v>-72</v>
      </c>
      <c r="G60" s="117"/>
      <c r="H60" s="28">
        <f>-49-F60+1</f>
        <v>24</v>
      </c>
      <c r="I60" s="28">
        <f>J60-H60</f>
        <v>-4</v>
      </c>
      <c r="J60" s="28">
        <f>L60-F60</f>
        <v>20</v>
      </c>
      <c r="K60" s="28"/>
      <c r="L60" s="28">
        <v>-52</v>
      </c>
      <c r="M60" s="30"/>
      <c r="N60" s="28">
        <v>-3</v>
      </c>
      <c r="O60" s="28">
        <f t="shared" ref="O60" si="17">+P60-N60</f>
        <v>83</v>
      </c>
      <c r="P60" s="28">
        <v>80</v>
      </c>
      <c r="Q60" s="117"/>
      <c r="R60" s="28">
        <f>24-P60</f>
        <v>-56</v>
      </c>
      <c r="S60" s="28">
        <f>T60-R60</f>
        <v>-12</v>
      </c>
      <c r="T60" s="28">
        <f>V60-P60</f>
        <v>-68</v>
      </c>
      <c r="U60" s="28"/>
      <c r="V60" s="28">
        <v>12</v>
      </c>
      <c r="W60" s="30"/>
      <c r="X60" s="28">
        <v>-2</v>
      </c>
      <c r="Y60" s="28">
        <f t="shared" ref="Y60" si="18">Z60-X60</f>
        <v>13</v>
      </c>
      <c r="Z60" s="28">
        <v>11</v>
      </c>
      <c r="AA60" s="117"/>
      <c r="AB60" s="218">
        <f>16-Z60</f>
        <v>5</v>
      </c>
      <c r="AC60" s="28">
        <f t="shared" ref="AC60" si="19">AD60-AB60</f>
        <v>-99</v>
      </c>
      <c r="AD60" s="28">
        <f t="shared" ref="AD60" si="20">AF60-Z60</f>
        <v>-94</v>
      </c>
      <c r="AE60" s="28"/>
      <c r="AF60" s="28">
        <v>-83</v>
      </c>
      <c r="AH60" s="25"/>
      <c r="AI60" s="25"/>
      <c r="AJ60" s="25"/>
      <c r="AK60" s="116"/>
      <c r="AL60" s="25"/>
      <c r="AM60" s="25"/>
      <c r="AN60" s="25"/>
      <c r="AO60" s="25"/>
      <c r="AP60" s="25"/>
      <c r="AR60" s="25"/>
      <c r="AS60" s="25"/>
      <c r="AT60" s="25"/>
      <c r="AU60" s="116"/>
      <c r="AV60" s="25"/>
      <c r="AW60" s="25"/>
      <c r="AX60" s="25"/>
      <c r="AY60" s="25"/>
      <c r="AZ60" s="25"/>
      <c r="BB60" s="25"/>
      <c r="BC60" s="25"/>
      <c r="BD60" s="25"/>
      <c r="BE60" s="116"/>
      <c r="BF60" s="25"/>
      <c r="BG60" s="25"/>
      <c r="BH60" s="25"/>
      <c r="BI60" s="25"/>
      <c r="BJ60" s="25"/>
      <c r="BL60" s="25"/>
      <c r="BM60" s="25"/>
      <c r="BN60" s="25"/>
      <c r="BO60" s="116"/>
      <c r="BP60" s="25"/>
      <c r="BQ60" s="25"/>
      <c r="BR60" s="25"/>
      <c r="BS60" s="25"/>
      <c r="BT60" s="25"/>
      <c r="BW60" s="25"/>
      <c r="BX60" s="25"/>
      <c r="BY60" s="25"/>
      <c r="BZ60" s="116"/>
      <c r="CA60" s="25"/>
      <c r="CB60" s="25"/>
      <c r="CC60" s="25"/>
      <c r="CD60" s="25"/>
      <c r="CE60" s="25"/>
    </row>
    <row r="61" spans="1:83" s="3" customFormat="1" ht="13.5" customHeight="1">
      <c r="A61" s="2"/>
      <c r="B61" s="34" t="s">
        <v>172</v>
      </c>
      <c r="C61" s="35"/>
      <c r="D61" s="242">
        <v>-8</v>
      </c>
      <c r="E61" s="108"/>
      <c r="F61" s="108"/>
      <c r="G61" s="119"/>
      <c r="H61" s="28"/>
      <c r="I61" s="28"/>
      <c r="J61" s="28"/>
      <c r="K61" s="28"/>
      <c r="L61" s="236"/>
      <c r="M61" s="35"/>
      <c r="N61" s="108"/>
      <c r="O61" s="108"/>
      <c r="P61" s="108"/>
      <c r="Q61" s="119"/>
      <c r="R61" s="28"/>
      <c r="S61" s="28"/>
      <c r="T61" s="28"/>
      <c r="U61" s="28"/>
      <c r="V61" s="235"/>
      <c r="W61" s="35"/>
      <c r="X61" s="108"/>
      <c r="Y61" s="108"/>
      <c r="Z61" s="108"/>
      <c r="AA61" s="119"/>
      <c r="AB61" s="218"/>
      <c r="AC61" s="28">
        <v>-14</v>
      </c>
      <c r="AD61" s="28">
        <v>-14</v>
      </c>
      <c r="AE61" s="28"/>
      <c r="AF61" s="28">
        <v>-14</v>
      </c>
      <c r="AH61" s="25"/>
      <c r="AI61" s="25"/>
      <c r="AJ61" s="25"/>
      <c r="AK61" s="116"/>
      <c r="AL61" s="25"/>
      <c r="AM61" s="25"/>
      <c r="AN61" s="25"/>
      <c r="AO61" s="25"/>
      <c r="AP61" s="25"/>
      <c r="AR61" s="25"/>
      <c r="AS61" s="25"/>
      <c r="AT61" s="25"/>
      <c r="AU61" s="116"/>
      <c r="AV61" s="25"/>
      <c r="AW61" s="25"/>
      <c r="AX61" s="25"/>
      <c r="AY61" s="25"/>
      <c r="AZ61" s="25"/>
      <c r="BB61" s="25"/>
      <c r="BC61" s="25"/>
      <c r="BD61" s="25"/>
      <c r="BE61" s="116"/>
      <c r="BF61" s="25"/>
      <c r="BG61" s="25"/>
      <c r="BH61" s="25"/>
      <c r="BI61" s="25"/>
      <c r="BJ61" s="25"/>
      <c r="BL61" s="25"/>
      <c r="BM61" s="25"/>
      <c r="BN61" s="25"/>
      <c r="BO61" s="116"/>
      <c r="BP61" s="25"/>
      <c r="BQ61" s="25"/>
      <c r="BR61" s="25"/>
      <c r="BS61" s="25"/>
      <c r="BT61" s="25"/>
      <c r="BW61" s="25"/>
      <c r="BX61" s="25"/>
      <c r="BY61" s="25"/>
      <c r="BZ61" s="116"/>
      <c r="CA61" s="25"/>
      <c r="CB61" s="25"/>
      <c r="CC61" s="25"/>
      <c r="CD61" s="25"/>
      <c r="CE61" s="25"/>
    </row>
    <row r="62" spans="1:83" s="3" customFormat="1" ht="13.5" customHeight="1">
      <c r="A62" s="2"/>
      <c r="B62" s="34" t="s">
        <v>58</v>
      </c>
      <c r="C62" s="35"/>
      <c r="D62" s="108">
        <f>+SUM(D58:D61)</f>
        <v>3770</v>
      </c>
      <c r="E62" s="108">
        <f>+E58+E59+E60</f>
        <v>3405</v>
      </c>
      <c r="F62" s="108">
        <v>3413</v>
      </c>
      <c r="G62" s="119"/>
      <c r="H62" s="108">
        <f>+H59+H58+H60</f>
        <v>3647</v>
      </c>
      <c r="I62" s="108">
        <f>+I59+I58+I60</f>
        <v>3933</v>
      </c>
      <c r="J62" s="108">
        <f>+J59+J58+J60</f>
        <v>3933</v>
      </c>
      <c r="K62" s="162"/>
      <c r="L62" s="162">
        <v>3933</v>
      </c>
      <c r="M62" s="35"/>
      <c r="N62" s="108">
        <v>2573</v>
      </c>
      <c r="O62" s="108">
        <f>+O58+O59+O60</f>
        <v>4475</v>
      </c>
      <c r="P62" s="108">
        <v>4475</v>
      </c>
      <c r="Q62" s="119"/>
      <c r="R62" s="108">
        <f>+R59+R58+R60</f>
        <v>3954</v>
      </c>
      <c r="S62" s="108">
        <f>+S59+S58+S60</f>
        <v>3789</v>
      </c>
      <c r="T62" s="108">
        <f>+T59+T58+T60</f>
        <v>3789</v>
      </c>
      <c r="U62" s="162"/>
      <c r="V62" s="162">
        <v>3789</v>
      </c>
      <c r="W62" s="35"/>
      <c r="X62" s="36">
        <v>3218</v>
      </c>
      <c r="Y62" s="36">
        <f>Y58+Y59+Y60</f>
        <v>3484</v>
      </c>
      <c r="Z62" s="36">
        <v>3484</v>
      </c>
      <c r="AA62" s="119"/>
      <c r="AB62" s="219">
        <v>3224</v>
      </c>
      <c r="AC62" s="162">
        <v>4371</v>
      </c>
      <c r="AD62" s="162">
        <v>4371</v>
      </c>
      <c r="AE62" s="162"/>
      <c r="AF62" s="162">
        <v>4371</v>
      </c>
      <c r="AH62" s="25"/>
      <c r="AI62" s="25"/>
      <c r="AJ62" s="25"/>
      <c r="AK62" s="116"/>
      <c r="AL62" s="25"/>
      <c r="AM62" s="25"/>
      <c r="AN62" s="25"/>
      <c r="AO62" s="25"/>
      <c r="AP62" s="25"/>
      <c r="AR62" s="25"/>
      <c r="AS62" s="25"/>
      <c r="AT62" s="25"/>
      <c r="AU62" s="116"/>
      <c r="AV62" s="25"/>
      <c r="AW62" s="25"/>
      <c r="AX62" s="25"/>
      <c r="AY62" s="25"/>
      <c r="AZ62" s="25"/>
      <c r="BB62" s="25"/>
      <c r="BC62" s="25"/>
      <c r="BD62" s="25"/>
      <c r="BE62" s="116"/>
      <c r="BF62" s="25"/>
      <c r="BG62" s="25"/>
      <c r="BH62" s="25"/>
      <c r="BI62" s="25"/>
      <c r="BJ62" s="25"/>
      <c r="BL62" s="25"/>
      <c r="BM62" s="25"/>
      <c r="BN62" s="25"/>
      <c r="BO62" s="116"/>
      <c r="BP62" s="25"/>
      <c r="BQ62" s="25"/>
      <c r="BR62" s="25"/>
      <c r="BS62" s="25"/>
      <c r="BT62" s="25"/>
      <c r="BW62" s="25"/>
      <c r="BX62" s="25"/>
      <c r="BY62" s="25"/>
      <c r="BZ62" s="116"/>
      <c r="CA62" s="25"/>
      <c r="CB62" s="25"/>
      <c r="CC62" s="25"/>
      <c r="CD62" s="25"/>
      <c r="CE62" s="25"/>
    </row>
    <row r="63" spans="1:83" s="3" customFormat="1" ht="17.25" customHeight="1">
      <c r="A63" s="2"/>
      <c r="D63" s="24"/>
      <c r="E63" s="24"/>
      <c r="F63" s="24"/>
      <c r="N63" s="24"/>
      <c r="O63" s="24"/>
      <c r="P63" s="24"/>
      <c r="X63" s="24"/>
      <c r="Y63" s="24"/>
      <c r="Z63" s="24"/>
      <c r="AH63" s="24"/>
      <c r="AI63" s="24"/>
      <c r="AJ63" s="24"/>
      <c r="AR63" s="24"/>
      <c r="AS63" s="24"/>
      <c r="AT63" s="24"/>
      <c r="BB63" s="24"/>
      <c r="BC63" s="24"/>
      <c r="BD63" s="24"/>
      <c r="BL63" s="24"/>
      <c r="BM63" s="24"/>
      <c r="BN63" s="24"/>
      <c r="BW63" s="24"/>
      <c r="BX63" s="24"/>
      <c r="BY63" s="24"/>
    </row>
    <row r="64" spans="1:83" s="3" customFormat="1" ht="16.2">
      <c r="A64" s="4" t="s">
        <v>59</v>
      </c>
    </row>
    <row r="65" spans="2:83">
      <c r="D65" s="132" t="str">
        <f>D5</f>
        <v>2019年度　（2019年4月-2020年3月）</v>
      </c>
      <c r="E65" s="132"/>
      <c r="F65" s="132"/>
      <c r="G65" s="132"/>
      <c r="H65" s="132"/>
      <c r="I65" s="132"/>
      <c r="J65" s="132"/>
      <c r="K65" s="132"/>
      <c r="L65" s="132"/>
      <c r="N65" s="132" t="str">
        <f>N5</f>
        <v>2018年度　（2018年4月-2019年3月）</v>
      </c>
      <c r="O65" s="132"/>
      <c r="P65" s="132"/>
      <c r="Q65" s="132"/>
      <c r="R65" s="132"/>
      <c r="S65" s="132"/>
      <c r="T65" s="132"/>
      <c r="U65" s="132"/>
      <c r="V65" s="132"/>
      <c r="X65" s="231" t="str">
        <f>X5</f>
        <v>2017年度　（2017年4月-2018年3月）</v>
      </c>
      <c r="Y65" s="231"/>
      <c r="Z65" s="231"/>
      <c r="AA65" s="231"/>
      <c r="AB65" s="231"/>
      <c r="AC65" s="231"/>
      <c r="AD65" s="231"/>
      <c r="AE65" s="231"/>
      <c r="AF65" s="231"/>
      <c r="AH65" s="5"/>
      <c r="AI65" s="5"/>
      <c r="AJ65" s="5"/>
      <c r="AK65" s="5"/>
      <c r="AL65" s="5"/>
      <c r="AM65" s="5"/>
      <c r="AN65" s="5"/>
      <c r="AO65" s="5"/>
      <c r="AP65" s="5"/>
      <c r="AR65" s="5"/>
      <c r="AS65" s="5"/>
      <c r="AT65" s="5"/>
      <c r="AU65" s="5"/>
      <c r="AV65" s="5"/>
      <c r="AW65" s="5"/>
      <c r="AX65" s="5"/>
      <c r="AY65" s="5"/>
      <c r="AZ65" s="5"/>
      <c r="BB65" s="5"/>
      <c r="BC65" s="5"/>
      <c r="BD65" s="5"/>
      <c r="BE65" s="5"/>
      <c r="BF65" s="5"/>
      <c r="BG65" s="5"/>
      <c r="BH65" s="5"/>
      <c r="BI65" s="5"/>
      <c r="BJ65" s="5"/>
      <c r="BL65" s="5"/>
      <c r="BM65" s="5"/>
      <c r="BN65" s="5"/>
      <c r="BO65" s="5"/>
      <c r="BP65" s="5"/>
      <c r="BQ65" s="5"/>
      <c r="BR65" s="5"/>
      <c r="BS65" s="5"/>
      <c r="BT65" s="5"/>
      <c r="BW65" s="5"/>
      <c r="BX65" s="5"/>
      <c r="BY65" s="5"/>
      <c r="BZ65" s="5"/>
      <c r="CA65" s="5"/>
      <c r="CB65" s="5"/>
      <c r="CC65" s="5"/>
      <c r="CD65" s="5"/>
      <c r="CE65" s="5"/>
    </row>
    <row r="66" spans="2:83" ht="3.75" customHeight="1">
      <c r="D66" s="5"/>
      <c r="E66" s="5"/>
      <c r="F66" s="5"/>
      <c r="G66" s="5"/>
      <c r="H66" s="5"/>
      <c r="I66" s="5"/>
      <c r="J66" s="5"/>
      <c r="K66" s="5"/>
      <c r="L66" s="132"/>
      <c r="N66" s="5"/>
      <c r="O66" s="5"/>
      <c r="P66" s="5"/>
      <c r="Q66" s="5"/>
      <c r="R66" s="5"/>
      <c r="S66" s="5"/>
      <c r="T66" s="5"/>
      <c r="U66" s="5"/>
      <c r="V66" s="132"/>
      <c r="X66" s="5"/>
      <c r="Y66" s="5"/>
      <c r="Z66" s="5"/>
      <c r="AA66" s="5"/>
      <c r="AB66" s="5"/>
      <c r="AC66" s="5"/>
      <c r="AD66" s="5"/>
      <c r="AE66" s="5"/>
      <c r="AF66" s="231"/>
      <c r="AH66" s="5"/>
      <c r="AI66" s="5"/>
      <c r="AJ66" s="5"/>
      <c r="AK66" s="5"/>
      <c r="AL66" s="5"/>
      <c r="AM66" s="5"/>
      <c r="AN66" s="5"/>
      <c r="AO66" s="5"/>
      <c r="AP66" s="5"/>
      <c r="AR66" s="5"/>
      <c r="AS66" s="5"/>
      <c r="AT66" s="5"/>
      <c r="AU66" s="5"/>
      <c r="AV66" s="5"/>
      <c r="AW66" s="5"/>
      <c r="AX66" s="5"/>
      <c r="AY66" s="5"/>
      <c r="AZ66" s="5"/>
      <c r="BB66" s="5"/>
      <c r="BC66" s="5"/>
      <c r="BD66" s="5"/>
      <c r="BE66" s="5"/>
      <c r="BF66" s="5"/>
      <c r="BG66" s="5"/>
      <c r="BH66" s="5"/>
      <c r="BI66" s="5"/>
      <c r="BJ66" s="5"/>
      <c r="BL66" s="5"/>
      <c r="BM66" s="5"/>
      <c r="BN66" s="5"/>
      <c r="BO66" s="5"/>
      <c r="BP66" s="5"/>
      <c r="BQ66" s="5"/>
      <c r="BR66" s="5"/>
      <c r="BS66" s="5"/>
      <c r="BT66" s="5"/>
      <c r="BW66" s="5"/>
      <c r="BX66" s="5"/>
      <c r="BY66" s="5"/>
      <c r="BZ66" s="5"/>
      <c r="CA66" s="5"/>
      <c r="CB66" s="5"/>
      <c r="CC66" s="5"/>
      <c r="CD66" s="5"/>
      <c r="CE66" s="5"/>
    </row>
    <row r="67" spans="2:83">
      <c r="D67" s="6"/>
      <c r="E67" s="6"/>
      <c r="F67" s="7" t="s">
        <v>28</v>
      </c>
      <c r="H67" s="7"/>
      <c r="I67" s="7"/>
      <c r="J67" s="7" t="s">
        <v>29</v>
      </c>
      <c r="L67" s="133" t="s">
        <v>30</v>
      </c>
      <c r="N67" s="6"/>
      <c r="O67" s="6"/>
      <c r="P67" s="7" t="s">
        <v>28</v>
      </c>
      <c r="R67" s="7"/>
      <c r="S67" s="7"/>
      <c r="T67" s="7" t="s">
        <v>29</v>
      </c>
      <c r="V67" s="133" t="s">
        <v>30</v>
      </c>
      <c r="X67" s="6"/>
      <c r="Y67" s="6"/>
      <c r="Z67" s="7" t="s">
        <v>28</v>
      </c>
      <c r="AB67" s="7"/>
      <c r="AC67" s="7"/>
      <c r="AD67" s="7" t="s">
        <v>29</v>
      </c>
      <c r="AF67" s="232" t="s">
        <v>30</v>
      </c>
      <c r="AJ67" s="8"/>
      <c r="AL67" s="8"/>
      <c r="AM67" s="8"/>
      <c r="AN67" s="8"/>
      <c r="AP67" s="8"/>
      <c r="AT67" s="8"/>
      <c r="AV67" s="8"/>
      <c r="AW67" s="8"/>
      <c r="AX67" s="8"/>
      <c r="AZ67" s="8"/>
      <c r="BD67" s="8"/>
      <c r="BF67" s="8"/>
      <c r="BG67" s="8"/>
      <c r="BH67" s="8"/>
      <c r="BJ67" s="8"/>
      <c r="BN67" s="8"/>
      <c r="BP67" s="8"/>
      <c r="BQ67" s="8"/>
      <c r="BR67" s="8"/>
      <c r="BT67" s="8"/>
      <c r="BY67" s="8"/>
      <c r="CA67" s="8"/>
      <c r="CB67" s="8"/>
      <c r="CC67" s="8"/>
      <c r="CE67" s="8"/>
    </row>
    <row r="68" spans="2:83" s="9" customFormat="1" ht="10.8">
      <c r="D68" s="9" t="s">
        <v>31</v>
      </c>
      <c r="E68" s="9" t="s">
        <v>32</v>
      </c>
      <c r="F68" s="10" t="s">
        <v>33</v>
      </c>
      <c r="H68" s="9" t="s">
        <v>7</v>
      </c>
      <c r="I68" s="9" t="s">
        <v>8</v>
      </c>
      <c r="J68" s="10"/>
      <c r="L68" s="134"/>
      <c r="N68" s="9" t="s">
        <v>31</v>
      </c>
      <c r="O68" s="9" t="s">
        <v>32</v>
      </c>
      <c r="P68" s="10" t="s">
        <v>33</v>
      </c>
      <c r="R68" s="9" t="s">
        <v>7</v>
      </c>
      <c r="S68" s="9" t="s">
        <v>8</v>
      </c>
      <c r="T68" s="10"/>
      <c r="V68" s="134"/>
      <c r="X68" s="9" t="s">
        <v>31</v>
      </c>
      <c r="Y68" s="9" t="s">
        <v>32</v>
      </c>
      <c r="Z68" s="10" t="s">
        <v>33</v>
      </c>
      <c r="AB68" s="9" t="s">
        <v>7</v>
      </c>
      <c r="AC68" s="9" t="s">
        <v>8</v>
      </c>
      <c r="AD68" s="10"/>
      <c r="AF68" s="233"/>
      <c r="AJ68" s="11"/>
      <c r="AN68" s="11"/>
      <c r="AP68" s="11"/>
      <c r="AT68" s="11"/>
      <c r="AX68" s="11"/>
      <c r="AZ68" s="11"/>
      <c r="BD68" s="11"/>
      <c r="BH68" s="11"/>
      <c r="BJ68" s="11"/>
      <c r="BN68" s="11"/>
      <c r="BR68" s="11"/>
      <c r="BT68" s="11"/>
      <c r="BY68" s="11"/>
      <c r="CC68" s="11"/>
      <c r="CE68" s="11"/>
    </row>
    <row r="69" spans="2:83" s="9" customFormat="1" ht="10.8">
      <c r="D69" s="9" t="s">
        <v>34</v>
      </c>
      <c r="E69" s="9" t="s">
        <v>35</v>
      </c>
      <c r="F69" s="10" t="s">
        <v>36</v>
      </c>
      <c r="H69" s="9" t="s">
        <v>12</v>
      </c>
      <c r="I69" s="9" t="s">
        <v>13</v>
      </c>
      <c r="J69" s="10" t="s">
        <v>37</v>
      </c>
      <c r="L69" s="134" t="s">
        <v>38</v>
      </c>
      <c r="N69" s="9" t="s">
        <v>34</v>
      </c>
      <c r="O69" s="9" t="s">
        <v>35</v>
      </c>
      <c r="P69" s="10" t="s">
        <v>36</v>
      </c>
      <c r="R69" s="9" t="s">
        <v>12</v>
      </c>
      <c r="S69" s="9" t="s">
        <v>13</v>
      </c>
      <c r="T69" s="10" t="s">
        <v>37</v>
      </c>
      <c r="V69" s="134" t="s">
        <v>38</v>
      </c>
      <c r="X69" s="9" t="s">
        <v>34</v>
      </c>
      <c r="Y69" s="9" t="s">
        <v>35</v>
      </c>
      <c r="Z69" s="10" t="s">
        <v>36</v>
      </c>
      <c r="AB69" s="9" t="s">
        <v>12</v>
      </c>
      <c r="AC69" s="9" t="s">
        <v>13</v>
      </c>
      <c r="AD69" s="10" t="s">
        <v>37</v>
      </c>
      <c r="AF69" s="233" t="s">
        <v>38</v>
      </c>
      <c r="AJ69" s="11"/>
      <c r="AN69" s="11"/>
      <c r="AP69" s="11"/>
      <c r="AT69" s="11"/>
      <c r="AX69" s="11"/>
      <c r="AZ69" s="11"/>
      <c r="BD69" s="11"/>
      <c r="BH69" s="11"/>
      <c r="BJ69" s="11"/>
      <c r="BN69" s="11"/>
      <c r="BR69" s="11"/>
      <c r="BT69" s="11"/>
      <c r="BY69" s="11"/>
      <c r="CC69" s="11"/>
      <c r="CE69" s="11"/>
    </row>
    <row r="70" spans="2:83" s="9" customFormat="1" ht="5.0999999999999996" customHeight="1">
      <c r="F70" s="11"/>
      <c r="J70" s="11"/>
      <c r="L70" s="11"/>
      <c r="P70" s="11"/>
      <c r="T70" s="11"/>
      <c r="V70" s="11"/>
      <c r="Z70" s="11"/>
      <c r="AD70" s="11"/>
      <c r="AF70" s="11"/>
      <c r="AJ70" s="11"/>
      <c r="AN70" s="11"/>
      <c r="AP70" s="11"/>
      <c r="AT70" s="11"/>
      <c r="AX70" s="11"/>
      <c r="AZ70" s="11"/>
      <c r="BD70" s="11"/>
      <c r="BH70" s="11"/>
      <c r="BJ70" s="11"/>
      <c r="BN70" s="11"/>
      <c r="BR70" s="11"/>
      <c r="BT70" s="11"/>
      <c r="BY70" s="11"/>
      <c r="CC70" s="11"/>
      <c r="CE70" s="11"/>
    </row>
    <row r="71" spans="2:83" ht="13.5" customHeight="1">
      <c r="B71" t="s">
        <v>168</v>
      </c>
      <c r="D71" s="176">
        <v>804.69</v>
      </c>
      <c r="E71" s="141"/>
      <c r="F71" s="234">
        <v>823.27</v>
      </c>
      <c r="G71" s="40"/>
      <c r="H71" s="46">
        <v>833.83</v>
      </c>
      <c r="I71" s="241"/>
      <c r="J71" s="241"/>
      <c r="K71" s="41"/>
      <c r="L71" s="198">
        <v>718.28</v>
      </c>
      <c r="N71" s="176">
        <v>775.88</v>
      </c>
      <c r="O71" s="141"/>
      <c r="P71" s="234">
        <v>828</v>
      </c>
      <c r="Q71" s="40"/>
      <c r="R71" s="176">
        <v>803.51</v>
      </c>
      <c r="S71" s="142"/>
      <c r="T71" s="142"/>
      <c r="U71" s="41"/>
      <c r="V71" s="198">
        <v>816.39</v>
      </c>
      <c r="X71" s="215">
        <v>647.34</v>
      </c>
      <c r="Y71" s="141"/>
      <c r="Z71" s="38">
        <v>683.34</v>
      </c>
      <c r="AA71" s="40"/>
      <c r="AB71" s="176">
        <v>725.55</v>
      </c>
      <c r="AC71" s="142"/>
      <c r="AD71" s="142"/>
      <c r="AE71" s="147"/>
      <c r="AF71" s="198">
        <v>743.36</v>
      </c>
      <c r="AH71" s="212"/>
      <c r="AI71" s="156"/>
      <c r="AJ71" s="156"/>
      <c r="AK71" s="40"/>
      <c r="AL71" s="212"/>
      <c r="AM71" s="40"/>
      <c r="AN71" s="40"/>
      <c r="AO71" s="41"/>
      <c r="AP71" s="198"/>
      <c r="AR71" s="212"/>
      <c r="AS71" s="156"/>
      <c r="AT71" s="156"/>
      <c r="AU71" s="40"/>
      <c r="AV71" s="156"/>
      <c r="AW71" s="40"/>
      <c r="AX71" s="40"/>
      <c r="AY71" s="41"/>
      <c r="AZ71" s="156"/>
      <c r="BB71" s="156"/>
      <c r="BC71" s="156"/>
      <c r="BD71" s="156"/>
      <c r="BE71" s="40"/>
      <c r="BF71" s="156"/>
      <c r="BG71" s="40"/>
      <c r="BH71" s="40"/>
      <c r="BI71" s="41"/>
      <c r="BJ71" s="156"/>
      <c r="BL71" s="156"/>
      <c r="BM71" s="156"/>
      <c r="BN71" s="156"/>
      <c r="BO71" s="40"/>
      <c r="BP71" s="156"/>
      <c r="BQ71" s="40"/>
      <c r="BR71" s="40"/>
      <c r="BS71" s="41"/>
      <c r="BT71" s="156"/>
      <c r="BW71" s="156"/>
      <c r="BX71" s="156"/>
      <c r="BY71" s="156"/>
      <c r="BZ71" s="40"/>
      <c r="CA71" s="156"/>
      <c r="CB71" s="40"/>
      <c r="CC71" s="40"/>
      <c r="CD71" s="41"/>
      <c r="CE71" s="156"/>
    </row>
    <row r="72" spans="2:83" ht="13.5" customHeight="1">
      <c r="B72" t="s">
        <v>61</v>
      </c>
      <c r="D72" s="177">
        <v>5.25</v>
      </c>
      <c r="E72" s="38">
        <v>16.43</v>
      </c>
      <c r="F72" s="177">
        <v>21.68</v>
      </c>
      <c r="G72" s="40"/>
      <c r="H72" s="177">
        <f>38.23-F72</f>
        <v>16.549999999999997</v>
      </c>
      <c r="I72" s="116">
        <f>J72-H72</f>
        <v>-96.089999999999989</v>
      </c>
      <c r="J72" s="196">
        <f>L72-F72</f>
        <v>-79.539999999999992</v>
      </c>
      <c r="K72" s="197"/>
      <c r="L72" s="196">
        <v>-57.86</v>
      </c>
      <c r="N72" s="177">
        <v>42.66</v>
      </c>
      <c r="O72" s="38">
        <v>41.37</v>
      </c>
      <c r="P72" s="177">
        <v>84.03</v>
      </c>
      <c r="Q72" s="40"/>
      <c r="R72" s="177">
        <f>82.17-P72</f>
        <v>-1.8599999999999994</v>
      </c>
      <c r="S72" s="116">
        <f>T72-R72</f>
        <v>13.189999999999998</v>
      </c>
      <c r="T72" s="196">
        <f>V72-P72</f>
        <v>11.329999999999998</v>
      </c>
      <c r="U72" s="197"/>
      <c r="V72" s="196">
        <v>95.36</v>
      </c>
      <c r="X72" s="177">
        <v>5.56</v>
      </c>
      <c r="Y72" s="38">
        <f>Z72-X72</f>
        <v>30.530000000000005</v>
      </c>
      <c r="Z72" s="177">
        <v>36.090000000000003</v>
      </c>
      <c r="AA72" s="40"/>
      <c r="AB72" s="217">
        <f>78.83-Z72</f>
        <v>42.739999999999995</v>
      </c>
      <c r="AC72" s="116">
        <f>AD72-AB72</f>
        <v>27.090000000000003</v>
      </c>
      <c r="AD72" s="196">
        <f>AF72-Z72</f>
        <v>69.83</v>
      </c>
      <c r="AE72" s="197"/>
      <c r="AF72" s="196">
        <v>105.92</v>
      </c>
      <c r="AH72" s="177"/>
      <c r="AI72" s="156"/>
      <c r="AJ72" s="156"/>
      <c r="AK72" s="40"/>
      <c r="AL72" s="177"/>
      <c r="AM72" s="116"/>
      <c r="AN72" s="196"/>
      <c r="AO72" s="197"/>
      <c r="AP72" s="196"/>
      <c r="AR72" s="177"/>
      <c r="AS72" s="156"/>
      <c r="AT72" s="156"/>
      <c r="AU72" s="40"/>
      <c r="AV72" s="40"/>
      <c r="AW72" s="116"/>
      <c r="AX72" s="40"/>
      <c r="AY72" s="41"/>
      <c r="AZ72" s="40"/>
      <c r="BB72" s="136"/>
      <c r="BC72" s="156"/>
      <c r="BD72" s="156"/>
      <c r="BE72" s="40"/>
      <c r="BF72" s="40"/>
      <c r="BG72" s="116"/>
      <c r="BH72" s="40"/>
      <c r="BI72" s="41"/>
      <c r="BJ72" s="40"/>
      <c r="BL72" s="156"/>
      <c r="BM72" s="156"/>
      <c r="BN72" s="156"/>
      <c r="BO72" s="40"/>
      <c r="BP72" s="40"/>
      <c r="BQ72" s="116"/>
      <c r="BR72" s="40"/>
      <c r="BS72" s="41"/>
      <c r="BT72" s="40"/>
      <c r="BW72" s="156"/>
      <c r="BX72" s="156"/>
      <c r="BY72" s="156"/>
      <c r="BZ72" s="40"/>
      <c r="CA72" s="40"/>
      <c r="CB72" s="116"/>
      <c r="CC72" s="40"/>
      <c r="CD72" s="41"/>
      <c r="CE72" s="40"/>
    </row>
    <row r="73" spans="2:83" ht="3.75" customHeight="1">
      <c r="D73" s="38"/>
      <c r="E73" s="141"/>
      <c r="F73" s="38"/>
      <c r="G73" s="40"/>
      <c r="H73" s="40"/>
      <c r="I73" s="241"/>
      <c r="J73" s="241"/>
      <c r="K73" s="41"/>
      <c r="L73" s="40"/>
      <c r="N73" s="38"/>
      <c r="O73" s="141"/>
      <c r="P73" s="38"/>
      <c r="Q73" s="40"/>
      <c r="R73" s="40"/>
      <c r="S73" s="40"/>
      <c r="T73" s="40"/>
      <c r="U73" s="41"/>
      <c r="V73" s="40"/>
      <c r="X73" s="38"/>
      <c r="Y73" s="141"/>
      <c r="Z73" s="38"/>
      <c r="AA73" s="40"/>
      <c r="AB73" s="142"/>
      <c r="AC73" s="142"/>
      <c r="AD73" s="40"/>
      <c r="AE73" s="41"/>
      <c r="AF73" s="40"/>
      <c r="AH73" s="156"/>
      <c r="AI73" s="156"/>
      <c r="AJ73" s="156"/>
      <c r="AK73" s="40"/>
      <c r="AL73" s="40"/>
      <c r="AM73" s="40"/>
      <c r="AN73" s="40"/>
      <c r="AO73" s="41"/>
      <c r="AP73" s="40"/>
      <c r="AR73" s="156"/>
      <c r="AS73" s="156"/>
      <c r="AT73" s="156"/>
      <c r="AU73" s="40"/>
      <c r="AV73" s="40"/>
      <c r="AW73" s="40"/>
      <c r="AX73" s="40"/>
      <c r="AY73" s="41"/>
      <c r="AZ73" s="40"/>
      <c r="BB73" s="156"/>
      <c r="BC73" s="156"/>
      <c r="BD73" s="156"/>
      <c r="BE73" s="40"/>
      <c r="BF73" s="40"/>
      <c r="BG73" s="40"/>
      <c r="BH73" s="40"/>
      <c r="BI73" s="41"/>
      <c r="BJ73" s="40"/>
      <c r="BL73" s="156"/>
      <c r="BM73" s="156"/>
      <c r="BN73" s="156"/>
      <c r="BO73" s="40"/>
      <c r="BP73" s="40"/>
      <c r="BQ73" s="40"/>
      <c r="BR73" s="40"/>
      <c r="BS73" s="41"/>
      <c r="BT73" s="40"/>
      <c r="BW73" s="156"/>
      <c r="BX73" s="156"/>
      <c r="BY73" s="156"/>
      <c r="BZ73" s="40"/>
      <c r="CA73" s="40"/>
      <c r="CB73" s="40"/>
      <c r="CC73" s="40"/>
      <c r="CD73" s="41"/>
      <c r="CE73" s="40"/>
    </row>
    <row r="74" spans="2:83" s="9" customFormat="1" ht="13.5" customHeight="1">
      <c r="B74" t="s">
        <v>62</v>
      </c>
      <c r="D74" s="135" t="s">
        <v>107</v>
      </c>
      <c r="E74" s="142"/>
      <c r="F74" s="40">
        <v>11</v>
      </c>
      <c r="G74" s="40"/>
      <c r="H74" s="243"/>
      <c r="I74" s="241"/>
      <c r="J74" s="40">
        <v>11</v>
      </c>
      <c r="K74" s="43"/>
      <c r="L74" s="40">
        <f>F74+J74</f>
        <v>22</v>
      </c>
      <c r="N74" s="135" t="s">
        <v>107</v>
      </c>
      <c r="O74" s="142"/>
      <c r="P74" s="40">
        <v>10</v>
      </c>
      <c r="Q74" s="40"/>
      <c r="R74" s="216"/>
      <c r="S74" s="142"/>
      <c r="T74" s="40">
        <v>11</v>
      </c>
      <c r="U74" s="43"/>
      <c r="V74" s="40">
        <v>21</v>
      </c>
      <c r="X74" s="135" t="s">
        <v>107</v>
      </c>
      <c r="Y74" s="142"/>
      <c r="Z74" s="40">
        <v>9</v>
      </c>
      <c r="AA74" s="40"/>
      <c r="AB74" s="216"/>
      <c r="AC74" s="142"/>
      <c r="AD74" s="40">
        <v>10</v>
      </c>
      <c r="AE74" s="43"/>
      <c r="AF74" s="40">
        <v>19</v>
      </c>
      <c r="AH74" s="135"/>
      <c r="AI74" s="40"/>
      <c r="AJ74" s="40"/>
      <c r="AK74" s="40"/>
      <c r="AL74" s="135"/>
      <c r="AM74" s="40"/>
      <c r="AN74" s="40"/>
      <c r="AO74" s="43"/>
      <c r="AP74" s="40"/>
      <c r="AR74" s="135"/>
      <c r="AS74" s="40"/>
      <c r="AT74" s="40"/>
      <c r="AU74" s="40"/>
      <c r="AV74" s="135"/>
      <c r="AW74" s="40"/>
      <c r="AX74" s="40"/>
      <c r="AY74" s="43"/>
      <c r="AZ74" s="40"/>
      <c r="BB74" s="135"/>
      <c r="BC74" s="40"/>
      <c r="BD74" s="40"/>
      <c r="BE74" s="40"/>
      <c r="BF74" s="135"/>
      <c r="BG74" s="40"/>
      <c r="BH74" s="40"/>
      <c r="BI74" s="43"/>
      <c r="BJ74" s="40"/>
      <c r="BL74" s="40"/>
      <c r="BM74" s="40"/>
      <c r="BN74" s="40"/>
      <c r="BO74" s="40"/>
      <c r="BP74" s="40"/>
      <c r="BQ74" s="40"/>
      <c r="BR74" s="40"/>
      <c r="BS74" s="43"/>
      <c r="BT74" s="40"/>
      <c r="BW74" s="40"/>
      <c r="BX74" s="40"/>
      <c r="BY74" s="40"/>
      <c r="BZ74" s="40"/>
      <c r="CA74" s="40"/>
      <c r="CB74" s="40"/>
      <c r="CC74" s="40"/>
      <c r="CD74" s="43"/>
      <c r="CE74" s="40"/>
    </row>
    <row r="75" spans="2:83" s="9" customFormat="1" ht="13.5" customHeight="1">
      <c r="B75" s="44"/>
      <c r="D75" s="40"/>
      <c r="E75" s="40"/>
      <c r="F75" s="40"/>
      <c r="G75" s="40"/>
      <c r="H75" s="40"/>
      <c r="I75" s="40"/>
      <c r="J75" s="40"/>
      <c r="K75" s="40"/>
      <c r="L75" s="40"/>
      <c r="N75" s="40"/>
      <c r="O75" s="40"/>
      <c r="P75" s="40"/>
      <c r="Q75" s="40"/>
      <c r="R75" s="40"/>
      <c r="S75" s="40"/>
      <c r="T75" s="40"/>
      <c r="U75" s="40"/>
      <c r="V75" s="40"/>
      <c r="X75" s="40"/>
      <c r="Y75" s="40"/>
      <c r="Z75" s="40"/>
      <c r="AA75" s="40"/>
      <c r="AB75" s="40"/>
      <c r="AC75" s="40"/>
      <c r="AD75" s="40"/>
      <c r="AE75" s="43"/>
      <c r="AF75" s="40"/>
      <c r="AH75" s="40"/>
      <c r="AI75" s="40"/>
      <c r="AJ75" s="40"/>
      <c r="AK75" s="40"/>
      <c r="AL75" s="40"/>
      <c r="AM75" s="40"/>
      <c r="AN75" s="40"/>
      <c r="AO75" s="43"/>
      <c r="AP75" s="40"/>
      <c r="AR75" s="40"/>
      <c r="AS75" s="40"/>
      <c r="AT75" s="40"/>
      <c r="AU75" s="40"/>
      <c r="AV75" s="40"/>
      <c r="AW75" s="40"/>
      <c r="AX75" s="40"/>
      <c r="AY75" s="43"/>
      <c r="AZ75" s="40"/>
      <c r="BB75" s="40"/>
      <c r="BC75" s="40"/>
      <c r="BD75" s="40"/>
      <c r="BE75" s="40"/>
      <c r="BF75" s="40"/>
      <c r="BG75" s="40"/>
      <c r="BH75" s="40"/>
      <c r="BI75" s="43"/>
      <c r="BJ75" s="40"/>
      <c r="BL75" s="40"/>
      <c r="BM75" s="40"/>
      <c r="BN75" s="40"/>
      <c r="BO75" s="40"/>
      <c r="BP75" s="40"/>
      <c r="BQ75" s="40"/>
      <c r="BR75" s="40"/>
      <c r="BS75" s="43"/>
      <c r="BT75" s="40"/>
      <c r="BW75" s="40"/>
      <c r="BX75" s="40"/>
      <c r="BY75" s="40"/>
      <c r="BZ75" s="40"/>
      <c r="CA75" s="40"/>
      <c r="CB75" s="40"/>
      <c r="CC75" s="40"/>
      <c r="CD75" s="43"/>
      <c r="CE75" s="40"/>
    </row>
    <row r="76" spans="2:83" s="9" customFormat="1" ht="13.5" customHeight="1">
      <c r="B76" t="s">
        <v>63</v>
      </c>
      <c r="D76" s="40"/>
      <c r="E76" s="40"/>
      <c r="F76" s="40"/>
      <c r="G76" s="40"/>
      <c r="H76" s="40"/>
      <c r="I76" s="40"/>
      <c r="J76" s="40"/>
      <c r="K76" s="40"/>
      <c r="L76" s="40"/>
      <c r="N76" s="40"/>
      <c r="O76" s="40"/>
      <c r="P76" s="40"/>
      <c r="Q76" s="40"/>
      <c r="R76" s="40"/>
      <c r="S76" s="40"/>
      <c r="T76" s="40"/>
      <c r="U76" s="40"/>
      <c r="V76" s="40"/>
      <c r="X76" s="40"/>
      <c r="Y76" s="40"/>
      <c r="Z76" s="40"/>
      <c r="AA76" s="40"/>
      <c r="AB76" s="40"/>
      <c r="AC76" s="40"/>
      <c r="AD76" s="40"/>
      <c r="AE76" s="43"/>
      <c r="AF76" s="40"/>
      <c r="AH76" s="40"/>
      <c r="AI76" s="40"/>
      <c r="AJ76" s="40"/>
      <c r="AK76" s="40"/>
      <c r="AL76" s="40"/>
      <c r="AM76" s="40"/>
      <c r="AN76" s="40"/>
      <c r="AO76" s="43"/>
      <c r="AP76" s="40"/>
      <c r="AR76" s="40"/>
      <c r="AS76" s="40"/>
      <c r="AT76" s="40"/>
      <c r="AU76" s="40"/>
      <c r="AV76" s="40"/>
      <c r="AW76" s="40"/>
      <c r="AX76" s="40"/>
      <c r="AY76" s="43"/>
      <c r="AZ76" s="40"/>
      <c r="BB76" s="40"/>
      <c r="BC76" s="40"/>
      <c r="BD76" s="40"/>
      <c r="BE76" s="40"/>
      <c r="BF76" s="40"/>
      <c r="BG76" s="40"/>
      <c r="BH76" s="40"/>
      <c r="BI76" s="43"/>
      <c r="BJ76" s="40"/>
      <c r="BL76" s="40"/>
      <c r="BM76" s="40"/>
      <c r="BN76" s="40"/>
      <c r="BO76" s="40"/>
      <c r="BP76" s="40"/>
      <c r="BQ76" s="40"/>
      <c r="BR76" s="40"/>
      <c r="BS76" s="43"/>
      <c r="BT76" s="40"/>
      <c r="BW76" s="40"/>
      <c r="BX76" s="40"/>
      <c r="BY76" s="40"/>
      <c r="BZ76" s="40"/>
      <c r="CA76" s="40"/>
      <c r="CB76" s="40"/>
      <c r="CC76" s="40"/>
      <c r="CD76" s="43"/>
      <c r="CE76" s="40"/>
    </row>
    <row r="77" spans="2:83" s="9" customFormat="1" ht="13.5" customHeight="1">
      <c r="B77" t="s">
        <v>64</v>
      </c>
      <c r="D77" s="46">
        <v>3385994</v>
      </c>
      <c r="E77" s="124"/>
      <c r="F77" s="46">
        <v>3330283</v>
      </c>
      <c r="G77" s="46"/>
      <c r="H77" s="46">
        <v>3230283</v>
      </c>
      <c r="I77" s="124"/>
      <c r="J77" s="124"/>
      <c r="K77" s="48"/>
      <c r="L77" s="46">
        <v>3230283</v>
      </c>
      <c r="N77" s="46">
        <v>3426917</v>
      </c>
      <c r="O77" s="124"/>
      <c r="P77" s="46">
        <v>3426917</v>
      </c>
      <c r="Q77" s="46"/>
      <c r="R77" s="46">
        <v>3385994</v>
      </c>
      <c r="S77" s="124"/>
      <c r="T77" s="124"/>
      <c r="U77" s="48"/>
      <c r="V77" s="46">
        <v>3385994</v>
      </c>
      <c r="X77" s="46">
        <v>3426917</v>
      </c>
      <c r="Y77" s="124"/>
      <c r="Z77" s="46">
        <v>3426917</v>
      </c>
      <c r="AA77" s="46"/>
      <c r="AB77" s="46">
        <v>3426917</v>
      </c>
      <c r="AC77" s="124"/>
      <c r="AD77" s="124"/>
      <c r="AE77" s="125"/>
      <c r="AF77" s="46">
        <v>3426917</v>
      </c>
      <c r="AH77" s="157"/>
      <c r="AI77" s="157"/>
      <c r="AJ77" s="157"/>
      <c r="AK77" s="157"/>
      <c r="AL77" s="157"/>
      <c r="AM77" s="157"/>
      <c r="AN77" s="157"/>
      <c r="AO77" s="213"/>
      <c r="AP77" s="157"/>
      <c r="AR77" s="157"/>
      <c r="AS77" s="157"/>
      <c r="AT77" s="157"/>
      <c r="AU77" s="157"/>
      <c r="AV77" s="157"/>
      <c r="AW77" s="157"/>
      <c r="AX77" s="157"/>
      <c r="AY77" s="213"/>
      <c r="AZ77" s="157"/>
      <c r="BB77" s="157"/>
      <c r="BC77" s="157"/>
      <c r="BD77" s="157"/>
      <c r="BE77" s="157"/>
      <c r="BF77" s="157"/>
      <c r="BG77" s="157"/>
      <c r="BH77" s="157"/>
      <c r="BI77" s="213"/>
      <c r="BJ77" s="157"/>
      <c r="BL77" s="157"/>
      <c r="BM77" s="157"/>
      <c r="BN77" s="157"/>
      <c r="BO77" s="157"/>
      <c r="BP77" s="157"/>
      <c r="BQ77" s="157"/>
      <c r="BR77" s="157"/>
      <c r="BS77" s="213"/>
      <c r="BT77" s="157"/>
      <c r="BW77" s="157"/>
      <c r="BX77" s="157"/>
      <c r="BY77" s="157"/>
      <c r="BZ77" s="157"/>
      <c r="CA77" s="157"/>
      <c r="CB77" s="157"/>
      <c r="CC77" s="157"/>
      <c r="CD77" s="213"/>
      <c r="CE77" s="157"/>
    </row>
    <row r="78" spans="2:83" s="9" customFormat="1" ht="13.5" customHeight="1">
      <c r="B78" t="s">
        <v>65</v>
      </c>
      <c r="D78" s="46">
        <v>104367</v>
      </c>
      <c r="E78" s="124"/>
      <c r="F78" s="46">
        <v>110874</v>
      </c>
      <c r="G78" s="46"/>
      <c r="H78" s="46">
        <v>10899</v>
      </c>
      <c r="I78" s="124"/>
      <c r="J78" s="124"/>
      <c r="K78" s="48"/>
      <c r="L78" s="157">
        <v>12820</v>
      </c>
      <c r="N78" s="46">
        <v>36285</v>
      </c>
      <c r="O78" s="124"/>
      <c r="P78" s="46">
        <v>51504</v>
      </c>
      <c r="Q78" s="46"/>
      <c r="R78" s="46">
        <v>10598</v>
      </c>
      <c r="S78" s="124"/>
      <c r="T78" s="124"/>
      <c r="U78" s="48"/>
      <c r="V78" s="157">
        <v>56899</v>
      </c>
      <c r="X78" s="46">
        <v>9303</v>
      </c>
      <c r="Y78" s="124"/>
      <c r="Z78" s="46">
        <v>10580</v>
      </c>
      <c r="AA78" s="46"/>
      <c r="AB78" s="46">
        <v>10603</v>
      </c>
      <c r="AC78" s="124"/>
      <c r="AD78" s="124"/>
      <c r="AE78" s="125"/>
      <c r="AF78" s="157">
        <v>10614</v>
      </c>
      <c r="AH78" s="157"/>
      <c r="AI78" s="157"/>
      <c r="AJ78" s="157"/>
      <c r="AK78" s="157"/>
      <c r="AL78" s="157"/>
      <c r="AM78" s="157"/>
      <c r="AN78" s="157"/>
      <c r="AO78" s="213"/>
      <c r="AP78" s="157"/>
      <c r="AR78" s="157"/>
      <c r="AS78" s="157"/>
      <c r="AT78" s="157"/>
      <c r="AU78" s="157"/>
      <c r="AV78" s="157"/>
      <c r="AW78" s="157"/>
      <c r="AX78" s="157"/>
      <c r="AY78" s="213"/>
      <c r="AZ78" s="157"/>
      <c r="BB78" s="157"/>
      <c r="BC78" s="157"/>
      <c r="BD78" s="157"/>
      <c r="BE78" s="157"/>
      <c r="BF78" s="157"/>
      <c r="BG78" s="157"/>
      <c r="BH78" s="157"/>
      <c r="BI78" s="213"/>
      <c r="BJ78" s="157"/>
      <c r="BL78" s="157"/>
      <c r="BM78" s="157"/>
      <c r="BN78" s="157"/>
      <c r="BO78" s="157"/>
      <c r="BP78" s="157"/>
      <c r="BQ78" s="157"/>
      <c r="BR78" s="157"/>
      <c r="BS78" s="213"/>
      <c r="BT78" s="157"/>
      <c r="BW78" s="157"/>
      <c r="BX78" s="157"/>
      <c r="BY78" s="157"/>
      <c r="BZ78" s="157"/>
      <c r="CA78" s="157"/>
      <c r="CB78" s="157"/>
      <c r="CC78" s="157"/>
      <c r="CD78" s="213"/>
      <c r="CE78" s="157"/>
    </row>
    <row r="79" spans="2:83" s="9" customFormat="1" ht="13.5" customHeight="1">
      <c r="B79" t="s">
        <v>66</v>
      </c>
      <c r="D79" s="46">
        <v>3308910</v>
      </c>
      <c r="E79" s="124"/>
      <c r="F79" s="46">
        <v>3277288</v>
      </c>
      <c r="G79" s="46"/>
      <c r="H79" s="46">
        <v>3257992</v>
      </c>
      <c r="I79" s="124"/>
      <c r="J79" s="124"/>
      <c r="K79" s="48"/>
      <c r="L79" s="157">
        <v>3248100</v>
      </c>
      <c r="N79" s="46">
        <v>3402544</v>
      </c>
      <c r="O79" s="124"/>
      <c r="P79" s="46">
        <v>3392186</v>
      </c>
      <c r="Q79" s="46"/>
      <c r="R79" s="46">
        <v>3386593</v>
      </c>
      <c r="S79" s="124"/>
      <c r="T79" s="124"/>
      <c r="U79" s="48"/>
      <c r="V79" s="157">
        <v>3380083</v>
      </c>
      <c r="X79" s="46">
        <v>3417631</v>
      </c>
      <c r="Y79" s="124"/>
      <c r="Z79" s="46">
        <v>3417304</v>
      </c>
      <c r="AA79" s="46"/>
      <c r="AB79" s="46">
        <v>3416978</v>
      </c>
      <c r="AC79" s="124"/>
      <c r="AD79" s="124"/>
      <c r="AE79" s="125"/>
      <c r="AF79" s="157">
        <v>3416811</v>
      </c>
      <c r="AH79" s="157"/>
      <c r="AI79" s="157"/>
      <c r="AJ79" s="157"/>
      <c r="AK79" s="157"/>
      <c r="AL79" s="157"/>
      <c r="AM79" s="157"/>
      <c r="AN79" s="157"/>
      <c r="AO79" s="213"/>
      <c r="AP79" s="157"/>
      <c r="AR79" s="157"/>
      <c r="AS79" s="157"/>
      <c r="AT79" s="157"/>
      <c r="AU79" s="157"/>
      <c r="AV79" s="157"/>
      <c r="AW79" s="157"/>
      <c r="AX79" s="157"/>
      <c r="AY79" s="213"/>
      <c r="AZ79" s="157"/>
      <c r="BB79" s="157"/>
      <c r="BC79" s="157"/>
      <c r="BD79" s="157"/>
      <c r="BE79" s="157"/>
      <c r="BF79" s="157"/>
      <c r="BG79" s="157"/>
      <c r="BH79" s="157"/>
      <c r="BI79" s="213"/>
      <c r="BJ79" s="157"/>
      <c r="BL79" s="157"/>
      <c r="BM79" s="157"/>
      <c r="BN79" s="157"/>
      <c r="BO79" s="157"/>
      <c r="BP79" s="157"/>
      <c r="BQ79" s="157"/>
      <c r="BR79" s="157"/>
      <c r="BS79" s="213"/>
      <c r="BT79" s="157"/>
      <c r="BW79" s="157"/>
      <c r="BX79" s="157"/>
      <c r="BY79" s="157"/>
      <c r="BZ79" s="157"/>
      <c r="CA79" s="157"/>
      <c r="CB79" s="157"/>
      <c r="CC79" s="157"/>
      <c r="CD79" s="213"/>
      <c r="CE79" s="157"/>
    </row>
    <row r="80" spans="2:83" s="9" customFormat="1">
      <c r="B80"/>
      <c r="D80" s="199"/>
      <c r="E80" s="43"/>
      <c r="F80" s="45"/>
      <c r="G80" s="43"/>
      <c r="H80" s="43"/>
      <c r="I80" s="43"/>
      <c r="J80" s="43"/>
      <c r="K80" s="43"/>
      <c r="L80" s="43"/>
      <c r="N80" s="199"/>
      <c r="O80" s="43"/>
      <c r="P80" s="45"/>
      <c r="Q80" s="43"/>
      <c r="R80" s="43"/>
      <c r="S80" s="43"/>
      <c r="T80" s="43"/>
      <c r="U80" s="43"/>
      <c r="V80" s="43"/>
      <c r="X80" s="199"/>
      <c r="Y80" s="43"/>
      <c r="Z80" s="45"/>
      <c r="AA80" s="43"/>
      <c r="AB80" s="43"/>
      <c r="AC80" s="43"/>
      <c r="AD80" s="45"/>
      <c r="AE80" s="43"/>
      <c r="AF80" s="43"/>
      <c r="AH80" s="43"/>
      <c r="AI80" s="43"/>
      <c r="AJ80" s="45"/>
      <c r="AK80" s="43"/>
      <c r="AL80" s="43"/>
      <c r="AM80" s="43"/>
      <c r="AN80" s="45"/>
      <c r="AO80" s="43"/>
      <c r="AP80" s="43"/>
      <c r="AR80" s="43"/>
      <c r="AS80" s="43"/>
      <c r="AT80" s="45"/>
      <c r="AU80" s="43"/>
      <c r="AV80" s="43"/>
      <c r="AW80" s="43"/>
      <c r="AX80" s="45"/>
      <c r="AY80" s="43"/>
      <c r="AZ80" s="43"/>
      <c r="BB80" s="43"/>
      <c r="BC80" s="43"/>
      <c r="BD80" s="45"/>
      <c r="BE80" s="43"/>
      <c r="BF80" s="43"/>
      <c r="BG80" s="43"/>
      <c r="BH80" s="45"/>
      <c r="BI80" s="43"/>
      <c r="BJ80" s="43"/>
      <c r="BL80" s="43"/>
      <c r="BM80" s="43"/>
      <c r="BN80" s="45"/>
      <c r="BO80" s="43"/>
      <c r="BP80" s="43"/>
      <c r="BQ80" s="43"/>
      <c r="BR80" s="45"/>
      <c r="BS80" s="43"/>
      <c r="BT80" s="43"/>
      <c r="BW80" s="43"/>
      <c r="BX80" s="43"/>
      <c r="BY80" s="45"/>
      <c r="BZ80" s="43"/>
      <c r="CA80" s="43"/>
      <c r="CB80" s="43"/>
      <c r="CC80" s="45"/>
      <c r="CD80" s="43"/>
      <c r="CE80" s="43"/>
    </row>
    <row r="81" spans="1:83" s="9" customFormat="1">
      <c r="A81" s="4" t="s">
        <v>67</v>
      </c>
      <c r="B81"/>
      <c r="D81" s="43"/>
      <c r="E81" s="43"/>
      <c r="F81" s="45"/>
      <c r="G81" s="43"/>
      <c r="H81" s="43"/>
      <c r="I81" s="43"/>
      <c r="J81" s="43"/>
      <c r="K81" s="43"/>
      <c r="L81" s="43"/>
      <c r="N81" s="43"/>
      <c r="O81" s="43"/>
      <c r="P81" s="45"/>
      <c r="Q81" s="43"/>
      <c r="R81" s="43"/>
      <c r="S81" s="43"/>
      <c r="T81" s="43"/>
      <c r="U81" s="43"/>
      <c r="V81" s="43"/>
      <c r="X81" s="43"/>
      <c r="Y81" s="43"/>
      <c r="Z81" s="45"/>
      <c r="AA81" s="43"/>
      <c r="AB81" s="43"/>
      <c r="AC81" s="43"/>
      <c r="AD81" s="45"/>
      <c r="AE81" s="43"/>
      <c r="AF81" s="43"/>
      <c r="AH81" s="43"/>
      <c r="AI81" s="43"/>
      <c r="AJ81" s="45"/>
      <c r="AK81" s="43"/>
      <c r="AL81" s="43"/>
      <c r="AM81" s="43"/>
      <c r="AN81" s="45"/>
      <c r="AO81" s="43"/>
      <c r="AP81" s="43"/>
      <c r="AR81" s="43"/>
      <c r="AS81" s="43"/>
      <c r="AT81" s="45"/>
      <c r="AU81" s="43"/>
      <c r="AV81" s="43"/>
      <c r="AW81" s="43"/>
      <c r="AX81" s="45"/>
      <c r="AY81" s="43"/>
      <c r="AZ81" s="43"/>
      <c r="BB81" s="43"/>
      <c r="BC81" s="43"/>
      <c r="BD81" s="45"/>
      <c r="BE81" s="43"/>
      <c r="BF81" s="43"/>
      <c r="BG81" s="43"/>
      <c r="BH81" s="45"/>
      <c r="BI81" s="43"/>
      <c r="BJ81" s="43"/>
      <c r="BL81" s="43"/>
      <c r="BM81" s="43"/>
      <c r="BN81" s="45"/>
      <c r="BO81" s="43"/>
      <c r="BP81" s="43"/>
      <c r="BQ81" s="43"/>
      <c r="BR81" s="45"/>
      <c r="BS81" s="43"/>
      <c r="BT81" s="43"/>
      <c r="BW81" s="43"/>
      <c r="BX81" s="43"/>
      <c r="BY81" s="45"/>
      <c r="BZ81" s="43"/>
      <c r="CA81" s="43"/>
      <c r="CB81" s="43"/>
      <c r="CC81" s="45"/>
      <c r="CD81" s="43"/>
      <c r="CE81" s="43"/>
    </row>
    <row r="82" spans="1:83" s="9" customFormat="1" ht="13.5" customHeight="1">
      <c r="B82" t="s">
        <v>149</v>
      </c>
      <c r="D82" s="46">
        <v>26407</v>
      </c>
      <c r="E82" s="124"/>
      <c r="F82" s="46">
        <v>26504</v>
      </c>
      <c r="G82" s="40"/>
      <c r="H82" s="46">
        <v>26844</v>
      </c>
      <c r="I82" s="124"/>
      <c r="J82" s="124"/>
      <c r="K82" s="40"/>
      <c r="L82" s="157">
        <v>23110</v>
      </c>
      <c r="N82" s="46">
        <v>26307</v>
      </c>
      <c r="O82" s="124"/>
      <c r="P82" s="46">
        <v>27951</v>
      </c>
      <c r="Q82" s="40"/>
      <c r="R82" s="46">
        <v>27122</v>
      </c>
      <c r="S82" s="124"/>
      <c r="T82" s="124"/>
      <c r="U82" s="40"/>
      <c r="V82" s="157">
        <v>27178</v>
      </c>
      <c r="X82" s="46">
        <v>22123</v>
      </c>
      <c r="Y82" s="124"/>
      <c r="Z82" s="46">
        <v>23345</v>
      </c>
      <c r="AA82" s="40"/>
      <c r="AB82" s="46">
        <v>24787</v>
      </c>
      <c r="AC82" s="124"/>
      <c r="AD82" s="124"/>
      <c r="AE82" s="142"/>
      <c r="AF82" s="157">
        <v>25396</v>
      </c>
      <c r="AH82" s="157"/>
      <c r="AI82" s="157"/>
      <c r="AJ82" s="157"/>
      <c r="AK82" s="40"/>
      <c r="AL82" s="157"/>
      <c r="AM82" s="157"/>
      <c r="AN82" s="157"/>
      <c r="AO82" s="40"/>
      <c r="AP82" s="157"/>
      <c r="AR82" s="157"/>
      <c r="AS82" s="157"/>
      <c r="AT82" s="157"/>
      <c r="AU82" s="40"/>
      <c r="AV82" s="157"/>
      <c r="AW82" s="157"/>
      <c r="AX82" s="157"/>
      <c r="AY82" s="40"/>
      <c r="AZ82" s="157"/>
      <c r="BB82" s="157"/>
      <c r="BC82" s="157"/>
      <c r="BD82" s="157"/>
      <c r="BE82" s="40"/>
      <c r="BF82" s="157"/>
      <c r="BG82" s="157"/>
      <c r="BH82" s="157"/>
      <c r="BI82" s="40"/>
      <c r="BJ82" s="157"/>
      <c r="BL82" s="157"/>
      <c r="BM82" s="157"/>
      <c r="BN82" s="157"/>
      <c r="BO82" s="40"/>
      <c r="BP82" s="157"/>
      <c r="BQ82" s="157"/>
      <c r="BR82" s="157"/>
      <c r="BS82" s="40"/>
      <c r="BT82" s="157"/>
      <c r="BW82" s="157"/>
      <c r="BX82" s="157"/>
      <c r="BY82" s="157"/>
      <c r="BZ82" s="40"/>
      <c r="CA82" s="157"/>
      <c r="CB82" s="157"/>
      <c r="CC82" s="157"/>
      <c r="CD82" s="40"/>
      <c r="CE82" s="157"/>
    </row>
    <row r="83" spans="1:83" s="9" customFormat="1" ht="13.5" customHeight="1">
      <c r="B83" t="s">
        <v>150</v>
      </c>
      <c r="D83" s="49">
        <v>0.30599999999999999</v>
      </c>
      <c r="E83" s="141"/>
      <c r="F83" s="49">
        <v>0.312</v>
      </c>
      <c r="G83" s="50"/>
      <c r="H83" s="49">
        <v>0.30299999999999999</v>
      </c>
      <c r="I83" s="141"/>
      <c r="J83" s="141"/>
      <c r="K83" s="50"/>
      <c r="L83" s="49">
        <v>0.28799999999999998</v>
      </c>
      <c r="N83" s="49">
        <v>0.312</v>
      </c>
      <c r="O83" s="141"/>
      <c r="P83" s="49">
        <v>0.313</v>
      </c>
      <c r="Q83" s="50"/>
      <c r="R83" s="49">
        <v>0.30499999999999999</v>
      </c>
      <c r="S83" s="141"/>
      <c r="T83" s="141"/>
      <c r="U83" s="50"/>
      <c r="V83" s="49">
        <v>0.32100000000000001</v>
      </c>
      <c r="X83" s="49">
        <v>0.27400000000000002</v>
      </c>
      <c r="Y83" s="141"/>
      <c r="Z83" s="49">
        <v>0.27900000000000003</v>
      </c>
      <c r="AA83" s="50"/>
      <c r="AB83" s="49">
        <v>0.28799999999999998</v>
      </c>
      <c r="AC83" s="141"/>
      <c r="AD83" s="141"/>
      <c r="AE83" s="143"/>
      <c r="AF83" s="49">
        <v>0.3</v>
      </c>
      <c r="AH83" s="158"/>
      <c r="AI83" s="156"/>
      <c r="AJ83" s="158"/>
      <c r="AK83" s="50"/>
      <c r="AL83" s="158"/>
      <c r="AM83" s="156"/>
      <c r="AN83" s="156"/>
      <c r="AO83" s="50"/>
      <c r="AP83" s="158"/>
      <c r="AR83" s="158"/>
      <c r="AS83" s="156"/>
      <c r="AT83" s="158"/>
      <c r="AU83" s="50"/>
      <c r="AV83" s="158"/>
      <c r="AW83" s="156"/>
      <c r="AX83" s="156"/>
      <c r="AY83" s="50"/>
      <c r="AZ83" s="158"/>
      <c r="BB83" s="158"/>
      <c r="BC83" s="156"/>
      <c r="BD83" s="158"/>
      <c r="BE83" s="50"/>
      <c r="BF83" s="158"/>
      <c r="BG83" s="156"/>
      <c r="BH83" s="156"/>
      <c r="BI83" s="50"/>
      <c r="BJ83" s="158"/>
      <c r="BL83" s="158"/>
      <c r="BM83" s="156"/>
      <c r="BN83" s="158"/>
      <c r="BO83" s="50"/>
      <c r="BP83" s="158"/>
      <c r="BQ83" s="156"/>
      <c r="BR83" s="156"/>
      <c r="BS83" s="50"/>
      <c r="BT83" s="158"/>
      <c r="BW83" s="158"/>
      <c r="BX83" s="156"/>
      <c r="BY83" s="158"/>
      <c r="BZ83" s="50"/>
      <c r="CA83" s="158"/>
      <c r="CB83" s="156"/>
      <c r="CC83" s="156"/>
      <c r="CD83" s="50"/>
      <c r="CE83" s="158"/>
    </row>
    <row r="84" spans="1:83" s="9" customFormat="1" ht="13.5" customHeight="1">
      <c r="B84" t="s">
        <v>151</v>
      </c>
      <c r="D84" s="46">
        <f>22672-3855</f>
        <v>18817</v>
      </c>
      <c r="E84" s="124"/>
      <c r="F84" s="46">
        <v>19781</v>
      </c>
      <c r="G84" s="50"/>
      <c r="H84" s="46">
        <v>20100</v>
      </c>
      <c r="I84" s="124"/>
      <c r="J84" s="124"/>
      <c r="K84" s="50"/>
      <c r="L84" s="157">
        <v>18988</v>
      </c>
      <c r="N84" s="46">
        <v>19711</v>
      </c>
      <c r="O84" s="124"/>
      <c r="P84" s="46">
        <v>20627</v>
      </c>
      <c r="Q84" s="50"/>
      <c r="R84" s="46">
        <v>22683</v>
      </c>
      <c r="S84" s="124"/>
      <c r="T84" s="124"/>
      <c r="U84" s="50"/>
      <c r="V84" s="157">
        <f>22180-3879</f>
        <v>18301</v>
      </c>
      <c r="X84" s="46">
        <v>22633</v>
      </c>
      <c r="Y84" s="124"/>
      <c r="Z84" s="46">
        <v>22060</v>
      </c>
      <c r="AA84" s="50"/>
      <c r="AB84" s="46">
        <v>22653</v>
      </c>
      <c r="AC84" s="124"/>
      <c r="AD84" s="124"/>
      <c r="AE84" s="143"/>
      <c r="AF84" s="157">
        <v>18104</v>
      </c>
      <c r="AH84" s="157"/>
      <c r="AI84" s="157"/>
      <c r="AJ84" s="157"/>
      <c r="AK84" s="50"/>
      <c r="AL84" s="157"/>
      <c r="AM84" s="157"/>
      <c r="AN84" s="157"/>
      <c r="AO84" s="50"/>
      <c r="AP84" s="157"/>
      <c r="AR84" s="157"/>
      <c r="AS84" s="157"/>
      <c r="AT84" s="157"/>
      <c r="AU84" s="50"/>
      <c r="AV84" s="157"/>
      <c r="AW84" s="157"/>
      <c r="AX84" s="157"/>
      <c r="AY84" s="50"/>
      <c r="AZ84" s="157"/>
      <c r="BB84" s="157"/>
      <c r="BC84" s="157"/>
      <c r="BD84" s="157"/>
      <c r="BE84" s="50"/>
      <c r="BF84" s="157"/>
      <c r="BG84" s="157"/>
      <c r="BH84" s="157"/>
      <c r="BI84" s="50"/>
      <c r="BJ84" s="157"/>
      <c r="BL84" s="157"/>
      <c r="BM84" s="157"/>
      <c r="BN84" s="157"/>
      <c r="BO84" s="50"/>
      <c r="BP84" s="157"/>
      <c r="BQ84" s="157"/>
      <c r="BR84" s="157"/>
      <c r="BS84" s="50"/>
      <c r="BT84" s="157"/>
      <c r="BW84" s="157"/>
      <c r="BX84" s="157"/>
      <c r="BY84" s="157"/>
      <c r="BZ84" s="50"/>
      <c r="CA84" s="157"/>
      <c r="CB84" s="157"/>
      <c r="CC84" s="157"/>
      <c r="CD84" s="50"/>
      <c r="CE84" s="157"/>
    </row>
    <row r="85" spans="1:83" s="9" customFormat="1" ht="13.5" customHeight="1">
      <c r="B85" t="s">
        <v>152</v>
      </c>
      <c r="D85" s="50">
        <v>0.62</v>
      </c>
      <c r="E85" s="142"/>
      <c r="F85" s="50">
        <v>0.65</v>
      </c>
      <c r="G85" s="50"/>
      <c r="H85" s="50">
        <v>0.65</v>
      </c>
      <c r="I85" s="142"/>
      <c r="J85" s="142"/>
      <c r="K85" s="50"/>
      <c r="L85" s="50">
        <v>0.7</v>
      </c>
      <c r="N85" s="50">
        <v>0.65</v>
      </c>
      <c r="O85" s="142"/>
      <c r="P85" s="50">
        <v>0.65</v>
      </c>
      <c r="Q85" s="50"/>
      <c r="R85" s="50">
        <v>0.73</v>
      </c>
      <c r="S85" s="142"/>
      <c r="T85" s="142"/>
      <c r="U85" s="50"/>
      <c r="V85" s="50">
        <v>0.59</v>
      </c>
      <c r="X85" s="50">
        <v>0.86</v>
      </c>
      <c r="Y85" s="142"/>
      <c r="Z85" s="50">
        <v>0.8</v>
      </c>
      <c r="AA85" s="50"/>
      <c r="AB85" s="50">
        <v>0.78</v>
      </c>
      <c r="AC85" s="142"/>
      <c r="AD85" s="142"/>
      <c r="AE85" s="143"/>
      <c r="AF85" s="50">
        <v>0.62</v>
      </c>
      <c r="AH85" s="50"/>
      <c r="AI85" s="40"/>
      <c r="AJ85" s="50"/>
      <c r="AK85" s="50"/>
      <c r="AL85" s="50"/>
      <c r="AM85" s="40"/>
      <c r="AN85" s="40"/>
      <c r="AO85" s="50"/>
      <c r="AP85" s="50"/>
      <c r="AR85" s="50"/>
      <c r="AS85" s="40"/>
      <c r="AT85" s="50"/>
      <c r="AU85" s="50"/>
      <c r="AV85" s="50"/>
      <c r="AW85" s="40"/>
      <c r="AX85" s="40"/>
      <c r="AY85" s="50"/>
      <c r="AZ85" s="50"/>
      <c r="BB85" s="50"/>
      <c r="BC85" s="40"/>
      <c r="BD85" s="50"/>
      <c r="BE85" s="50"/>
      <c r="BF85" s="50"/>
      <c r="BG85" s="40"/>
      <c r="BH85" s="40"/>
      <c r="BI85" s="50"/>
      <c r="BJ85" s="50"/>
      <c r="BL85" s="50"/>
      <c r="BM85" s="40"/>
      <c r="BN85" s="50"/>
      <c r="BO85" s="50"/>
      <c r="BP85" s="50"/>
      <c r="BQ85" s="40"/>
      <c r="BR85" s="40"/>
      <c r="BS85" s="50"/>
      <c r="BT85" s="50"/>
      <c r="BW85" s="50"/>
      <c r="BX85" s="40"/>
      <c r="BY85" s="50"/>
      <c r="BZ85" s="50"/>
      <c r="CA85" s="50"/>
      <c r="CB85" s="40"/>
      <c r="CC85" s="40"/>
      <c r="CD85" s="50"/>
      <c r="CE85" s="50"/>
    </row>
    <row r="86" spans="1:83" s="9" customFormat="1" ht="13.5" customHeight="1">
      <c r="B86"/>
      <c r="D86" s="50"/>
      <c r="E86" s="40"/>
      <c r="F86" s="50"/>
      <c r="G86" s="50"/>
      <c r="H86" s="50"/>
      <c r="I86" s="50"/>
      <c r="J86" s="51"/>
      <c r="K86" s="50"/>
      <c r="L86" s="51"/>
      <c r="N86" s="50"/>
      <c r="O86" s="40"/>
      <c r="P86" s="50"/>
      <c r="Q86" s="50"/>
      <c r="R86" s="50"/>
      <c r="S86" s="50"/>
      <c r="T86" s="51"/>
      <c r="U86" s="50"/>
      <c r="V86" s="51"/>
      <c r="X86" s="50"/>
      <c r="Y86" s="40"/>
      <c r="Z86" s="50"/>
      <c r="AA86" s="50"/>
      <c r="AB86" s="50"/>
      <c r="AC86" s="50"/>
      <c r="AD86" s="51"/>
      <c r="AE86" s="50"/>
      <c r="AF86" s="51"/>
      <c r="AH86" s="50"/>
      <c r="AI86" s="40"/>
      <c r="AJ86" s="50"/>
      <c r="AK86" s="50"/>
      <c r="AL86" s="50"/>
      <c r="AM86" s="50"/>
      <c r="AN86" s="51"/>
      <c r="AO86" s="50"/>
      <c r="AP86" s="51"/>
      <c r="AR86" s="50"/>
      <c r="AS86" s="40"/>
      <c r="AT86" s="50"/>
      <c r="AU86" s="50"/>
      <c r="AV86" s="50"/>
      <c r="AW86" s="50"/>
      <c r="AX86" s="51"/>
      <c r="AY86" s="50"/>
      <c r="AZ86" s="51"/>
      <c r="BB86" s="50"/>
      <c r="BC86" s="40"/>
      <c r="BD86" s="50"/>
      <c r="BE86" s="50"/>
      <c r="BF86" s="50"/>
      <c r="BG86" s="50"/>
      <c r="BH86" s="51"/>
      <c r="BI86" s="50"/>
      <c r="BJ86" s="51"/>
      <c r="BL86" s="50"/>
      <c r="BM86" s="40"/>
      <c r="BN86" s="50"/>
      <c r="BO86" s="50"/>
      <c r="BP86" s="50"/>
      <c r="BQ86" s="50"/>
      <c r="BR86" s="51"/>
      <c r="BS86" s="50"/>
      <c r="BT86" s="51"/>
      <c r="BW86" s="50"/>
      <c r="BX86" s="40"/>
      <c r="BY86" s="50"/>
      <c r="BZ86" s="50"/>
      <c r="CA86" s="50"/>
      <c r="CB86" s="50"/>
      <c r="CC86" s="51"/>
      <c r="CD86" s="50"/>
      <c r="CE86" s="51"/>
    </row>
    <row r="87" spans="1:83" s="3" customFormat="1" ht="16.2">
      <c r="A87" s="4" t="s">
        <v>73</v>
      </c>
    </row>
    <row r="88" spans="1:83">
      <c r="B88" t="s">
        <v>1</v>
      </c>
      <c r="D88" s="132" t="str">
        <f>D5</f>
        <v>2019年度　（2019年4月-2020年3月）</v>
      </c>
      <c r="E88" s="132"/>
      <c r="F88" s="132"/>
      <c r="G88" s="132"/>
      <c r="H88" s="132"/>
      <c r="I88" s="132"/>
      <c r="J88" s="132"/>
      <c r="K88" s="132"/>
      <c r="L88" s="132"/>
      <c r="N88" s="132" t="str">
        <f>N5</f>
        <v>2018年度　（2018年4月-2019年3月）</v>
      </c>
      <c r="O88" s="132"/>
      <c r="P88" s="132"/>
      <c r="Q88" s="132"/>
      <c r="R88" s="132"/>
      <c r="S88" s="132"/>
      <c r="T88" s="132"/>
      <c r="U88" s="132"/>
      <c r="V88" s="132"/>
      <c r="X88" s="231" t="str">
        <f>X5</f>
        <v>2017年度　（2017年4月-2018年3月）</v>
      </c>
      <c r="Y88" s="231"/>
      <c r="Z88" s="231"/>
      <c r="AA88" s="231"/>
      <c r="AB88" s="231"/>
      <c r="AC88" s="231"/>
      <c r="AD88" s="231"/>
      <c r="AE88" s="231"/>
      <c r="AF88" s="231"/>
      <c r="AH88" s="5"/>
      <c r="AI88" s="5"/>
      <c r="AJ88" s="5"/>
      <c r="AK88" s="5"/>
      <c r="AL88" s="5"/>
      <c r="AM88" s="5"/>
      <c r="AN88" s="5"/>
      <c r="AO88" s="5"/>
      <c r="AP88" s="5"/>
      <c r="AR88" s="5"/>
      <c r="AS88" s="5"/>
      <c r="AT88" s="5"/>
      <c r="AU88" s="5"/>
      <c r="AV88" s="5"/>
      <c r="AW88" s="5"/>
      <c r="AX88" s="5"/>
      <c r="AY88" s="5"/>
      <c r="AZ88" s="5"/>
      <c r="BB88" s="5"/>
      <c r="BC88" s="5"/>
      <c r="BD88" s="5"/>
      <c r="BE88" s="5"/>
      <c r="BF88" s="5"/>
      <c r="BG88" s="5"/>
      <c r="BH88" s="5"/>
      <c r="BI88" s="5"/>
      <c r="BJ88" s="5"/>
      <c r="BL88" s="5"/>
      <c r="BM88" s="5"/>
      <c r="BN88" s="5"/>
      <c r="BO88" s="5"/>
      <c r="BP88" s="5"/>
      <c r="BQ88" s="5"/>
      <c r="BR88" s="5"/>
      <c r="BS88" s="5"/>
      <c r="BT88" s="5"/>
      <c r="BW88" s="5"/>
      <c r="BX88" s="5"/>
      <c r="BY88" s="5"/>
      <c r="BZ88" s="5"/>
      <c r="CA88" s="5"/>
      <c r="CB88" s="5"/>
      <c r="CC88" s="5"/>
      <c r="CD88" s="5"/>
      <c r="CE88" s="5"/>
    </row>
    <row r="89" spans="1:83" ht="3.75" customHeight="1">
      <c r="D89" s="5"/>
      <c r="E89" s="5"/>
      <c r="F89" s="5"/>
      <c r="G89" s="5"/>
      <c r="H89" s="5"/>
      <c r="I89" s="5"/>
      <c r="J89" s="5"/>
      <c r="K89" s="5"/>
      <c r="L89" s="132"/>
      <c r="N89" s="5"/>
      <c r="O89" s="5"/>
      <c r="P89" s="5"/>
      <c r="Q89" s="5"/>
      <c r="R89" s="5"/>
      <c r="S89" s="5"/>
      <c r="T89" s="5"/>
      <c r="U89" s="5"/>
      <c r="V89" s="132"/>
      <c r="X89" s="5"/>
      <c r="Y89" s="5"/>
      <c r="Z89" s="5"/>
      <c r="AA89" s="5"/>
      <c r="AB89" s="5"/>
      <c r="AC89" s="5"/>
      <c r="AD89" s="5"/>
      <c r="AE89" s="5"/>
      <c r="AF89" s="231"/>
      <c r="AH89" s="5"/>
      <c r="AI89" s="5"/>
      <c r="AJ89" s="5"/>
      <c r="AK89" s="5"/>
      <c r="AL89" s="5"/>
      <c r="AM89" s="5"/>
      <c r="AN89" s="5"/>
      <c r="AO89" s="5"/>
      <c r="AP89" s="5"/>
      <c r="AR89" s="5"/>
      <c r="AS89" s="5"/>
      <c r="AT89" s="5"/>
      <c r="AU89" s="5"/>
      <c r="AV89" s="5"/>
      <c r="AW89" s="5"/>
      <c r="AX89" s="5"/>
      <c r="AY89" s="5"/>
      <c r="AZ89" s="5"/>
      <c r="BB89" s="5"/>
      <c r="BC89" s="5"/>
      <c r="BD89" s="5"/>
      <c r="BE89" s="5"/>
      <c r="BF89" s="5"/>
      <c r="BG89" s="5"/>
      <c r="BH89" s="5"/>
      <c r="BI89" s="5"/>
      <c r="BJ89" s="5"/>
      <c r="BL89" s="5"/>
      <c r="BM89" s="5"/>
      <c r="BN89" s="5"/>
      <c r="BO89" s="5"/>
      <c r="BP89" s="5"/>
      <c r="BQ89" s="5"/>
      <c r="BR89" s="5"/>
      <c r="BS89" s="5"/>
      <c r="BT89" s="5"/>
      <c r="BW89" s="5"/>
      <c r="BX89" s="5"/>
      <c r="BY89" s="5"/>
      <c r="BZ89" s="5"/>
      <c r="CA89" s="5"/>
      <c r="CB89" s="5"/>
      <c r="CC89" s="5"/>
      <c r="CD89" s="5"/>
      <c r="CE89" s="5"/>
    </row>
    <row r="90" spans="1:83">
      <c r="D90" s="6"/>
      <c r="E90" s="6"/>
      <c r="F90" s="7" t="s">
        <v>28</v>
      </c>
      <c r="H90" s="7"/>
      <c r="I90" s="7"/>
      <c r="J90" s="7" t="s">
        <v>29</v>
      </c>
      <c r="L90" s="133" t="s">
        <v>30</v>
      </c>
      <c r="N90" s="6"/>
      <c r="O90" s="6"/>
      <c r="P90" s="7" t="s">
        <v>28</v>
      </c>
      <c r="R90" s="7"/>
      <c r="S90" s="7"/>
      <c r="T90" s="7" t="s">
        <v>29</v>
      </c>
      <c r="V90" s="133" t="s">
        <v>30</v>
      </c>
      <c r="X90" s="6"/>
      <c r="Y90" s="6"/>
      <c r="Z90" s="7" t="s">
        <v>28</v>
      </c>
      <c r="AB90" s="7"/>
      <c r="AC90" s="7"/>
      <c r="AD90" s="7" t="s">
        <v>29</v>
      </c>
      <c r="AF90" s="232" t="s">
        <v>30</v>
      </c>
      <c r="AJ90" s="8"/>
      <c r="AL90" s="8"/>
      <c r="AM90" s="8"/>
      <c r="AN90" s="8"/>
      <c r="AP90" s="8"/>
      <c r="AT90" s="8"/>
      <c r="AV90" s="8"/>
      <c r="AW90" s="8"/>
      <c r="AX90" s="8"/>
      <c r="AZ90" s="8"/>
      <c r="BD90" s="8"/>
      <c r="BF90" s="8"/>
      <c r="BG90" s="8"/>
      <c r="BH90" s="8"/>
      <c r="BJ90" s="8"/>
      <c r="BN90" s="8"/>
      <c r="BP90" s="8"/>
      <c r="BQ90" s="8"/>
      <c r="BR90" s="8"/>
      <c r="BT90" s="8"/>
      <c r="BY90" s="8"/>
      <c r="CA90" s="8"/>
      <c r="CB90" s="8"/>
      <c r="CC90" s="8"/>
      <c r="CE90" s="8"/>
    </row>
    <row r="91" spans="1:83" s="9" customFormat="1" ht="10.8">
      <c r="D91" s="9" t="s">
        <v>31</v>
      </c>
      <c r="E91" s="9" t="s">
        <v>32</v>
      </c>
      <c r="F91" s="10" t="s">
        <v>33</v>
      </c>
      <c r="H91" s="9" t="s">
        <v>7</v>
      </c>
      <c r="I91" s="9" t="s">
        <v>8</v>
      </c>
      <c r="J91" s="10"/>
      <c r="L91" s="134"/>
      <c r="N91" s="9" t="s">
        <v>31</v>
      </c>
      <c r="O91" s="9" t="s">
        <v>32</v>
      </c>
      <c r="P91" s="10" t="s">
        <v>33</v>
      </c>
      <c r="R91" s="9" t="s">
        <v>7</v>
      </c>
      <c r="S91" s="9" t="s">
        <v>8</v>
      </c>
      <c r="T91" s="10"/>
      <c r="V91" s="134"/>
      <c r="X91" s="9" t="s">
        <v>31</v>
      </c>
      <c r="Y91" s="9" t="s">
        <v>32</v>
      </c>
      <c r="Z91" s="10" t="s">
        <v>33</v>
      </c>
      <c r="AB91" s="9" t="s">
        <v>7</v>
      </c>
      <c r="AC91" s="9" t="s">
        <v>8</v>
      </c>
      <c r="AD91" s="10"/>
      <c r="AF91" s="233"/>
      <c r="AJ91" s="11"/>
      <c r="AN91" s="11"/>
      <c r="AP91" s="11"/>
      <c r="AT91" s="11"/>
      <c r="AX91" s="11"/>
      <c r="AZ91" s="11"/>
      <c r="BD91" s="11"/>
      <c r="BH91" s="11"/>
      <c r="BJ91" s="11"/>
      <c r="BN91" s="11"/>
      <c r="BR91" s="11"/>
      <c r="BT91" s="11"/>
      <c r="BY91" s="11"/>
      <c r="CC91" s="11"/>
      <c r="CE91" s="11"/>
    </row>
    <row r="92" spans="1:83" s="9" customFormat="1" ht="10.8">
      <c r="D92" s="9" t="s">
        <v>34</v>
      </c>
      <c r="E92" s="9" t="s">
        <v>35</v>
      </c>
      <c r="F92" s="10" t="s">
        <v>36</v>
      </c>
      <c r="H92" s="9" t="s">
        <v>12</v>
      </c>
      <c r="I92" s="9" t="s">
        <v>13</v>
      </c>
      <c r="J92" s="10" t="s">
        <v>37</v>
      </c>
      <c r="L92" s="134" t="s">
        <v>38</v>
      </c>
      <c r="N92" s="9" t="s">
        <v>34</v>
      </c>
      <c r="O92" s="9" t="s">
        <v>35</v>
      </c>
      <c r="P92" s="10" t="s">
        <v>36</v>
      </c>
      <c r="R92" s="9" t="s">
        <v>12</v>
      </c>
      <c r="S92" s="9" t="s">
        <v>13</v>
      </c>
      <c r="T92" s="10" t="s">
        <v>37</v>
      </c>
      <c r="V92" s="134" t="s">
        <v>38</v>
      </c>
      <c r="X92" s="9" t="s">
        <v>34</v>
      </c>
      <c r="Y92" s="9" t="s">
        <v>35</v>
      </c>
      <c r="Z92" s="10" t="s">
        <v>36</v>
      </c>
      <c r="AB92" s="9" t="s">
        <v>12</v>
      </c>
      <c r="AC92" s="9" t="s">
        <v>13</v>
      </c>
      <c r="AD92" s="10" t="s">
        <v>37</v>
      </c>
      <c r="AF92" s="233" t="s">
        <v>38</v>
      </c>
      <c r="AJ92" s="11"/>
      <c r="AN92" s="11"/>
      <c r="AP92" s="11"/>
      <c r="AT92" s="11"/>
      <c r="AX92" s="11"/>
      <c r="AZ92" s="11"/>
      <c r="BD92" s="11"/>
      <c r="BH92" s="11"/>
      <c r="BJ92" s="11"/>
      <c r="BN92" s="11"/>
      <c r="BR92" s="11"/>
      <c r="BT92" s="11"/>
      <c r="BY92" s="11"/>
      <c r="CC92" s="11"/>
      <c r="CE92" s="11"/>
    </row>
    <row r="93" spans="1:83" ht="5.0999999999999996" customHeight="1">
      <c r="H93" s="52"/>
      <c r="I93" s="52"/>
      <c r="J93" s="8"/>
      <c r="R93" s="52"/>
      <c r="S93" s="52"/>
      <c r="T93" s="8"/>
      <c r="AB93" s="52"/>
      <c r="AC93" s="52"/>
      <c r="AD93" s="8"/>
      <c r="AL93" s="52"/>
      <c r="AM93" s="52"/>
      <c r="AN93" s="8"/>
      <c r="AV93" s="52"/>
      <c r="AW93" s="52"/>
      <c r="AX93" s="8"/>
      <c r="BF93" s="52"/>
      <c r="BG93" s="52"/>
      <c r="BH93" s="8"/>
      <c r="BP93" s="52"/>
      <c r="BQ93" s="52"/>
      <c r="BR93" s="8"/>
      <c r="CA93" s="52"/>
      <c r="CB93" s="52"/>
      <c r="CC93" s="8"/>
    </row>
    <row r="94" spans="1:83" ht="13.5" customHeight="1" thickBot="1">
      <c r="B94" s="12" t="s">
        <v>39</v>
      </c>
      <c r="C94" s="12"/>
      <c r="D94" s="13">
        <v>25148</v>
      </c>
      <c r="E94" s="13">
        <v>25483</v>
      </c>
      <c r="F94" s="13">
        <v>50631</v>
      </c>
      <c r="G94" s="12"/>
      <c r="H94" s="57">
        <f>76072-F94</f>
        <v>25441</v>
      </c>
      <c r="I94" s="57">
        <f>J94-H94</f>
        <v>24046</v>
      </c>
      <c r="J94" s="57">
        <f t="shared" ref="J94:J98" si="21">L94-F94</f>
        <v>49487</v>
      </c>
      <c r="K94" s="57"/>
      <c r="L94" s="57">
        <v>100118</v>
      </c>
      <c r="M94" s="12"/>
      <c r="N94" s="13">
        <v>25669</v>
      </c>
      <c r="O94" s="13">
        <f>+P94-N94</f>
        <v>28627</v>
      </c>
      <c r="P94" s="13">
        <v>54296</v>
      </c>
      <c r="Q94" s="12"/>
      <c r="R94" s="57">
        <f>83313-P94</f>
        <v>29017</v>
      </c>
      <c r="S94" s="57">
        <f>T94-R94</f>
        <v>27983</v>
      </c>
      <c r="T94" s="57">
        <f>V94-P94</f>
        <v>57000</v>
      </c>
      <c r="U94" s="57"/>
      <c r="V94" s="57">
        <v>111296</v>
      </c>
      <c r="W94" s="12"/>
      <c r="X94" s="13">
        <v>22252</v>
      </c>
      <c r="Y94" s="13">
        <v>24594</v>
      </c>
      <c r="Z94" s="13">
        <v>46846</v>
      </c>
      <c r="AA94" s="12"/>
      <c r="AB94" s="57">
        <v>27098</v>
      </c>
      <c r="AC94" s="57">
        <f>AD94-AB94</f>
        <v>29067</v>
      </c>
      <c r="AD94" s="57">
        <f>AF94-Z94</f>
        <v>56165</v>
      </c>
      <c r="AE94" s="57"/>
      <c r="AF94" s="200">
        <v>103011</v>
      </c>
      <c r="AH94" s="112"/>
      <c r="AI94" s="112"/>
      <c r="AJ94" s="112"/>
      <c r="AL94" s="58"/>
      <c r="AM94" s="58"/>
      <c r="AN94" s="58"/>
      <c r="AO94" s="58"/>
      <c r="AP94" s="58"/>
      <c r="AR94" s="112"/>
      <c r="AS94" s="112"/>
      <c r="AT94" s="112"/>
      <c r="AV94" s="58"/>
      <c r="AW94" s="58"/>
      <c r="AX94" s="88"/>
      <c r="AY94" s="88"/>
      <c r="AZ94" s="88"/>
      <c r="BB94" s="112"/>
      <c r="BC94" s="112"/>
      <c r="BD94" s="112"/>
      <c r="BF94" s="58"/>
      <c r="BG94" s="58"/>
      <c r="BH94" s="88"/>
      <c r="BI94" s="88"/>
      <c r="BJ94" s="88"/>
      <c r="BL94" s="112"/>
      <c r="BM94" s="112"/>
      <c r="BN94" s="112"/>
      <c r="BP94" s="58"/>
      <c r="BQ94" s="58"/>
      <c r="BR94" s="88"/>
      <c r="BS94" s="88"/>
      <c r="BT94" s="88"/>
      <c r="BW94" s="112"/>
      <c r="BX94" s="112"/>
      <c r="BY94" s="112"/>
      <c r="CA94" s="58"/>
      <c r="CB94" s="58"/>
      <c r="CC94" s="88"/>
      <c r="CD94" s="88"/>
      <c r="CE94" s="88"/>
    </row>
    <row r="95" spans="1:83" ht="13.5" customHeight="1">
      <c r="B95" t="s">
        <v>111</v>
      </c>
      <c r="D95" s="16">
        <v>21299</v>
      </c>
      <c r="E95" s="16">
        <v>21505</v>
      </c>
      <c r="F95" s="16">
        <v>42804</v>
      </c>
      <c r="H95" s="148">
        <f>64279-F95</f>
        <v>21475</v>
      </c>
      <c r="I95" s="85">
        <f t="shared" ref="I95:I98" si="22">J95-H95</f>
        <v>19915</v>
      </c>
      <c r="J95" s="85">
        <f t="shared" si="21"/>
        <v>41390</v>
      </c>
      <c r="K95" s="58"/>
      <c r="L95" s="58">
        <v>84194</v>
      </c>
      <c r="N95" s="16">
        <v>21710</v>
      </c>
      <c r="O95" s="16">
        <f t="shared" ref="O95:O98" si="23">+P95-N95</f>
        <v>24746</v>
      </c>
      <c r="P95" s="16">
        <v>46456</v>
      </c>
      <c r="R95" s="148">
        <f>71345-P95</f>
        <v>24889</v>
      </c>
      <c r="S95" s="85">
        <f t="shared" ref="S95:S98" si="24">T95-R95</f>
        <v>23468</v>
      </c>
      <c r="T95" s="85">
        <f t="shared" ref="T95:T98" si="25">V95-P95</f>
        <v>48357</v>
      </c>
      <c r="U95" s="58"/>
      <c r="V95" s="58">
        <v>94813</v>
      </c>
      <c r="X95" s="16">
        <v>18694</v>
      </c>
      <c r="Y95" s="16">
        <v>20782</v>
      </c>
      <c r="Z95" s="16">
        <v>39476</v>
      </c>
      <c r="AB95" s="148">
        <v>22960</v>
      </c>
      <c r="AC95" s="85">
        <f t="shared" ref="AC95:AC98" si="26">AD95-AB95</f>
        <v>24565</v>
      </c>
      <c r="AD95" s="85">
        <f t="shared" ref="AD95:AD98" si="27">AF95-Z95</f>
        <v>47525</v>
      </c>
      <c r="AE95" s="58"/>
      <c r="AF95" s="181">
        <v>87001</v>
      </c>
      <c r="AH95" s="112"/>
      <c r="AI95" s="112"/>
      <c r="AJ95" s="112"/>
      <c r="AL95" s="74"/>
      <c r="AM95" s="58"/>
      <c r="AN95" s="58"/>
      <c r="AO95" s="58"/>
      <c r="AP95" s="58"/>
      <c r="AR95" s="112"/>
      <c r="AS95" s="112"/>
      <c r="AT95" s="112"/>
      <c r="AV95" s="74"/>
      <c r="AW95" s="58"/>
      <c r="AX95" s="88"/>
      <c r="AY95" s="88"/>
      <c r="AZ95" s="88"/>
      <c r="BB95" s="112"/>
      <c r="BC95" s="112"/>
      <c r="BD95" s="112"/>
      <c r="BF95" s="74"/>
      <c r="BG95" s="58"/>
      <c r="BH95" s="88"/>
      <c r="BI95" s="88"/>
      <c r="BJ95" s="88"/>
      <c r="BL95" s="112"/>
      <c r="BM95" s="112"/>
      <c r="BN95" s="112"/>
      <c r="BP95" s="97"/>
      <c r="BQ95" s="58"/>
      <c r="BR95" s="88"/>
      <c r="BS95" s="88"/>
      <c r="BT95" s="88"/>
      <c r="BW95" s="112"/>
      <c r="BX95" s="112"/>
      <c r="BY95" s="112"/>
      <c r="CA95" s="97"/>
      <c r="CB95" s="58"/>
      <c r="CC95" s="88"/>
      <c r="CD95" s="88"/>
      <c r="CE95" s="88"/>
    </row>
    <row r="96" spans="1:83" ht="13.5" customHeight="1">
      <c r="B96" t="s">
        <v>112</v>
      </c>
      <c r="D96" s="16">
        <v>317</v>
      </c>
      <c r="E96" s="16">
        <v>274</v>
      </c>
      <c r="F96" s="16">
        <v>591</v>
      </c>
      <c r="H96" s="148">
        <f>982-F96</f>
        <v>391</v>
      </c>
      <c r="I96" s="58">
        <f t="shared" si="22"/>
        <v>352</v>
      </c>
      <c r="J96" s="58">
        <f t="shared" si="21"/>
        <v>743</v>
      </c>
      <c r="K96" s="58"/>
      <c r="L96" s="58">
        <v>1334</v>
      </c>
      <c r="N96" s="16">
        <v>336</v>
      </c>
      <c r="O96" s="16">
        <f t="shared" si="23"/>
        <v>372</v>
      </c>
      <c r="P96" s="16">
        <v>708</v>
      </c>
      <c r="R96" s="148">
        <f>1143-P96</f>
        <v>435</v>
      </c>
      <c r="S96" s="58">
        <f t="shared" si="24"/>
        <v>349</v>
      </c>
      <c r="T96" s="58">
        <f t="shared" si="25"/>
        <v>784</v>
      </c>
      <c r="U96" s="58"/>
      <c r="V96" s="58">
        <v>1492</v>
      </c>
      <c r="X96" s="16">
        <v>337</v>
      </c>
      <c r="Y96" s="16">
        <v>381</v>
      </c>
      <c r="Z96" s="16">
        <v>718</v>
      </c>
      <c r="AB96" s="148">
        <v>444</v>
      </c>
      <c r="AC96" s="58">
        <f t="shared" si="26"/>
        <v>396</v>
      </c>
      <c r="AD96" s="58">
        <f t="shared" si="27"/>
        <v>840</v>
      </c>
      <c r="AE96" s="58"/>
      <c r="AF96" s="181">
        <v>1558</v>
      </c>
      <c r="AH96" s="112"/>
      <c r="AI96" s="112"/>
      <c r="AJ96" s="112"/>
      <c r="AL96" s="74"/>
      <c r="AM96" s="58"/>
      <c r="AN96" s="58"/>
      <c r="AO96" s="58"/>
      <c r="AP96" s="58"/>
      <c r="AR96" s="112"/>
      <c r="AS96" s="112"/>
      <c r="AT96" s="112"/>
      <c r="AV96" s="74"/>
      <c r="AW96" s="58"/>
      <c r="AX96" s="88"/>
      <c r="AY96" s="88"/>
      <c r="AZ96" s="88"/>
      <c r="BB96" s="112"/>
      <c r="BC96" s="112"/>
      <c r="BD96" s="112"/>
      <c r="BF96" s="74"/>
      <c r="BG96" s="58"/>
      <c r="BH96" s="88"/>
      <c r="BI96" s="88"/>
      <c r="BJ96" s="88"/>
      <c r="BL96" s="112"/>
      <c r="BM96" s="112"/>
      <c r="BN96" s="112"/>
      <c r="BP96" s="97"/>
      <c r="BQ96" s="58"/>
      <c r="BR96" s="88"/>
      <c r="BS96" s="88"/>
      <c r="BT96" s="88"/>
      <c r="BW96" s="112"/>
      <c r="BX96" s="112"/>
      <c r="BY96" s="112"/>
      <c r="CA96" s="97"/>
      <c r="CB96" s="58"/>
      <c r="CC96" s="88"/>
      <c r="CD96" s="88"/>
      <c r="CE96" s="88"/>
    </row>
    <row r="97" spans="2:83" ht="13.5" customHeight="1">
      <c r="B97" t="s">
        <v>74</v>
      </c>
      <c r="D97" s="32">
        <v>2476</v>
      </c>
      <c r="E97" s="16">
        <v>2515</v>
      </c>
      <c r="F97" s="32">
        <v>4991</v>
      </c>
      <c r="H97" s="148">
        <f>7485-F97</f>
        <v>2494</v>
      </c>
      <c r="I97" s="58">
        <f t="shared" si="22"/>
        <v>2559</v>
      </c>
      <c r="J97" s="58">
        <f t="shared" si="21"/>
        <v>5053</v>
      </c>
      <c r="K97" s="58"/>
      <c r="L97" s="58">
        <v>10044</v>
      </c>
      <c r="N97" s="32">
        <v>2694</v>
      </c>
      <c r="O97" s="16">
        <f t="shared" si="23"/>
        <v>2482</v>
      </c>
      <c r="P97" s="32">
        <v>5176</v>
      </c>
      <c r="R97" s="148">
        <f>7704-P97</f>
        <v>2528</v>
      </c>
      <c r="S97" s="58">
        <f t="shared" si="24"/>
        <v>2714</v>
      </c>
      <c r="T97" s="58">
        <f t="shared" si="25"/>
        <v>5242</v>
      </c>
      <c r="U97" s="58"/>
      <c r="V97" s="58">
        <v>10418</v>
      </c>
      <c r="X97" s="32">
        <v>2249</v>
      </c>
      <c r="Y97" s="16">
        <v>2260</v>
      </c>
      <c r="Z97" s="32">
        <v>4509</v>
      </c>
      <c r="AB97" s="148">
        <v>2523</v>
      </c>
      <c r="AC97" s="58">
        <f t="shared" si="26"/>
        <v>2652</v>
      </c>
      <c r="AD97" s="58">
        <f t="shared" si="27"/>
        <v>5175</v>
      </c>
      <c r="AE97" s="58"/>
      <c r="AF97" s="181">
        <v>9684</v>
      </c>
      <c r="AH97" s="25"/>
      <c r="AI97" s="112"/>
      <c r="AJ97" s="25"/>
      <c r="AL97" s="74"/>
      <c r="AM97" s="58"/>
      <c r="AN97" s="58"/>
      <c r="AO97" s="58"/>
      <c r="AP97" s="58"/>
      <c r="AR97" s="112"/>
      <c r="AS97" s="112"/>
      <c r="AT97" s="25"/>
      <c r="AV97" s="74"/>
      <c r="AW97" s="58"/>
      <c r="AX97" s="88"/>
      <c r="AY97" s="88"/>
      <c r="AZ97" s="88"/>
      <c r="BB97" s="112"/>
      <c r="BC97" s="112"/>
      <c r="BD97" s="25"/>
      <c r="BF97" s="74"/>
      <c r="BG97" s="58"/>
      <c r="BH97" s="88"/>
      <c r="BI97" s="88"/>
      <c r="BJ97" s="88"/>
      <c r="BL97" s="112"/>
      <c r="BM97" s="112"/>
      <c r="BN97" s="25"/>
      <c r="BP97" s="97"/>
      <c r="BQ97" s="58"/>
      <c r="BR97" s="88"/>
      <c r="BS97" s="88"/>
      <c r="BT97" s="88"/>
      <c r="BW97" s="112"/>
      <c r="BX97" s="112"/>
      <c r="BY97" s="25"/>
      <c r="CA97" s="97"/>
      <c r="CB97" s="58"/>
      <c r="CC97" s="88"/>
      <c r="CD97" s="88"/>
      <c r="CE97" s="88"/>
    </row>
    <row r="98" spans="2:83" ht="13.5" customHeight="1">
      <c r="B98" t="s">
        <v>119</v>
      </c>
      <c r="D98" s="16">
        <v>1056</v>
      </c>
      <c r="E98" s="16">
        <v>1189</v>
      </c>
      <c r="F98" s="16">
        <v>2245</v>
      </c>
      <c r="H98" s="148">
        <f>3326-F98</f>
        <v>1081</v>
      </c>
      <c r="I98" s="58">
        <f t="shared" si="22"/>
        <v>1220</v>
      </c>
      <c r="J98" s="58">
        <f t="shared" si="21"/>
        <v>2301</v>
      </c>
      <c r="K98" s="58"/>
      <c r="L98" s="58">
        <v>4546</v>
      </c>
      <c r="N98" s="16">
        <v>929</v>
      </c>
      <c r="O98" s="16">
        <f t="shared" si="23"/>
        <v>1027</v>
      </c>
      <c r="P98" s="16">
        <v>1956</v>
      </c>
      <c r="R98" s="148">
        <f>+R94-R95-R96-R97</f>
        <v>1165</v>
      </c>
      <c r="S98" s="58">
        <f t="shared" si="24"/>
        <v>1452</v>
      </c>
      <c r="T98" s="58">
        <f t="shared" si="25"/>
        <v>2617</v>
      </c>
      <c r="U98" s="58"/>
      <c r="V98" s="58">
        <v>4573</v>
      </c>
      <c r="X98" s="16">
        <v>972</v>
      </c>
      <c r="Y98" s="16">
        <v>1171</v>
      </c>
      <c r="Z98" s="16">
        <v>2143</v>
      </c>
      <c r="AB98" s="148">
        <v>1171</v>
      </c>
      <c r="AC98" s="58">
        <f t="shared" si="26"/>
        <v>1454</v>
      </c>
      <c r="AD98" s="58">
        <f t="shared" si="27"/>
        <v>2625</v>
      </c>
      <c r="AE98" s="58"/>
      <c r="AF98" s="181">
        <v>4768</v>
      </c>
      <c r="AH98" s="112"/>
      <c r="AI98" s="112"/>
      <c r="AJ98" s="112"/>
      <c r="AL98" s="74"/>
      <c r="AM98" s="58"/>
      <c r="AN98" s="58"/>
      <c r="AO98" s="58"/>
      <c r="AP98" s="58"/>
      <c r="AR98" s="112"/>
      <c r="AS98" s="112"/>
      <c r="AT98" s="112"/>
      <c r="AV98" s="74"/>
      <c r="AW98" s="58"/>
      <c r="AX98" s="88"/>
      <c r="AY98" s="88"/>
      <c r="AZ98" s="88"/>
      <c r="BB98" s="112"/>
      <c r="BC98" s="112"/>
      <c r="BD98" s="112"/>
      <c r="BF98" s="74"/>
      <c r="BG98" s="58"/>
      <c r="BH98" s="88"/>
      <c r="BI98" s="88"/>
      <c r="BJ98" s="88"/>
      <c r="BL98" s="112"/>
      <c r="BM98" s="112"/>
      <c r="BN98" s="112"/>
      <c r="BP98" s="97"/>
      <c r="BQ98" s="58"/>
      <c r="BR98" s="88"/>
      <c r="BS98" s="88"/>
      <c r="BT98" s="88"/>
      <c r="BW98" s="112"/>
      <c r="BX98" s="112"/>
      <c r="BY98" s="112"/>
      <c r="CA98" s="97"/>
      <c r="CB98" s="58"/>
      <c r="CC98" s="88"/>
      <c r="CD98" s="88"/>
      <c r="CE98" s="88"/>
    </row>
    <row r="99" spans="2:83" ht="15.75" customHeight="1">
      <c r="D99" s="16"/>
      <c r="E99" s="16"/>
      <c r="F99" s="16"/>
      <c r="I99" s="240"/>
      <c r="J99" s="240"/>
      <c r="K99" s="58"/>
      <c r="L99" s="239"/>
      <c r="N99" s="16"/>
      <c r="O99" s="16"/>
      <c r="P99" s="16"/>
      <c r="S99" s="58"/>
      <c r="T99" s="58"/>
      <c r="U99" s="58"/>
      <c r="V99" s="112"/>
      <c r="X99" s="16"/>
      <c r="Y99" s="16"/>
      <c r="Z99" s="16"/>
      <c r="AC99" s="58"/>
      <c r="AD99" s="58"/>
      <c r="AE99" s="58"/>
      <c r="AF99" s="201"/>
      <c r="AH99" s="112"/>
      <c r="AI99" s="112"/>
      <c r="AJ99" s="112"/>
      <c r="AM99" s="58"/>
      <c r="AN99" s="58"/>
      <c r="AO99" s="58"/>
      <c r="AP99" s="112"/>
      <c r="AR99" s="112"/>
      <c r="AS99" s="112"/>
      <c r="AT99" s="112"/>
      <c r="AW99" s="58"/>
      <c r="AX99" s="88"/>
      <c r="AY99" s="88"/>
      <c r="AZ99" s="98"/>
      <c r="BB99" s="112"/>
      <c r="BC99" s="112"/>
      <c r="BD99" s="112"/>
      <c r="BG99" s="58"/>
      <c r="BH99" s="88"/>
      <c r="BI99" s="88"/>
      <c r="BJ99" s="98"/>
      <c r="BL99" s="112"/>
      <c r="BM99" s="112"/>
      <c r="BN99" s="112"/>
      <c r="BQ99" s="58"/>
      <c r="BR99" s="88"/>
      <c r="BS99" s="88"/>
      <c r="BT99" s="98"/>
      <c r="BW99" s="112"/>
      <c r="BX99" s="112"/>
      <c r="BY99" s="112"/>
      <c r="CB99" s="58"/>
      <c r="CC99" s="88"/>
      <c r="CD99" s="88"/>
      <c r="CE99" s="98"/>
    </row>
    <row r="100" spans="2:83" ht="13.5" customHeight="1" thickBot="1">
      <c r="B100" s="12" t="s">
        <v>75</v>
      </c>
      <c r="C100" s="12"/>
      <c r="D100" s="13">
        <v>493</v>
      </c>
      <c r="E100" s="13">
        <v>816</v>
      </c>
      <c r="F100" s="13">
        <v>1309</v>
      </c>
      <c r="G100" s="12"/>
      <c r="H100" s="57">
        <f>2214-F100</f>
        <v>905</v>
      </c>
      <c r="I100" s="57">
        <f t="shared" ref="I100:I104" si="28">J100-H100</f>
        <v>-3345</v>
      </c>
      <c r="J100" s="57">
        <f t="shared" ref="J100:J104" si="29">L100-F100</f>
        <v>-2440</v>
      </c>
      <c r="K100" s="57"/>
      <c r="L100" s="57">
        <v>-1131</v>
      </c>
      <c r="M100" s="12"/>
      <c r="N100" s="13">
        <v>2273</v>
      </c>
      <c r="O100" s="13">
        <f t="shared" ref="O100:O104" si="30">+P100-N100</f>
        <v>2139</v>
      </c>
      <c r="P100" s="13">
        <v>4412</v>
      </c>
      <c r="Q100" s="12"/>
      <c r="R100" s="57">
        <f>4593-P100</f>
        <v>181</v>
      </c>
      <c r="S100" s="57">
        <f t="shared" ref="S100:S104" si="31">T100-R100</f>
        <v>778</v>
      </c>
      <c r="T100" s="57">
        <f t="shared" ref="T100:T104" si="32">V100-P100</f>
        <v>959</v>
      </c>
      <c r="U100" s="57"/>
      <c r="V100" s="57">
        <v>5371</v>
      </c>
      <c r="W100" s="12"/>
      <c r="X100" s="13">
        <v>450</v>
      </c>
      <c r="Y100" s="13">
        <v>1504</v>
      </c>
      <c r="Z100" s="13">
        <v>1954</v>
      </c>
      <c r="AA100" s="12"/>
      <c r="AB100" s="57">
        <v>2161</v>
      </c>
      <c r="AC100" s="57">
        <f t="shared" ref="AC100:AC104" si="33">AD100-AB100</f>
        <v>760</v>
      </c>
      <c r="AD100" s="57">
        <f t="shared" ref="AD100:AD104" si="34">AF100-Z100</f>
        <v>2921</v>
      </c>
      <c r="AE100" s="57"/>
      <c r="AF100" s="200">
        <v>4875</v>
      </c>
      <c r="AH100" s="112"/>
      <c r="AI100" s="112"/>
      <c r="AJ100" s="112"/>
      <c r="AL100" s="58"/>
      <c r="AM100" s="58"/>
      <c r="AN100" s="58"/>
      <c r="AO100" s="58"/>
      <c r="AP100" s="58"/>
      <c r="AR100" s="112"/>
      <c r="AS100" s="112"/>
      <c r="AT100" s="112"/>
      <c r="AV100" s="58"/>
      <c r="AW100" s="58"/>
      <c r="AX100" s="88"/>
      <c r="AY100" s="88"/>
      <c r="AZ100" s="88"/>
      <c r="BB100" s="112"/>
      <c r="BC100" s="112"/>
      <c r="BD100" s="112"/>
      <c r="BF100" s="58"/>
      <c r="BG100" s="58"/>
      <c r="BH100" s="88"/>
      <c r="BI100" s="88"/>
      <c r="BJ100" s="88"/>
      <c r="BL100" s="112"/>
      <c r="BM100" s="112"/>
      <c r="BN100" s="112"/>
      <c r="BP100" s="58"/>
      <c r="BQ100" s="58"/>
      <c r="BR100" s="88"/>
      <c r="BS100" s="88"/>
      <c r="BT100" s="88"/>
      <c r="BW100" s="112"/>
      <c r="BX100" s="112"/>
      <c r="BY100" s="112"/>
      <c r="CA100" s="58"/>
      <c r="CB100" s="58"/>
      <c r="CC100" s="88"/>
      <c r="CD100" s="88"/>
      <c r="CE100" s="88"/>
    </row>
    <row r="101" spans="2:83" ht="13.5" customHeight="1">
      <c r="B101" t="s">
        <v>111</v>
      </c>
      <c r="D101" s="16">
        <v>130</v>
      </c>
      <c r="E101" s="16">
        <v>362</v>
      </c>
      <c r="F101" s="16">
        <v>492</v>
      </c>
      <c r="H101" s="16">
        <f>1016-F101</f>
        <v>524</v>
      </c>
      <c r="I101" s="85">
        <f t="shared" si="28"/>
        <v>-2644</v>
      </c>
      <c r="J101" s="16">
        <f t="shared" si="29"/>
        <v>-2120</v>
      </c>
      <c r="K101" s="58"/>
      <c r="L101" s="58">
        <v>-1628</v>
      </c>
      <c r="N101" s="16">
        <v>1779</v>
      </c>
      <c r="O101" s="16">
        <f t="shared" si="30"/>
        <v>1658</v>
      </c>
      <c r="P101" s="16">
        <v>3437</v>
      </c>
      <c r="R101" s="16">
        <f>3006-P101</f>
        <v>-431</v>
      </c>
      <c r="S101" s="85">
        <f t="shared" si="31"/>
        <v>748</v>
      </c>
      <c r="T101" s="16">
        <f t="shared" si="32"/>
        <v>317</v>
      </c>
      <c r="U101" s="58"/>
      <c r="V101" s="58">
        <v>3754</v>
      </c>
      <c r="X101" s="16">
        <v>225</v>
      </c>
      <c r="Y101" s="16">
        <v>1132</v>
      </c>
      <c r="Z101" s="16">
        <v>1357</v>
      </c>
      <c r="AB101" s="16">
        <v>1698</v>
      </c>
      <c r="AC101" s="85">
        <f t="shared" si="33"/>
        <v>1111</v>
      </c>
      <c r="AD101" s="16">
        <f t="shared" si="34"/>
        <v>2809</v>
      </c>
      <c r="AE101" s="58"/>
      <c r="AF101" s="181">
        <v>4166</v>
      </c>
      <c r="AH101" s="112"/>
      <c r="AI101" s="112"/>
      <c r="AJ101" s="112"/>
      <c r="AL101" s="112"/>
      <c r="AM101" s="58"/>
      <c r="AN101" s="112"/>
      <c r="AO101" s="58"/>
      <c r="AP101" s="58"/>
      <c r="AR101" s="112"/>
      <c r="AS101" s="112"/>
      <c r="AT101" s="112"/>
      <c r="AV101" s="74"/>
      <c r="AW101" s="58"/>
      <c r="AX101" s="112"/>
      <c r="AY101" s="88"/>
      <c r="AZ101" s="88"/>
      <c r="BB101" s="112"/>
      <c r="BC101" s="112"/>
      <c r="BD101" s="112"/>
      <c r="BF101" s="74"/>
      <c r="BG101" s="58"/>
      <c r="BH101" s="88"/>
      <c r="BI101" s="88"/>
      <c r="BJ101" s="88"/>
      <c r="BL101" s="112"/>
      <c r="BM101" s="112"/>
      <c r="BN101" s="112"/>
      <c r="BP101" s="97"/>
      <c r="BQ101" s="58"/>
      <c r="BR101" s="88"/>
      <c r="BS101" s="88"/>
      <c r="BT101" s="88"/>
      <c r="BW101" s="112"/>
      <c r="BX101" s="112"/>
      <c r="BY101" s="112"/>
      <c r="CA101" s="97"/>
      <c r="CB101" s="58"/>
      <c r="CC101" s="88"/>
      <c r="CD101" s="88"/>
      <c r="CE101" s="88"/>
    </row>
    <row r="102" spans="2:83" ht="13.5" customHeight="1">
      <c r="B102" t="s">
        <v>112</v>
      </c>
      <c r="D102" s="16">
        <v>132</v>
      </c>
      <c r="E102" s="16">
        <v>116</v>
      </c>
      <c r="F102" s="16">
        <v>248</v>
      </c>
      <c r="H102" s="148">
        <f>401-F102</f>
        <v>153</v>
      </c>
      <c r="I102" s="58">
        <f t="shared" si="28"/>
        <v>-789</v>
      </c>
      <c r="J102" s="58">
        <f t="shared" si="29"/>
        <v>-636</v>
      </c>
      <c r="K102" s="58"/>
      <c r="L102" s="58">
        <v>-388</v>
      </c>
      <c r="N102" s="16">
        <v>173</v>
      </c>
      <c r="O102" s="16">
        <f t="shared" si="30"/>
        <v>183</v>
      </c>
      <c r="P102" s="16">
        <v>356</v>
      </c>
      <c r="R102" s="148">
        <f>580-P102</f>
        <v>224</v>
      </c>
      <c r="S102" s="58">
        <f t="shared" si="31"/>
        <v>-202</v>
      </c>
      <c r="T102" s="58">
        <f t="shared" si="32"/>
        <v>22</v>
      </c>
      <c r="U102" s="58"/>
      <c r="V102" s="58">
        <v>378</v>
      </c>
      <c r="X102" s="16">
        <v>31</v>
      </c>
      <c r="Y102" s="16">
        <v>48</v>
      </c>
      <c r="Z102" s="16">
        <v>79</v>
      </c>
      <c r="AB102" s="148">
        <v>152</v>
      </c>
      <c r="AC102" s="58">
        <f t="shared" si="33"/>
        <v>145</v>
      </c>
      <c r="AD102" s="58">
        <f t="shared" si="34"/>
        <v>297</v>
      </c>
      <c r="AE102" s="58"/>
      <c r="AF102" s="181">
        <v>376</v>
      </c>
      <c r="AH102" s="112"/>
      <c r="AI102" s="112"/>
      <c r="AJ102" s="112"/>
      <c r="AL102" s="74"/>
      <c r="AM102" s="58"/>
      <c r="AN102" s="58"/>
      <c r="AO102" s="58"/>
      <c r="AP102" s="58"/>
      <c r="AR102" s="112"/>
      <c r="AS102" s="112"/>
      <c r="AT102" s="112"/>
      <c r="AV102" s="74"/>
      <c r="AW102" s="58"/>
      <c r="AX102" s="88"/>
      <c r="AY102" s="88"/>
      <c r="AZ102" s="88"/>
      <c r="BB102" s="112"/>
      <c r="BC102" s="112"/>
      <c r="BD102" s="112"/>
      <c r="BF102" s="74"/>
      <c r="BG102" s="58"/>
      <c r="BH102" s="88"/>
      <c r="BI102" s="88"/>
      <c r="BJ102" s="88"/>
      <c r="BL102" s="112"/>
      <c r="BM102" s="112"/>
      <c r="BN102" s="112"/>
      <c r="BP102" s="97"/>
      <c r="BQ102" s="58"/>
      <c r="BR102" s="88"/>
      <c r="BS102" s="88"/>
      <c r="BT102" s="88"/>
      <c r="BW102" s="112"/>
      <c r="BX102" s="112"/>
      <c r="BY102" s="112"/>
      <c r="CA102" s="97"/>
      <c r="CB102" s="58"/>
      <c r="CC102" s="88"/>
      <c r="CD102" s="88"/>
      <c r="CE102" s="88"/>
    </row>
    <row r="103" spans="2:83" ht="13.5" customHeight="1">
      <c r="B103" t="s">
        <v>118</v>
      </c>
      <c r="D103" s="16">
        <v>153</v>
      </c>
      <c r="E103" s="16">
        <v>199</v>
      </c>
      <c r="F103" s="16">
        <v>352</v>
      </c>
      <c r="H103" s="16">
        <f>484-F103</f>
        <v>132</v>
      </c>
      <c r="I103" s="58">
        <f t="shared" si="28"/>
        <v>-38</v>
      </c>
      <c r="J103" s="58">
        <f t="shared" si="29"/>
        <v>94</v>
      </c>
      <c r="K103" s="58"/>
      <c r="L103" s="58">
        <v>446</v>
      </c>
      <c r="N103" s="16">
        <v>211</v>
      </c>
      <c r="O103" s="16">
        <f t="shared" si="30"/>
        <v>195</v>
      </c>
      <c r="P103" s="16">
        <v>406</v>
      </c>
      <c r="R103" s="16">
        <f>598-P103</f>
        <v>192</v>
      </c>
      <c r="S103" s="58">
        <f t="shared" si="31"/>
        <v>84</v>
      </c>
      <c r="T103" s="58">
        <f t="shared" si="32"/>
        <v>276</v>
      </c>
      <c r="U103" s="58"/>
      <c r="V103" s="58">
        <v>682</v>
      </c>
      <c r="X103" s="16">
        <v>83</v>
      </c>
      <c r="Y103" s="16">
        <v>198</v>
      </c>
      <c r="Z103" s="16">
        <v>281</v>
      </c>
      <c r="AB103" s="16">
        <v>180</v>
      </c>
      <c r="AC103" s="58">
        <f t="shared" si="33"/>
        <v>-1064</v>
      </c>
      <c r="AD103" s="58">
        <f t="shared" si="34"/>
        <v>-884</v>
      </c>
      <c r="AE103" s="58"/>
      <c r="AF103" s="181">
        <v>-603</v>
      </c>
      <c r="AH103" s="112"/>
      <c r="AI103" s="112"/>
      <c r="AJ103" s="112"/>
      <c r="AL103" s="74"/>
      <c r="AM103" s="58"/>
      <c r="AN103" s="58"/>
      <c r="AO103" s="58"/>
      <c r="AP103" s="58"/>
      <c r="AR103" s="112"/>
      <c r="AS103" s="112"/>
      <c r="AT103" s="112"/>
      <c r="AV103" s="74"/>
      <c r="AW103" s="58"/>
      <c r="AX103" s="88"/>
      <c r="AY103" s="88"/>
      <c r="AZ103" s="88"/>
      <c r="BB103" s="112"/>
      <c r="BC103" s="112"/>
      <c r="BD103" s="112"/>
      <c r="BF103" s="74"/>
      <c r="BG103" s="58"/>
      <c r="BH103" s="88"/>
      <c r="BI103" s="88"/>
      <c r="BJ103" s="88"/>
      <c r="BL103" s="112"/>
      <c r="BM103" s="112"/>
      <c r="BN103" s="112"/>
      <c r="BP103" s="97"/>
      <c r="BQ103" s="58"/>
      <c r="BR103" s="88"/>
      <c r="BS103" s="88"/>
      <c r="BT103" s="88"/>
      <c r="BW103" s="112"/>
      <c r="BX103" s="112"/>
      <c r="BY103" s="112"/>
      <c r="CA103" s="97"/>
      <c r="CB103" s="58"/>
      <c r="CC103" s="88"/>
      <c r="CD103" s="88"/>
      <c r="CE103" s="88"/>
    </row>
    <row r="104" spans="2:83" ht="13.5" customHeight="1">
      <c r="B104" t="s">
        <v>119</v>
      </c>
      <c r="D104" s="16">
        <v>78</v>
      </c>
      <c r="E104" s="16">
        <v>139</v>
      </c>
      <c r="F104" s="16">
        <v>217</v>
      </c>
      <c r="H104" s="148">
        <f>313-F104</f>
        <v>96</v>
      </c>
      <c r="I104" s="58">
        <f t="shared" si="28"/>
        <v>126</v>
      </c>
      <c r="J104" s="58">
        <f t="shared" si="29"/>
        <v>222</v>
      </c>
      <c r="K104" s="58"/>
      <c r="L104" s="58">
        <v>439</v>
      </c>
      <c r="N104" s="16">
        <v>110</v>
      </c>
      <c r="O104" s="16">
        <f t="shared" si="30"/>
        <v>103</v>
      </c>
      <c r="P104" s="16">
        <v>213</v>
      </c>
      <c r="R104" s="148">
        <f>409-P104</f>
        <v>196</v>
      </c>
      <c r="S104" s="58">
        <f t="shared" si="31"/>
        <v>148</v>
      </c>
      <c r="T104" s="58">
        <f t="shared" si="32"/>
        <v>344</v>
      </c>
      <c r="U104" s="58"/>
      <c r="V104" s="58">
        <v>557</v>
      </c>
      <c r="X104" s="16">
        <v>111</v>
      </c>
      <c r="Y104" s="16">
        <v>126</v>
      </c>
      <c r="Z104" s="16">
        <v>237</v>
      </c>
      <c r="AB104" s="148">
        <v>131</v>
      </c>
      <c r="AC104" s="58">
        <f t="shared" si="33"/>
        <v>568</v>
      </c>
      <c r="AD104" s="58">
        <f t="shared" si="34"/>
        <v>699</v>
      </c>
      <c r="AE104" s="58"/>
      <c r="AF104" s="181">
        <v>936</v>
      </c>
      <c r="AH104" s="112"/>
      <c r="AI104" s="112"/>
      <c r="AJ104" s="112"/>
      <c r="AL104" s="74"/>
      <c r="AM104" s="58"/>
      <c r="AN104" s="58"/>
      <c r="AO104" s="58"/>
      <c r="AP104" s="58"/>
      <c r="AR104" s="112"/>
      <c r="AS104" s="112"/>
      <c r="AT104" s="112"/>
      <c r="AV104" s="74"/>
      <c r="AW104" s="58"/>
      <c r="AX104" s="88"/>
      <c r="AY104" s="88"/>
      <c r="AZ104" s="88"/>
      <c r="BB104" s="112"/>
      <c r="BC104" s="112"/>
      <c r="BD104" s="112"/>
      <c r="BF104" s="74"/>
      <c r="BG104" s="58"/>
      <c r="BH104" s="88"/>
      <c r="BI104" s="88"/>
      <c r="BJ104" s="88"/>
      <c r="BL104" s="112"/>
      <c r="BM104" s="112"/>
      <c r="BN104" s="112"/>
      <c r="BP104" s="97"/>
      <c r="BQ104" s="58"/>
      <c r="BR104" s="88"/>
      <c r="BS104" s="88"/>
      <c r="BT104" s="88"/>
      <c r="BW104" s="112"/>
      <c r="BX104" s="112"/>
      <c r="BY104" s="112"/>
      <c r="CA104" s="97"/>
      <c r="CB104" s="58"/>
      <c r="CC104" s="88"/>
      <c r="CD104" s="88"/>
      <c r="CE104" s="88"/>
    </row>
    <row r="105" spans="2:83" ht="13.5" customHeight="1">
      <c r="D105" s="16"/>
      <c r="E105" s="16"/>
      <c r="F105" s="16"/>
      <c r="H105" s="148"/>
      <c r="I105" s="240"/>
      <c r="J105" s="240"/>
      <c r="K105" s="58"/>
      <c r="L105" s="239"/>
      <c r="N105" s="16"/>
      <c r="O105" s="16"/>
      <c r="P105" s="16"/>
      <c r="R105" s="148"/>
      <c r="S105" s="58"/>
      <c r="T105" s="58"/>
      <c r="U105" s="58"/>
      <c r="V105" s="112"/>
      <c r="X105" s="16"/>
      <c r="Y105" s="16"/>
      <c r="Z105" s="16"/>
      <c r="AB105" s="148"/>
      <c r="AC105" s="58"/>
      <c r="AD105" s="58"/>
      <c r="AE105" s="58"/>
      <c r="AF105" s="201"/>
      <c r="AH105" s="112"/>
      <c r="AI105" s="112"/>
      <c r="AJ105" s="112"/>
      <c r="AL105" s="74"/>
      <c r="AM105" s="58"/>
      <c r="AN105" s="58"/>
      <c r="AO105" s="58"/>
      <c r="AP105" s="112"/>
      <c r="AR105" s="112"/>
      <c r="AS105" s="112"/>
      <c r="AT105" s="112"/>
      <c r="AV105" s="74"/>
      <c r="AW105" s="58"/>
      <c r="AX105" s="88"/>
      <c r="AY105" s="88"/>
      <c r="AZ105" s="98"/>
      <c r="BB105" s="112"/>
      <c r="BC105" s="112"/>
      <c r="BD105" s="112"/>
      <c r="BG105" s="58"/>
      <c r="BH105" s="88"/>
      <c r="BI105" s="88"/>
      <c r="BJ105" s="98"/>
      <c r="BL105" s="112"/>
      <c r="BM105" s="112"/>
      <c r="BN105" s="112"/>
      <c r="BQ105" s="58"/>
      <c r="BR105" s="88"/>
      <c r="BS105" s="88"/>
      <c r="BT105" s="98"/>
      <c r="BW105" s="112"/>
      <c r="BX105" s="112"/>
      <c r="BY105" s="112"/>
      <c r="CB105" s="58"/>
      <c r="CC105" s="88"/>
      <c r="CD105" s="88"/>
      <c r="CE105" s="98"/>
    </row>
    <row r="106" spans="2:83" ht="13.5" customHeight="1" thickBot="1">
      <c r="B106" s="12" t="s">
        <v>153</v>
      </c>
      <c r="C106" s="12"/>
      <c r="D106" s="13">
        <v>-68</v>
      </c>
      <c r="E106" s="13">
        <v>-62</v>
      </c>
      <c r="F106" s="13">
        <v>-130</v>
      </c>
      <c r="G106" s="12"/>
      <c r="H106" s="13">
        <f>-187-F106</f>
        <v>-57</v>
      </c>
      <c r="I106" s="57">
        <f t="shared" ref="I106:I110" si="35">J106-H106</f>
        <v>-40</v>
      </c>
      <c r="J106" s="57">
        <f t="shared" ref="J106:J110" si="36">L106-F106</f>
        <v>-97</v>
      </c>
      <c r="K106" s="57"/>
      <c r="L106" s="58">
        <v>-227</v>
      </c>
      <c r="M106" s="12"/>
      <c r="N106" s="13">
        <v>-101</v>
      </c>
      <c r="O106" s="13">
        <f t="shared" ref="O106:O110" si="37">+P106-N106</f>
        <v>-70</v>
      </c>
      <c r="P106" s="13">
        <v>-171</v>
      </c>
      <c r="Q106" s="12"/>
      <c r="R106" s="13">
        <f>-238-P106</f>
        <v>-67</v>
      </c>
      <c r="S106" s="57">
        <f t="shared" ref="S106:S110" si="38">T106-R106</f>
        <v>-47</v>
      </c>
      <c r="T106" s="57">
        <f t="shared" ref="T106:T110" si="39">V106-P106</f>
        <v>-114</v>
      </c>
      <c r="U106" s="57"/>
      <c r="V106" s="58">
        <v>-285</v>
      </c>
      <c r="W106" s="12"/>
      <c r="X106" s="13">
        <v>-70</v>
      </c>
      <c r="Y106" s="13">
        <v>-66</v>
      </c>
      <c r="Z106" s="13">
        <v>-136</v>
      </c>
      <c r="AA106" s="12"/>
      <c r="AB106" s="13">
        <v>-44</v>
      </c>
      <c r="AC106" s="57">
        <f t="shared" ref="AC106:AC110" si="40">AD106-AB106</f>
        <v>-21</v>
      </c>
      <c r="AD106" s="57">
        <f t="shared" ref="AD106:AD110" si="41">AF106-Z106</f>
        <v>-65</v>
      </c>
      <c r="AE106" s="57"/>
      <c r="AF106" s="181">
        <v>-201</v>
      </c>
      <c r="AH106" s="112"/>
      <c r="AI106" s="112"/>
      <c r="AJ106" s="112"/>
      <c r="AL106" s="58"/>
      <c r="AM106" s="58"/>
      <c r="AN106" s="58"/>
      <c r="AO106" s="58"/>
      <c r="AP106" s="58"/>
      <c r="AR106" s="112"/>
      <c r="AS106" s="112"/>
      <c r="AT106" s="112"/>
      <c r="AV106" s="58"/>
      <c r="AW106" s="58"/>
      <c r="AX106" s="88"/>
      <c r="AY106" s="88"/>
      <c r="AZ106" s="88"/>
      <c r="BB106" s="112"/>
      <c r="BC106" s="112"/>
      <c r="BD106" s="112"/>
      <c r="BF106" s="58"/>
      <c r="BG106" s="58"/>
      <c r="BH106" s="88"/>
      <c r="BI106" s="88"/>
      <c r="BJ106" s="88"/>
      <c r="BL106" s="112"/>
      <c r="BM106" s="112"/>
      <c r="BN106" s="112"/>
      <c r="BP106" s="58"/>
      <c r="BQ106" s="58"/>
      <c r="BR106" s="88"/>
      <c r="BS106" s="88"/>
      <c r="BT106" s="88"/>
      <c r="BW106" s="112"/>
      <c r="BX106" s="112"/>
      <c r="BY106" s="112"/>
      <c r="CA106" s="58"/>
      <c r="CB106" s="58"/>
      <c r="CC106" s="88"/>
      <c r="CD106" s="88"/>
      <c r="CE106" s="88"/>
    </row>
    <row r="107" spans="2:83" ht="13.5" customHeight="1">
      <c r="B107" t="s">
        <v>111</v>
      </c>
      <c r="D107" s="16">
        <v>-14</v>
      </c>
      <c r="E107" s="16">
        <v>-19</v>
      </c>
      <c r="F107" s="16">
        <v>-33</v>
      </c>
      <c r="H107" s="16">
        <f>-49-F107</f>
        <v>-16</v>
      </c>
      <c r="I107" s="85">
        <f t="shared" si="35"/>
        <v>9</v>
      </c>
      <c r="J107" s="85">
        <f t="shared" si="36"/>
        <v>-7</v>
      </c>
      <c r="K107" s="58"/>
      <c r="L107" s="85">
        <v>-40</v>
      </c>
      <c r="N107" s="16">
        <v>-37</v>
      </c>
      <c r="O107" s="16">
        <f t="shared" si="37"/>
        <v>-29</v>
      </c>
      <c r="P107" s="16">
        <v>-66</v>
      </c>
      <c r="R107" s="16">
        <f>-72-P107</f>
        <v>-6</v>
      </c>
      <c r="S107" s="85">
        <f t="shared" si="38"/>
        <v>-23</v>
      </c>
      <c r="T107" s="85">
        <f t="shared" si="39"/>
        <v>-29</v>
      </c>
      <c r="U107" s="58"/>
      <c r="V107" s="85">
        <v>-95</v>
      </c>
      <c r="X107" s="16">
        <v>-22</v>
      </c>
      <c r="Y107" s="16">
        <v>-17</v>
      </c>
      <c r="Z107" s="16">
        <v>-39</v>
      </c>
      <c r="AB107" s="16">
        <v>-14</v>
      </c>
      <c r="AC107" s="85">
        <f t="shared" si="40"/>
        <v>4</v>
      </c>
      <c r="AD107" s="85">
        <f t="shared" si="41"/>
        <v>-10</v>
      </c>
      <c r="AE107" s="58"/>
      <c r="AF107" s="208">
        <v>-49</v>
      </c>
      <c r="AH107" s="112"/>
      <c r="AI107" s="112"/>
      <c r="AJ107" s="112"/>
      <c r="AL107" s="58"/>
      <c r="AM107" s="58"/>
      <c r="AN107" s="58"/>
      <c r="AO107" s="58"/>
      <c r="AP107" s="58"/>
      <c r="AR107" s="112"/>
      <c r="AS107" s="112"/>
      <c r="AT107" s="112"/>
      <c r="AV107" s="58"/>
      <c r="AW107" s="58"/>
      <c r="AX107" s="88"/>
      <c r="AY107" s="88"/>
      <c r="AZ107" s="88"/>
      <c r="BB107" s="112"/>
      <c r="BC107" s="112"/>
      <c r="BD107" s="112"/>
      <c r="BG107" s="58"/>
      <c r="BH107" s="88"/>
      <c r="BI107" s="88"/>
      <c r="BJ107" s="88"/>
      <c r="BL107" s="112"/>
      <c r="BM107" s="112"/>
      <c r="BN107" s="112"/>
      <c r="BP107" s="58"/>
      <c r="BQ107" s="58"/>
      <c r="BR107" s="88"/>
      <c r="BS107" s="88"/>
      <c r="BT107" s="88"/>
      <c r="BW107" s="112"/>
      <c r="BX107" s="112"/>
      <c r="BY107" s="112"/>
      <c r="CB107" s="58"/>
      <c r="CC107" s="88"/>
      <c r="CD107" s="88"/>
      <c r="CE107" s="88"/>
    </row>
    <row r="108" spans="2:83" ht="13.5" customHeight="1">
      <c r="B108" t="s">
        <v>112</v>
      </c>
      <c r="D108" s="16">
        <v>-5</v>
      </c>
      <c r="E108" s="16">
        <v>-20</v>
      </c>
      <c r="F108" s="16">
        <v>-25</v>
      </c>
      <c r="H108" s="16">
        <f>-48-F108</f>
        <v>-23</v>
      </c>
      <c r="I108" s="58">
        <f t="shared" si="35"/>
        <v>-10</v>
      </c>
      <c r="J108" s="58">
        <f t="shared" si="36"/>
        <v>-33</v>
      </c>
      <c r="K108" s="58"/>
      <c r="L108" s="58">
        <v>-58</v>
      </c>
      <c r="N108" s="16">
        <v>-33</v>
      </c>
      <c r="O108" s="16">
        <f t="shared" si="37"/>
        <v>-24</v>
      </c>
      <c r="P108" s="16">
        <v>-57</v>
      </c>
      <c r="R108" s="16">
        <f>-61-P108</f>
        <v>-4</v>
      </c>
      <c r="S108" s="58">
        <f t="shared" si="38"/>
        <v>-8</v>
      </c>
      <c r="T108" s="58">
        <f t="shared" si="39"/>
        <v>-12</v>
      </c>
      <c r="U108" s="58"/>
      <c r="V108" s="58">
        <v>-69</v>
      </c>
      <c r="X108" s="16">
        <v>-20</v>
      </c>
      <c r="Y108" s="16">
        <v>-26</v>
      </c>
      <c r="Z108" s="16">
        <v>-46</v>
      </c>
      <c r="AB108" s="16">
        <v>-21</v>
      </c>
      <c r="AC108" s="58">
        <f t="shared" si="40"/>
        <v>16</v>
      </c>
      <c r="AD108" s="58">
        <f t="shared" si="41"/>
        <v>-5</v>
      </c>
      <c r="AE108" s="58"/>
      <c r="AF108" s="181">
        <v>-51</v>
      </c>
      <c r="AH108" s="112"/>
      <c r="AI108" s="112"/>
      <c r="AJ108" s="112"/>
      <c r="AL108" s="112"/>
      <c r="AM108" s="58"/>
      <c r="AN108" s="58"/>
      <c r="AO108" s="58"/>
      <c r="AP108" s="58"/>
      <c r="AR108" s="112"/>
      <c r="AS108" s="112"/>
      <c r="AT108" s="112"/>
      <c r="AV108" s="112"/>
      <c r="AW108" s="58"/>
      <c r="AX108" s="88"/>
      <c r="AY108" s="88"/>
      <c r="AZ108" s="88"/>
      <c r="BB108" s="112"/>
      <c r="BC108" s="112"/>
      <c r="BD108" s="112"/>
      <c r="BF108" s="112"/>
      <c r="BG108" s="58"/>
      <c r="BH108" s="88"/>
      <c r="BI108" s="88"/>
      <c r="BJ108" s="88"/>
      <c r="BL108" s="112"/>
      <c r="BM108" s="112"/>
      <c r="BN108" s="112"/>
      <c r="BP108" s="58"/>
      <c r="BQ108" s="58"/>
      <c r="BR108" s="88"/>
      <c r="BS108" s="88"/>
      <c r="BT108" s="88"/>
      <c r="BW108" s="112"/>
      <c r="BX108" s="112"/>
      <c r="BY108" s="112"/>
      <c r="CB108" s="58"/>
      <c r="CC108" s="88"/>
      <c r="CD108" s="88"/>
      <c r="CE108" s="88"/>
    </row>
    <row r="109" spans="2:83" ht="13.5" customHeight="1">
      <c r="B109" t="s">
        <v>74</v>
      </c>
      <c r="D109" s="16">
        <v>-53</v>
      </c>
      <c r="E109" s="16">
        <v>-32</v>
      </c>
      <c r="F109" s="16">
        <v>-85</v>
      </c>
      <c r="H109" s="16">
        <f>-115-F109</f>
        <v>-30</v>
      </c>
      <c r="I109" s="58">
        <f t="shared" si="35"/>
        <v>-42</v>
      </c>
      <c r="J109" s="58">
        <f t="shared" si="36"/>
        <v>-72</v>
      </c>
      <c r="K109" s="58"/>
      <c r="L109" s="58">
        <v>-157</v>
      </c>
      <c r="N109" s="16">
        <v>-32</v>
      </c>
      <c r="O109" s="16">
        <f t="shared" si="37"/>
        <v>-23</v>
      </c>
      <c r="P109" s="16">
        <v>-55</v>
      </c>
      <c r="R109" s="16">
        <f>-126-P109</f>
        <v>-71</v>
      </c>
      <c r="S109" s="58">
        <f t="shared" si="38"/>
        <v>-18</v>
      </c>
      <c r="T109" s="58">
        <f t="shared" si="39"/>
        <v>-89</v>
      </c>
      <c r="U109" s="58"/>
      <c r="V109" s="58">
        <v>-144</v>
      </c>
      <c r="X109" s="16">
        <v>-26</v>
      </c>
      <c r="Y109" s="16">
        <v>-23</v>
      </c>
      <c r="Z109" s="16">
        <v>-49</v>
      </c>
      <c r="AB109" s="16">
        <v>-9</v>
      </c>
      <c r="AC109" s="58">
        <f t="shared" si="40"/>
        <v>-41</v>
      </c>
      <c r="AD109" s="58">
        <f t="shared" si="41"/>
        <v>-50</v>
      </c>
      <c r="AE109" s="58"/>
      <c r="AF109" s="181">
        <v>-99</v>
      </c>
      <c r="AH109" s="112"/>
      <c r="AI109" s="112"/>
      <c r="AJ109" s="112"/>
      <c r="AL109" s="178"/>
      <c r="AM109" s="58"/>
      <c r="AN109" s="58"/>
      <c r="AO109" s="58"/>
      <c r="AP109" s="58"/>
      <c r="AR109" s="112"/>
      <c r="AS109" s="112"/>
      <c r="AT109" s="112"/>
      <c r="AV109" s="178"/>
      <c r="AW109" s="58"/>
      <c r="AX109" s="88"/>
      <c r="AY109" s="88"/>
      <c r="AZ109" s="88"/>
      <c r="BB109" s="112"/>
      <c r="BC109" s="112"/>
      <c r="BD109" s="112"/>
      <c r="BG109" s="58"/>
      <c r="BH109" s="88"/>
      <c r="BI109" s="88"/>
      <c r="BJ109" s="88"/>
      <c r="BL109" s="112"/>
      <c r="BM109" s="112"/>
      <c r="BN109" s="112"/>
      <c r="BP109" s="58"/>
      <c r="BQ109" s="58"/>
      <c r="BR109" s="88"/>
      <c r="BS109" s="88"/>
      <c r="BT109" s="88"/>
      <c r="BW109" s="112"/>
      <c r="BX109" s="112"/>
      <c r="BY109" s="112"/>
      <c r="CB109" s="58"/>
      <c r="CC109" s="88"/>
      <c r="CD109" s="88"/>
      <c r="CE109" s="88"/>
    </row>
    <row r="110" spans="2:83" ht="13.5" customHeight="1">
      <c r="B110" t="s">
        <v>119</v>
      </c>
      <c r="D110" s="16">
        <v>4</v>
      </c>
      <c r="E110" s="16">
        <v>9</v>
      </c>
      <c r="F110" s="16">
        <v>13</v>
      </c>
      <c r="H110" s="16">
        <f>25-F110</f>
        <v>12</v>
      </c>
      <c r="I110" s="58">
        <f t="shared" si="35"/>
        <v>3</v>
      </c>
      <c r="J110" s="58">
        <f t="shared" si="36"/>
        <v>15</v>
      </c>
      <c r="K110" s="58"/>
      <c r="L110" s="58">
        <v>28</v>
      </c>
      <c r="N110" s="16">
        <v>1</v>
      </c>
      <c r="O110" s="16">
        <f t="shared" si="37"/>
        <v>6</v>
      </c>
      <c r="P110" s="16">
        <v>7</v>
      </c>
      <c r="R110" s="16">
        <f>+R106-R107-R108-R109</f>
        <v>14</v>
      </c>
      <c r="S110" s="58">
        <f t="shared" si="38"/>
        <v>2</v>
      </c>
      <c r="T110" s="58">
        <f t="shared" si="39"/>
        <v>16</v>
      </c>
      <c r="U110" s="58"/>
      <c r="V110" s="58">
        <v>23</v>
      </c>
      <c r="X110" s="16">
        <v>-2</v>
      </c>
      <c r="Y110" s="16">
        <v>0</v>
      </c>
      <c r="Z110" s="16">
        <v>-2</v>
      </c>
      <c r="AB110" s="16">
        <v>0</v>
      </c>
      <c r="AC110" s="58">
        <f t="shared" si="40"/>
        <v>0</v>
      </c>
      <c r="AD110" s="58">
        <f t="shared" si="41"/>
        <v>0</v>
      </c>
      <c r="AE110" s="58"/>
      <c r="AF110" s="181">
        <v>-2</v>
      </c>
      <c r="AH110" s="112"/>
      <c r="AI110" s="112"/>
      <c r="AJ110" s="112"/>
      <c r="AL110" s="178"/>
      <c r="AM110" s="58"/>
      <c r="AN110" s="58"/>
      <c r="AO110" s="58"/>
      <c r="AP110" s="58"/>
      <c r="AR110" s="112"/>
      <c r="AS110" s="112"/>
      <c r="AT110" s="112"/>
      <c r="AV110" s="178"/>
      <c r="AW110" s="58"/>
      <c r="AX110" s="88"/>
      <c r="AY110" s="88"/>
      <c r="AZ110" s="88"/>
      <c r="BB110" s="112"/>
      <c r="BC110" s="112"/>
      <c r="BD110" s="112"/>
      <c r="BG110" s="58"/>
      <c r="BH110" s="88"/>
      <c r="BI110" s="88"/>
      <c r="BJ110" s="88"/>
      <c r="BL110" s="112"/>
      <c r="BM110" s="112"/>
      <c r="BN110" s="112"/>
      <c r="BP110" s="58"/>
      <c r="BQ110" s="58"/>
      <c r="BR110" s="88"/>
      <c r="BS110" s="88"/>
      <c r="BT110" s="88"/>
      <c r="BW110" s="112"/>
      <c r="BX110" s="112"/>
      <c r="BY110" s="112"/>
      <c r="CB110" s="58"/>
      <c r="CC110" s="88"/>
      <c r="CD110" s="88"/>
      <c r="CE110" s="88"/>
    </row>
    <row r="111" spans="2:83" ht="13.5" customHeight="1">
      <c r="D111" s="16"/>
      <c r="E111" s="16"/>
      <c r="F111" s="16"/>
      <c r="I111" s="240"/>
      <c r="J111" s="240"/>
      <c r="K111" s="58"/>
      <c r="L111" s="239"/>
      <c r="N111" s="16"/>
      <c r="O111" s="16"/>
      <c r="P111" s="16"/>
      <c r="S111" s="58"/>
      <c r="T111" s="58"/>
      <c r="U111" s="58"/>
      <c r="V111" s="112"/>
      <c r="X111" s="16"/>
      <c r="Y111" s="16"/>
      <c r="Z111" s="16"/>
      <c r="AC111" s="58"/>
      <c r="AD111" s="58"/>
      <c r="AE111" s="58"/>
      <c r="AF111" s="201"/>
      <c r="AH111" s="112"/>
      <c r="AI111" s="112"/>
      <c r="AJ111" s="112"/>
      <c r="AM111" s="58"/>
      <c r="AN111" s="58"/>
      <c r="AO111" s="58"/>
      <c r="AP111" s="112"/>
      <c r="AR111" s="112"/>
      <c r="AS111" s="112"/>
      <c r="AT111" s="112"/>
      <c r="AW111" s="58"/>
      <c r="AX111" s="88"/>
      <c r="AY111" s="88"/>
      <c r="AZ111" s="98"/>
      <c r="BB111" s="112"/>
      <c r="BC111" s="112"/>
      <c r="BD111" s="112"/>
      <c r="BG111" s="58"/>
      <c r="BH111" s="88"/>
      <c r="BI111" s="88"/>
      <c r="BJ111" s="98"/>
      <c r="BL111" s="112"/>
      <c r="BM111" s="112"/>
      <c r="BN111" s="112"/>
      <c r="BQ111" s="58"/>
      <c r="BR111" s="88"/>
      <c r="BS111" s="88"/>
      <c r="BT111" s="98"/>
      <c r="BW111" s="112"/>
      <c r="BX111" s="112"/>
      <c r="BY111" s="112"/>
      <c r="CB111" s="58"/>
      <c r="CC111" s="88"/>
      <c r="CD111" s="88"/>
      <c r="CE111" s="98"/>
    </row>
    <row r="112" spans="2:83" ht="13.5" customHeight="1" thickBot="1">
      <c r="B112" s="12" t="s">
        <v>166</v>
      </c>
      <c r="C112" s="12"/>
      <c r="D112" s="13">
        <v>174</v>
      </c>
      <c r="E112" s="13">
        <v>536</v>
      </c>
      <c r="F112" s="13">
        <v>710</v>
      </c>
      <c r="G112" s="12"/>
      <c r="H112" s="57">
        <f>1246-F112</f>
        <v>536</v>
      </c>
      <c r="I112" s="57">
        <f t="shared" ref="I112:I116" si="42">J112-H112</f>
        <v>-3125</v>
      </c>
      <c r="J112" s="57">
        <f t="shared" ref="J112:J116" si="43">L112-F112</f>
        <v>-2589</v>
      </c>
      <c r="K112" s="57"/>
      <c r="L112" s="57">
        <v>-1879</v>
      </c>
      <c r="M112" s="12"/>
      <c r="N112" s="13">
        <v>1451</v>
      </c>
      <c r="O112" s="13">
        <f t="shared" ref="O112:O116" si="44">+P112-N112</f>
        <v>1400</v>
      </c>
      <c r="P112" s="13">
        <v>2851</v>
      </c>
      <c r="Q112" s="12"/>
      <c r="R112" s="57">
        <f>2783-P112</f>
        <v>-68</v>
      </c>
      <c r="S112" s="57">
        <f t="shared" ref="S112:S116" si="45">T112-R112</f>
        <v>440</v>
      </c>
      <c r="T112" s="57">
        <f t="shared" ref="T112:T116" si="46">V112-P112</f>
        <v>372</v>
      </c>
      <c r="U112" s="57"/>
      <c r="V112" s="57">
        <v>3223</v>
      </c>
      <c r="W112" s="12"/>
      <c r="X112" s="13">
        <v>190</v>
      </c>
      <c r="Y112" s="13">
        <v>1043</v>
      </c>
      <c r="Z112" s="13">
        <v>1233</v>
      </c>
      <c r="AA112" s="12"/>
      <c r="AB112" s="57">
        <v>1461</v>
      </c>
      <c r="AC112" s="57">
        <f t="shared" ref="AC112:AC116" si="47">AD112-AB112</f>
        <v>925</v>
      </c>
      <c r="AD112" s="57">
        <f t="shared" ref="AD112:AD116" si="48">AF112-Z112</f>
        <v>2386</v>
      </c>
      <c r="AE112" s="57"/>
      <c r="AF112" s="200">
        <v>3619</v>
      </c>
      <c r="AH112" s="112"/>
      <c r="AI112" s="112"/>
      <c r="AJ112" s="112"/>
      <c r="AL112" s="58"/>
      <c r="AM112" s="58"/>
      <c r="AN112" s="58"/>
      <c r="AO112" s="58"/>
      <c r="AP112" s="58"/>
      <c r="AR112" s="112"/>
      <c r="AS112" s="112"/>
      <c r="AT112" s="112"/>
      <c r="AV112" s="58"/>
      <c r="AW112" s="58"/>
      <c r="AX112" s="88"/>
      <c r="AY112" s="88"/>
      <c r="AZ112" s="88"/>
      <c r="BB112" s="112"/>
      <c r="BC112" s="112"/>
      <c r="BD112" s="112"/>
      <c r="BF112" s="58"/>
      <c r="BG112" s="58"/>
      <c r="BH112" s="88"/>
      <c r="BI112" s="88"/>
      <c r="BJ112" s="88"/>
      <c r="BL112" s="112"/>
      <c r="BM112" s="112"/>
      <c r="BN112" s="112"/>
      <c r="BP112" s="58"/>
      <c r="BQ112" s="58"/>
      <c r="BR112" s="88"/>
      <c r="BS112" s="88"/>
      <c r="BT112" s="88"/>
      <c r="BW112" s="112"/>
      <c r="BX112" s="112"/>
      <c r="BY112" s="112"/>
      <c r="CA112" s="58"/>
      <c r="CB112" s="58"/>
      <c r="CC112" s="88"/>
      <c r="CD112" s="88"/>
      <c r="CE112" s="88"/>
    </row>
    <row r="113" spans="2:83" ht="13.5" customHeight="1">
      <c r="B113" t="s">
        <v>111</v>
      </c>
      <c r="D113" s="16">
        <v>45</v>
      </c>
      <c r="E113" s="16">
        <v>270</v>
      </c>
      <c r="F113" s="16">
        <v>315</v>
      </c>
      <c r="H113" s="16">
        <f>697-F113</f>
        <v>382</v>
      </c>
      <c r="I113" s="85">
        <f t="shared" si="42"/>
        <v>-2323</v>
      </c>
      <c r="J113" s="85">
        <f t="shared" si="43"/>
        <v>-1941</v>
      </c>
      <c r="K113" s="58"/>
      <c r="L113" s="58">
        <v>-1626</v>
      </c>
      <c r="N113" s="16">
        <v>1254</v>
      </c>
      <c r="O113" s="16">
        <f t="shared" si="44"/>
        <v>1176</v>
      </c>
      <c r="P113" s="16">
        <v>2430</v>
      </c>
      <c r="R113" s="16">
        <f>2108-P113</f>
        <v>-322</v>
      </c>
      <c r="S113" s="85">
        <f t="shared" si="45"/>
        <v>423</v>
      </c>
      <c r="T113" s="85">
        <f t="shared" si="46"/>
        <v>101</v>
      </c>
      <c r="U113" s="58"/>
      <c r="V113" s="58">
        <v>2531</v>
      </c>
      <c r="X113" s="16">
        <v>121</v>
      </c>
      <c r="Y113" s="16">
        <v>901</v>
      </c>
      <c r="Z113" s="16">
        <v>1022</v>
      </c>
      <c r="AB113" s="16">
        <v>1290</v>
      </c>
      <c r="AC113" s="85">
        <f t="shared" si="47"/>
        <v>1000</v>
      </c>
      <c r="AD113" s="85">
        <f t="shared" si="48"/>
        <v>2290</v>
      </c>
      <c r="AE113" s="58"/>
      <c r="AF113" s="181">
        <v>3312</v>
      </c>
      <c r="AH113" s="112"/>
      <c r="AI113" s="112"/>
      <c r="AJ113" s="112"/>
      <c r="AL113" s="112"/>
      <c r="AM113" s="58"/>
      <c r="AN113" s="58"/>
      <c r="AO113" s="58"/>
      <c r="AP113" s="58"/>
      <c r="AR113" s="112"/>
      <c r="AS113" s="112"/>
      <c r="AT113" s="112"/>
      <c r="AV113" s="112"/>
      <c r="AW113" s="58"/>
      <c r="AX113" s="88"/>
      <c r="AY113" s="88"/>
      <c r="AZ113" s="88"/>
      <c r="BB113" s="112"/>
      <c r="BC113" s="112"/>
      <c r="BD113" s="112"/>
      <c r="BF113" s="112"/>
      <c r="BG113" s="58"/>
      <c r="BH113" s="88"/>
      <c r="BI113" s="88"/>
      <c r="BJ113" s="88"/>
      <c r="BL113" s="112"/>
      <c r="BM113" s="112"/>
      <c r="BN113" s="112"/>
      <c r="BP113" s="112"/>
      <c r="BQ113" s="58"/>
      <c r="BR113" s="88"/>
      <c r="BS113" s="88"/>
      <c r="BT113" s="88"/>
      <c r="BW113" s="112"/>
      <c r="BX113" s="112"/>
      <c r="BY113" s="112"/>
      <c r="CA113" s="112"/>
      <c r="CB113" s="58"/>
      <c r="CC113" s="88"/>
      <c r="CD113" s="88"/>
      <c r="CE113" s="88"/>
    </row>
    <row r="114" spans="2:83" ht="13.5" customHeight="1">
      <c r="B114" t="s">
        <v>112</v>
      </c>
      <c r="D114" s="16">
        <v>69</v>
      </c>
      <c r="E114" s="16">
        <v>55</v>
      </c>
      <c r="F114" s="16">
        <v>124</v>
      </c>
      <c r="H114" s="148">
        <f>164-F114</f>
        <v>40</v>
      </c>
      <c r="I114" s="58">
        <f t="shared" si="42"/>
        <v>-788</v>
      </c>
      <c r="J114" s="58">
        <f t="shared" si="43"/>
        <v>-748</v>
      </c>
      <c r="K114" s="58"/>
      <c r="L114" s="58">
        <v>-624</v>
      </c>
      <c r="N114" s="16">
        <v>73</v>
      </c>
      <c r="O114" s="16">
        <f t="shared" si="44"/>
        <v>71</v>
      </c>
      <c r="P114" s="16">
        <v>144</v>
      </c>
      <c r="R114" s="148">
        <f>228-P114</f>
        <v>84</v>
      </c>
      <c r="S114" s="58">
        <f t="shared" si="45"/>
        <v>-143</v>
      </c>
      <c r="T114" s="58">
        <f t="shared" si="46"/>
        <v>-59</v>
      </c>
      <c r="U114" s="58"/>
      <c r="V114" s="58">
        <v>85</v>
      </c>
      <c r="X114" s="16">
        <v>-1</v>
      </c>
      <c r="Y114" s="16">
        <v>-11</v>
      </c>
      <c r="Z114" s="16">
        <v>-12</v>
      </c>
      <c r="AB114" s="148">
        <v>13</v>
      </c>
      <c r="AC114" s="58">
        <f t="shared" si="47"/>
        <v>92</v>
      </c>
      <c r="AD114" s="58">
        <f t="shared" si="48"/>
        <v>105</v>
      </c>
      <c r="AE114" s="58"/>
      <c r="AF114" s="181">
        <v>93</v>
      </c>
      <c r="AH114" s="112"/>
      <c r="AI114" s="112"/>
      <c r="AJ114" s="112"/>
      <c r="AL114" s="74"/>
      <c r="AM114" s="58"/>
      <c r="AN114" s="58"/>
      <c r="AO114" s="58"/>
      <c r="AP114" s="58"/>
      <c r="AR114" s="112"/>
      <c r="AS114" s="112"/>
      <c r="AT114" s="112"/>
      <c r="AV114" s="74"/>
      <c r="AW114" s="58"/>
      <c r="AX114" s="88"/>
      <c r="AY114" s="88"/>
      <c r="AZ114" s="88"/>
      <c r="BB114" s="112"/>
      <c r="BC114" s="112"/>
      <c r="BD114" s="112"/>
      <c r="BF114" s="74"/>
      <c r="BG114" s="58"/>
      <c r="BH114" s="88"/>
      <c r="BI114" s="88"/>
      <c r="BJ114" s="88"/>
      <c r="BL114" s="112"/>
      <c r="BM114" s="112"/>
      <c r="BN114" s="112"/>
      <c r="BP114" s="97"/>
      <c r="BQ114" s="58"/>
      <c r="BR114" s="88"/>
      <c r="BS114" s="88"/>
      <c r="BT114" s="88"/>
      <c r="BW114" s="112"/>
      <c r="BX114" s="112"/>
      <c r="BY114" s="112"/>
      <c r="CA114" s="97"/>
      <c r="CB114" s="58"/>
      <c r="CC114" s="88"/>
      <c r="CD114" s="88"/>
      <c r="CE114" s="88"/>
    </row>
    <row r="115" spans="2:83" ht="13.5" customHeight="1">
      <c r="B115" t="s">
        <v>74</v>
      </c>
      <c r="D115" s="16">
        <v>40</v>
      </c>
      <c r="E115" s="16">
        <v>131</v>
      </c>
      <c r="F115" s="16">
        <v>171</v>
      </c>
      <c r="H115" s="16">
        <f>240-F115</f>
        <v>69</v>
      </c>
      <c r="I115" s="58">
        <f t="shared" si="42"/>
        <v>-74</v>
      </c>
      <c r="J115" s="58">
        <f t="shared" si="43"/>
        <v>-5</v>
      </c>
      <c r="K115" s="58"/>
      <c r="L115" s="58">
        <v>166</v>
      </c>
      <c r="N115" s="16">
        <v>103</v>
      </c>
      <c r="O115" s="16">
        <f t="shared" si="44"/>
        <v>113</v>
      </c>
      <c r="P115" s="16">
        <v>216</v>
      </c>
      <c r="R115" s="16">
        <f>290-P115</f>
        <v>74</v>
      </c>
      <c r="S115" s="58">
        <f t="shared" si="45"/>
        <v>101</v>
      </c>
      <c r="T115" s="58">
        <f t="shared" si="46"/>
        <v>175</v>
      </c>
      <c r="U115" s="58"/>
      <c r="V115" s="58">
        <v>391</v>
      </c>
      <c r="X115" s="16">
        <v>36</v>
      </c>
      <c r="Y115" s="16">
        <v>99</v>
      </c>
      <c r="Z115" s="16">
        <v>135</v>
      </c>
      <c r="AB115" s="16">
        <v>101</v>
      </c>
      <c r="AC115" s="58">
        <f t="shared" si="47"/>
        <v>-520</v>
      </c>
      <c r="AD115" s="58">
        <f t="shared" si="48"/>
        <v>-419</v>
      </c>
      <c r="AE115" s="58"/>
      <c r="AF115" s="181">
        <v>-284</v>
      </c>
      <c r="AH115" s="112"/>
      <c r="AI115" s="112"/>
      <c r="AJ115" s="112"/>
      <c r="AL115" s="74"/>
      <c r="AM115" s="58"/>
      <c r="AN115" s="58"/>
      <c r="AO115" s="58"/>
      <c r="AP115" s="58"/>
      <c r="AR115" s="112"/>
      <c r="AS115" s="112"/>
      <c r="AT115" s="112"/>
      <c r="AV115" s="74"/>
      <c r="AW115" s="58"/>
      <c r="AX115" s="88"/>
      <c r="AY115" s="88"/>
      <c r="AZ115" s="88"/>
      <c r="BB115" s="112"/>
      <c r="BC115" s="112"/>
      <c r="BD115" s="112"/>
      <c r="BF115" s="74"/>
      <c r="BG115" s="58"/>
      <c r="BH115" s="88"/>
      <c r="BI115" s="88"/>
      <c r="BJ115" s="88"/>
      <c r="BL115" s="112"/>
      <c r="BM115" s="112"/>
      <c r="BN115" s="112"/>
      <c r="BP115" s="97"/>
      <c r="BQ115" s="58"/>
      <c r="BR115" s="88"/>
      <c r="BS115" s="88"/>
      <c r="BT115" s="88"/>
      <c r="BW115" s="112"/>
      <c r="BX115" s="112"/>
      <c r="BY115" s="112"/>
      <c r="CA115" s="97"/>
      <c r="CB115" s="58"/>
      <c r="CC115" s="88"/>
      <c r="CD115" s="88"/>
      <c r="CE115" s="88"/>
    </row>
    <row r="116" spans="2:83" ht="13.5" customHeight="1">
      <c r="B116" t="s">
        <v>119</v>
      </c>
      <c r="D116" s="16">
        <v>20</v>
      </c>
      <c r="E116" s="16">
        <v>80</v>
      </c>
      <c r="F116" s="16">
        <v>100</v>
      </c>
      <c r="H116" s="148">
        <f>145-F116</f>
        <v>45</v>
      </c>
      <c r="I116" s="58">
        <f t="shared" si="42"/>
        <v>60</v>
      </c>
      <c r="J116" s="58">
        <f t="shared" si="43"/>
        <v>105</v>
      </c>
      <c r="K116" s="58"/>
      <c r="L116" s="58">
        <v>205</v>
      </c>
      <c r="N116" s="16">
        <v>21</v>
      </c>
      <c r="O116" s="16">
        <f t="shared" si="44"/>
        <v>40</v>
      </c>
      <c r="P116" s="16">
        <v>61</v>
      </c>
      <c r="R116" s="148">
        <f>+R112-R113-R114-R115</f>
        <v>96</v>
      </c>
      <c r="S116" s="58">
        <f t="shared" si="45"/>
        <v>59</v>
      </c>
      <c r="T116" s="58">
        <f t="shared" si="46"/>
        <v>155</v>
      </c>
      <c r="U116" s="58"/>
      <c r="V116" s="58">
        <v>216</v>
      </c>
      <c r="X116" s="16">
        <v>34</v>
      </c>
      <c r="Y116" s="16">
        <v>54</v>
      </c>
      <c r="Z116" s="16">
        <v>88</v>
      </c>
      <c r="AB116" s="148">
        <v>57</v>
      </c>
      <c r="AC116" s="58">
        <f t="shared" si="47"/>
        <v>353</v>
      </c>
      <c r="AD116" s="58">
        <f t="shared" si="48"/>
        <v>410</v>
      </c>
      <c r="AE116" s="58"/>
      <c r="AF116" s="181">
        <v>498</v>
      </c>
      <c r="AH116" s="112"/>
      <c r="AI116" s="112"/>
      <c r="AJ116" s="112"/>
      <c r="AL116" s="74"/>
      <c r="AM116" s="58"/>
      <c r="AN116" s="58"/>
      <c r="AO116" s="58"/>
      <c r="AP116" s="58"/>
      <c r="AR116" s="112"/>
      <c r="AS116" s="112"/>
      <c r="AT116" s="112"/>
      <c r="AV116" s="74"/>
      <c r="AW116" s="58"/>
      <c r="AX116" s="88"/>
      <c r="AY116" s="88"/>
      <c r="AZ116" s="88"/>
      <c r="BB116" s="112"/>
      <c r="BC116" s="112"/>
      <c r="BD116" s="112"/>
      <c r="BF116" s="74"/>
      <c r="BG116" s="58"/>
      <c r="BH116" s="88"/>
      <c r="BI116" s="88"/>
      <c r="BJ116" s="88"/>
      <c r="BL116" s="112"/>
      <c r="BM116" s="112"/>
      <c r="BN116" s="112"/>
      <c r="BP116" s="97"/>
      <c r="BQ116" s="58"/>
      <c r="BR116" s="88"/>
      <c r="BS116" s="88"/>
      <c r="BT116" s="88"/>
      <c r="BW116" s="112"/>
      <c r="BX116" s="112"/>
      <c r="BY116" s="112"/>
      <c r="CA116" s="97"/>
      <c r="CB116" s="58"/>
      <c r="CC116" s="88"/>
      <c r="CD116" s="88"/>
      <c r="CE116" s="88"/>
    </row>
    <row r="117" spans="2:83" ht="5.0999999999999996" customHeight="1">
      <c r="D117" s="16"/>
      <c r="E117" s="16"/>
      <c r="F117" s="16"/>
      <c r="I117" s="58"/>
      <c r="J117" s="58"/>
      <c r="K117" s="58"/>
      <c r="L117" s="181"/>
      <c r="N117" s="16"/>
      <c r="O117" s="16"/>
      <c r="P117" s="16"/>
      <c r="S117" s="58"/>
      <c r="T117" s="58"/>
      <c r="U117" s="58"/>
      <c r="V117" s="181"/>
      <c r="X117" s="16"/>
      <c r="Y117" s="16"/>
      <c r="Z117" s="16"/>
      <c r="AC117" s="58"/>
      <c r="AD117" s="58"/>
      <c r="AE117" s="58"/>
      <c r="AF117" s="181"/>
      <c r="AH117" s="112"/>
      <c r="AI117" s="112"/>
      <c r="AJ117" s="112"/>
      <c r="AM117" s="58"/>
      <c r="AN117" s="58"/>
      <c r="AO117" s="58"/>
      <c r="AP117" s="58"/>
      <c r="AR117" s="112"/>
      <c r="AS117" s="112"/>
      <c r="AT117" s="112"/>
      <c r="AW117" s="58"/>
      <c r="AX117" s="88"/>
      <c r="AY117" s="88"/>
      <c r="AZ117" s="88"/>
      <c r="BB117" s="112"/>
      <c r="BC117" s="112"/>
      <c r="BD117" s="112"/>
      <c r="BG117" s="58"/>
      <c r="BH117" s="88"/>
      <c r="BI117" s="88"/>
      <c r="BJ117" s="88"/>
      <c r="BL117" s="112"/>
      <c r="BM117" s="112"/>
      <c r="BN117" s="112"/>
      <c r="BQ117" s="58"/>
      <c r="BR117" s="88"/>
      <c r="BS117" s="88"/>
      <c r="BT117" s="88"/>
      <c r="BW117" s="112"/>
      <c r="BX117" s="112"/>
      <c r="BY117" s="112"/>
      <c r="CB117" s="58"/>
      <c r="CC117" s="88"/>
      <c r="CD117" s="88"/>
      <c r="CE117" s="88"/>
    </row>
    <row r="119" spans="2:83">
      <c r="B119" s="56" t="s">
        <v>156</v>
      </c>
    </row>
    <row r="120" spans="2:83">
      <c r="B120" t="s">
        <v>1</v>
      </c>
      <c r="D120" s="132" t="str">
        <f>D5</f>
        <v>2019年度　（2019年4月-2020年3月）</v>
      </c>
      <c r="E120" s="132"/>
      <c r="F120" s="132"/>
      <c r="G120" s="132"/>
      <c r="H120" s="132"/>
      <c r="I120" s="132"/>
      <c r="J120" s="132"/>
      <c r="K120" s="132"/>
      <c r="L120" s="132"/>
      <c r="N120" s="132" t="str">
        <f>N5</f>
        <v>2018年度　（2018年4月-2019年3月）</v>
      </c>
      <c r="O120" s="132"/>
      <c r="P120" s="132"/>
      <c r="Q120" s="132"/>
      <c r="R120" s="132"/>
      <c r="S120" s="132"/>
      <c r="T120" s="132"/>
      <c r="U120" s="132"/>
      <c r="V120" s="132"/>
      <c r="X120" s="231" t="str">
        <f>X5</f>
        <v>2017年度　（2017年4月-2018年3月）</v>
      </c>
      <c r="Y120" s="231"/>
      <c r="Z120" s="231"/>
      <c r="AA120" s="231"/>
      <c r="AB120" s="231"/>
      <c r="AC120" s="231"/>
      <c r="AD120" s="231"/>
      <c r="AE120" s="231"/>
      <c r="AF120" s="231"/>
      <c r="AH120" s="5"/>
      <c r="AI120" s="5"/>
      <c r="AJ120" s="5"/>
      <c r="AK120" s="5"/>
      <c r="AL120" s="5"/>
      <c r="AM120" s="5"/>
      <c r="AN120" s="5"/>
      <c r="AO120" s="5"/>
      <c r="AP120" s="5"/>
      <c r="AR120" s="5"/>
      <c r="AS120" s="5"/>
      <c r="AT120" s="5"/>
      <c r="AU120" s="5"/>
      <c r="AV120" s="5"/>
      <c r="AW120" s="5"/>
      <c r="AX120" s="5"/>
      <c r="AY120" s="5"/>
      <c r="AZ120" s="5"/>
      <c r="BB120" s="5"/>
      <c r="BC120" s="5"/>
      <c r="BD120" s="5"/>
      <c r="BE120" s="5"/>
      <c r="BF120" s="5"/>
      <c r="BG120" s="5"/>
      <c r="BH120" s="5"/>
      <c r="BI120" s="5"/>
      <c r="BJ120" s="5"/>
      <c r="BL120" s="5"/>
      <c r="BM120" s="5"/>
      <c r="BN120" s="5"/>
      <c r="BO120" s="5"/>
      <c r="BP120" s="5"/>
      <c r="BQ120" s="5"/>
      <c r="BR120" s="5"/>
      <c r="BS120" s="5"/>
      <c r="BT120" s="5"/>
      <c r="BW120" s="5"/>
      <c r="BX120" s="5"/>
      <c r="BY120" s="5"/>
      <c r="BZ120" s="5"/>
      <c r="CA120" s="5"/>
      <c r="CB120" s="5"/>
      <c r="CC120" s="5"/>
      <c r="CD120" s="5"/>
      <c r="CE120" s="5"/>
    </row>
    <row r="121" spans="2:83" ht="3.75" customHeight="1">
      <c r="D121" s="5"/>
      <c r="E121" s="5"/>
      <c r="F121" s="5"/>
      <c r="G121" s="5"/>
      <c r="H121" s="5"/>
      <c r="I121" s="5"/>
      <c r="J121" s="5"/>
      <c r="K121" s="5"/>
      <c r="L121" s="132"/>
      <c r="N121" s="5"/>
      <c r="O121" s="5"/>
      <c r="P121" s="5"/>
      <c r="Q121" s="5"/>
      <c r="R121" s="5"/>
      <c r="S121" s="5"/>
      <c r="T121" s="5"/>
      <c r="U121" s="5"/>
      <c r="V121" s="132"/>
      <c r="X121" s="5"/>
      <c r="Y121" s="5"/>
      <c r="Z121" s="5"/>
      <c r="AA121" s="5"/>
      <c r="AB121" s="5"/>
      <c r="AC121" s="5"/>
      <c r="AD121" s="5"/>
      <c r="AE121" s="5"/>
      <c r="AF121" s="231"/>
      <c r="AH121" s="5"/>
      <c r="AI121" s="5"/>
      <c r="AJ121" s="5"/>
      <c r="AK121" s="5"/>
      <c r="AL121" s="5"/>
      <c r="AM121" s="5"/>
      <c r="AN121" s="5"/>
      <c r="AO121" s="5"/>
      <c r="AP121" s="5"/>
      <c r="AR121" s="5"/>
      <c r="AS121" s="5"/>
      <c r="AT121" s="5"/>
      <c r="AU121" s="5"/>
      <c r="AV121" s="5"/>
      <c r="AW121" s="5"/>
      <c r="AX121" s="5"/>
      <c r="AY121" s="5"/>
      <c r="AZ121" s="5"/>
      <c r="BB121" s="5"/>
      <c r="BC121" s="5"/>
      <c r="BD121" s="5"/>
      <c r="BE121" s="5"/>
      <c r="BF121" s="5"/>
      <c r="BG121" s="5"/>
      <c r="BH121" s="5"/>
      <c r="BI121" s="5"/>
      <c r="BJ121" s="5"/>
      <c r="BL121" s="5"/>
      <c r="BM121" s="5"/>
      <c r="BN121" s="5"/>
      <c r="BO121" s="5"/>
      <c r="BP121" s="5"/>
      <c r="BQ121" s="5"/>
      <c r="BR121" s="5"/>
      <c r="BS121" s="5"/>
      <c r="BT121" s="5"/>
      <c r="BW121" s="5"/>
      <c r="BX121" s="5"/>
      <c r="BY121" s="5"/>
      <c r="BZ121" s="5"/>
      <c r="CA121" s="5"/>
      <c r="CB121" s="5"/>
      <c r="CC121" s="5"/>
      <c r="CD121" s="5"/>
      <c r="CE121" s="5"/>
    </row>
    <row r="122" spans="2:83">
      <c r="D122" s="6"/>
      <c r="E122" s="6"/>
      <c r="F122" s="7" t="s">
        <v>28</v>
      </c>
      <c r="H122" s="7"/>
      <c r="I122" s="7"/>
      <c r="J122" s="7" t="s">
        <v>29</v>
      </c>
      <c r="L122" s="133" t="s">
        <v>30</v>
      </c>
      <c r="N122" s="6"/>
      <c r="O122" s="6"/>
      <c r="P122" s="7" t="s">
        <v>28</v>
      </c>
      <c r="R122" s="7"/>
      <c r="S122" s="7"/>
      <c r="T122" s="7" t="s">
        <v>29</v>
      </c>
      <c r="V122" s="133" t="s">
        <v>30</v>
      </c>
      <c r="X122" s="6"/>
      <c r="Y122" s="6"/>
      <c r="Z122" s="7" t="s">
        <v>28</v>
      </c>
      <c r="AB122" s="7"/>
      <c r="AC122" s="7"/>
      <c r="AD122" s="7" t="s">
        <v>29</v>
      </c>
      <c r="AF122" s="232" t="s">
        <v>30</v>
      </c>
      <c r="AJ122" s="8"/>
      <c r="AL122" s="8"/>
      <c r="AM122" s="8"/>
      <c r="AN122" s="8"/>
      <c r="AP122" s="8"/>
      <c r="AT122" s="8"/>
      <c r="AV122" s="8"/>
      <c r="AW122" s="8"/>
      <c r="AX122" s="8"/>
      <c r="AZ122" s="8"/>
      <c r="BD122" s="8"/>
      <c r="BF122" s="8"/>
      <c r="BG122" s="8"/>
      <c r="BH122" s="8"/>
      <c r="BJ122" s="8"/>
      <c r="BN122" s="8"/>
      <c r="BP122" s="8"/>
      <c r="BQ122" s="8"/>
      <c r="BR122" s="8"/>
      <c r="BT122" s="8"/>
      <c r="BY122" s="8"/>
      <c r="CA122" s="8"/>
      <c r="CB122" s="8"/>
      <c r="CC122" s="8"/>
      <c r="CE122" s="8"/>
    </row>
    <row r="123" spans="2:83" s="9" customFormat="1" ht="10.8">
      <c r="D123" s="9" t="s">
        <v>31</v>
      </c>
      <c r="E123" s="9" t="s">
        <v>32</v>
      </c>
      <c r="F123" s="10" t="s">
        <v>33</v>
      </c>
      <c r="H123" s="9" t="s">
        <v>7</v>
      </c>
      <c r="I123" s="9" t="s">
        <v>8</v>
      </c>
      <c r="J123" s="10"/>
      <c r="L123" s="134"/>
      <c r="N123" s="9" t="s">
        <v>31</v>
      </c>
      <c r="O123" s="9" t="s">
        <v>32</v>
      </c>
      <c r="P123" s="10" t="s">
        <v>33</v>
      </c>
      <c r="R123" s="9" t="s">
        <v>7</v>
      </c>
      <c r="S123" s="9" t="s">
        <v>8</v>
      </c>
      <c r="T123" s="10"/>
      <c r="V123" s="134"/>
      <c r="X123" s="9" t="s">
        <v>31</v>
      </c>
      <c r="Y123" s="9" t="s">
        <v>32</v>
      </c>
      <c r="Z123" s="10" t="s">
        <v>33</v>
      </c>
      <c r="AB123" s="9" t="s">
        <v>7</v>
      </c>
      <c r="AC123" s="9" t="s">
        <v>8</v>
      </c>
      <c r="AD123" s="10"/>
      <c r="AF123" s="233"/>
      <c r="AJ123" s="11"/>
      <c r="AN123" s="11"/>
      <c r="AP123" s="11"/>
      <c r="AT123" s="11"/>
      <c r="AX123" s="11"/>
      <c r="AZ123" s="11"/>
      <c r="BD123" s="11"/>
      <c r="BH123" s="11"/>
      <c r="BJ123" s="11"/>
      <c r="BN123" s="11"/>
      <c r="BR123" s="11"/>
      <c r="BT123" s="11"/>
      <c r="BY123" s="11"/>
      <c r="CC123" s="11"/>
      <c r="CE123" s="11"/>
    </row>
    <row r="124" spans="2:83" s="9" customFormat="1" ht="10.8">
      <c r="D124" s="9" t="s">
        <v>34</v>
      </c>
      <c r="E124" s="9" t="s">
        <v>35</v>
      </c>
      <c r="F124" s="10" t="s">
        <v>36</v>
      </c>
      <c r="H124" s="9" t="s">
        <v>12</v>
      </c>
      <c r="I124" s="9" t="s">
        <v>13</v>
      </c>
      <c r="J124" s="10" t="s">
        <v>37</v>
      </c>
      <c r="L124" s="134" t="s">
        <v>38</v>
      </c>
      <c r="N124" s="9" t="s">
        <v>34</v>
      </c>
      <c r="O124" s="9" t="s">
        <v>35</v>
      </c>
      <c r="P124" s="10" t="s">
        <v>36</v>
      </c>
      <c r="R124" s="9" t="s">
        <v>12</v>
      </c>
      <c r="S124" s="9" t="s">
        <v>13</v>
      </c>
      <c r="T124" s="10" t="s">
        <v>37</v>
      </c>
      <c r="V124" s="134" t="s">
        <v>38</v>
      </c>
      <c r="X124" s="9" t="s">
        <v>34</v>
      </c>
      <c r="Y124" s="9" t="s">
        <v>35</v>
      </c>
      <c r="Z124" s="10" t="s">
        <v>36</v>
      </c>
      <c r="AB124" s="9" t="s">
        <v>12</v>
      </c>
      <c r="AC124" s="9" t="s">
        <v>13</v>
      </c>
      <c r="AD124" s="10" t="s">
        <v>37</v>
      </c>
      <c r="AF124" s="233" t="s">
        <v>38</v>
      </c>
      <c r="AJ124" s="11"/>
      <c r="AN124" s="11"/>
      <c r="AP124" s="11"/>
      <c r="AT124" s="11"/>
      <c r="AX124" s="11"/>
      <c r="AZ124" s="11"/>
      <c r="BD124" s="11"/>
      <c r="BH124" s="11"/>
      <c r="BJ124" s="11"/>
      <c r="BN124" s="11"/>
      <c r="BR124" s="11"/>
      <c r="BT124" s="11"/>
      <c r="BY124" s="11"/>
      <c r="CC124" s="11"/>
      <c r="CE124" s="11"/>
    </row>
    <row r="125" spans="2:83" ht="5.0999999999999996" customHeight="1"/>
    <row r="126" spans="2:83" ht="13.5" customHeight="1" thickBot="1">
      <c r="B126" s="12" t="s">
        <v>154</v>
      </c>
      <c r="C126" s="12"/>
      <c r="D126" s="57">
        <v>493</v>
      </c>
      <c r="E126" s="57">
        <v>816</v>
      </c>
      <c r="F126" s="57">
        <v>1309</v>
      </c>
      <c r="G126" s="57"/>
      <c r="H126" s="57">
        <f>2214-F126</f>
        <v>905</v>
      </c>
      <c r="I126" s="57">
        <f t="shared" ref="I126:I140" si="49">J126-H126</f>
        <v>-3345</v>
      </c>
      <c r="J126" s="57">
        <f t="shared" ref="J126:J140" si="50">L126-F126</f>
        <v>-2440</v>
      </c>
      <c r="K126" s="57"/>
      <c r="L126" s="57">
        <v>-1131</v>
      </c>
      <c r="M126" s="12"/>
      <c r="N126" s="57">
        <v>2273</v>
      </c>
      <c r="O126" s="57">
        <f>+P126-N126</f>
        <v>2139</v>
      </c>
      <c r="P126" s="57">
        <v>4412</v>
      </c>
      <c r="Q126" s="57"/>
      <c r="R126" s="57">
        <f>4593-P126</f>
        <v>181</v>
      </c>
      <c r="S126" s="57">
        <f>T126-R126</f>
        <v>778</v>
      </c>
      <c r="T126" s="57">
        <f>V126-P126</f>
        <v>959</v>
      </c>
      <c r="U126" s="57"/>
      <c r="V126" s="57">
        <v>5371</v>
      </c>
      <c r="W126" s="12"/>
      <c r="X126" s="57">
        <v>450</v>
      </c>
      <c r="Y126" s="57">
        <f>Z126-X126</f>
        <v>1504</v>
      </c>
      <c r="Z126" s="57">
        <v>1954</v>
      </c>
      <c r="AA126" s="57"/>
      <c r="AB126" s="57">
        <f>4115-Z126</f>
        <v>2161</v>
      </c>
      <c r="AC126" s="57">
        <f>AD126-AB126</f>
        <v>760</v>
      </c>
      <c r="AD126" s="57">
        <f>AF126-Z126</f>
        <v>2921</v>
      </c>
      <c r="AE126" s="57"/>
      <c r="AF126" s="57">
        <v>4875</v>
      </c>
      <c r="AH126" s="58"/>
      <c r="AI126" s="58"/>
      <c r="AJ126" s="58"/>
      <c r="AK126" s="58"/>
      <c r="AL126" s="58"/>
      <c r="AM126" s="58"/>
      <c r="AN126" s="58"/>
      <c r="AO126" s="58"/>
      <c r="AP126" s="58"/>
      <c r="AR126" s="58"/>
      <c r="AS126" s="58"/>
      <c r="AT126" s="58"/>
      <c r="AU126" s="58"/>
      <c r="AV126" s="58"/>
      <c r="AW126" s="58"/>
      <c r="AX126" s="58"/>
      <c r="AY126" s="58"/>
      <c r="AZ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row>
    <row r="127" spans="2:83" ht="13.5" customHeight="1" thickBot="1">
      <c r="B127" t="s">
        <v>155</v>
      </c>
      <c r="D127" s="58">
        <v>690</v>
      </c>
      <c r="E127" s="58">
        <v>1012</v>
      </c>
      <c r="F127" s="58">
        <v>1702</v>
      </c>
      <c r="G127" s="58"/>
      <c r="H127" s="58">
        <f>2722-F127</f>
        <v>1020</v>
      </c>
      <c r="I127" s="58">
        <f t="shared" si="49"/>
        <v>-1755</v>
      </c>
      <c r="J127" s="58">
        <f t="shared" si="50"/>
        <v>-735</v>
      </c>
      <c r="K127" s="58"/>
      <c r="L127" s="58">
        <v>967</v>
      </c>
      <c r="N127" s="58">
        <v>1852</v>
      </c>
      <c r="O127" s="58">
        <f t="shared" ref="O127:O140" si="51">+P127-N127</f>
        <v>1559</v>
      </c>
      <c r="P127" s="58">
        <v>3411</v>
      </c>
      <c r="Q127" s="58"/>
      <c r="R127" s="58">
        <f>4400-P127</f>
        <v>989</v>
      </c>
      <c r="S127" s="58">
        <f t="shared" ref="S127:S140" si="52">T127-R127</f>
        <v>757</v>
      </c>
      <c r="T127" s="58">
        <f t="shared" ref="T127:T140" si="53">V127-P127</f>
        <v>1746</v>
      </c>
      <c r="U127" s="58"/>
      <c r="V127" s="58">
        <v>5157</v>
      </c>
      <c r="X127" s="58">
        <v>736</v>
      </c>
      <c r="Y127" s="58">
        <f t="shared" ref="Y127:Y140" si="54">Z127-X127</f>
        <v>1458</v>
      </c>
      <c r="Z127" s="58">
        <v>2194</v>
      </c>
      <c r="AA127" s="58"/>
      <c r="AB127" s="58">
        <f>3655-Z127</f>
        <v>1461</v>
      </c>
      <c r="AC127" s="58">
        <f t="shared" ref="AC127:AC140" si="55">AD127-AB127</f>
        <v>71</v>
      </c>
      <c r="AD127" s="58">
        <f t="shared" ref="AD127:AD140" si="56">AF127-Z127</f>
        <v>1532</v>
      </c>
      <c r="AE127" s="58"/>
      <c r="AF127" s="58">
        <v>3726</v>
      </c>
      <c r="AH127" s="58"/>
      <c r="AI127" s="58"/>
      <c r="AJ127" s="58"/>
      <c r="AK127" s="58"/>
      <c r="AL127" s="58"/>
      <c r="AM127" s="58"/>
      <c r="AN127" s="58"/>
      <c r="AO127" s="58"/>
      <c r="AP127" s="58"/>
      <c r="AR127" s="58"/>
      <c r="AS127" s="58"/>
      <c r="AT127" s="58"/>
      <c r="AU127" s="58"/>
      <c r="AV127" s="58"/>
      <c r="AW127" s="58"/>
      <c r="AX127" s="58"/>
      <c r="AY127" s="58"/>
      <c r="AZ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row>
    <row r="128" spans="2:83" ht="13.5" customHeight="1">
      <c r="B128" s="59" t="s">
        <v>113</v>
      </c>
      <c r="C128" s="60"/>
      <c r="D128" s="61">
        <v>130</v>
      </c>
      <c r="E128" s="61">
        <v>362</v>
      </c>
      <c r="F128" s="61">
        <v>492</v>
      </c>
      <c r="G128" s="61"/>
      <c r="H128" s="61">
        <f>1016-F128</f>
        <v>524</v>
      </c>
      <c r="I128" s="61">
        <f t="shared" si="49"/>
        <v>-2644</v>
      </c>
      <c r="J128" s="61">
        <f t="shared" si="50"/>
        <v>-2120</v>
      </c>
      <c r="K128" s="61"/>
      <c r="L128" s="61">
        <v>-1628</v>
      </c>
      <c r="M128" s="60"/>
      <c r="N128" s="61">
        <v>1779</v>
      </c>
      <c r="O128" s="61">
        <f t="shared" si="51"/>
        <v>1658</v>
      </c>
      <c r="P128" s="61">
        <v>3437</v>
      </c>
      <c r="Q128" s="61"/>
      <c r="R128" s="61">
        <f>3006-P128</f>
        <v>-431</v>
      </c>
      <c r="S128" s="61">
        <f t="shared" si="52"/>
        <v>748</v>
      </c>
      <c r="T128" s="61">
        <f t="shared" si="53"/>
        <v>317</v>
      </c>
      <c r="U128" s="61"/>
      <c r="V128" s="61">
        <v>3754</v>
      </c>
      <c r="W128" s="60"/>
      <c r="X128" s="61">
        <v>225</v>
      </c>
      <c r="Y128" s="61">
        <f t="shared" si="54"/>
        <v>1132</v>
      </c>
      <c r="Z128" s="61">
        <v>1357</v>
      </c>
      <c r="AA128" s="61"/>
      <c r="AB128" s="61">
        <f>3055-Z128</f>
        <v>1698</v>
      </c>
      <c r="AC128" s="61">
        <f t="shared" si="55"/>
        <v>1111</v>
      </c>
      <c r="AD128" s="61">
        <f t="shared" si="56"/>
        <v>2809</v>
      </c>
      <c r="AE128" s="61"/>
      <c r="AF128" s="61">
        <v>4166</v>
      </c>
      <c r="AH128" s="58"/>
      <c r="AI128" s="58"/>
      <c r="AJ128" s="58"/>
      <c r="AK128" s="58"/>
      <c r="AL128" s="58"/>
      <c r="AM128" s="58"/>
      <c r="AN128" s="58"/>
      <c r="AO128" s="58"/>
      <c r="AP128" s="58"/>
      <c r="AR128" s="58"/>
      <c r="AS128" s="58"/>
      <c r="AT128" s="58"/>
      <c r="AU128" s="58"/>
      <c r="AV128" s="58"/>
      <c r="AW128" s="58"/>
      <c r="AX128" s="58"/>
      <c r="AY128" s="58"/>
      <c r="AZ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row>
    <row r="129" spans="2:83" ht="13.5" customHeight="1">
      <c r="B129" t="s">
        <v>81</v>
      </c>
      <c r="D129" s="58">
        <v>301</v>
      </c>
      <c r="E129" s="58">
        <v>542</v>
      </c>
      <c r="F129" s="58">
        <v>843</v>
      </c>
      <c r="G129" s="58"/>
      <c r="H129" s="58">
        <f>1459-F129</f>
        <v>616</v>
      </c>
      <c r="I129" s="58">
        <f t="shared" si="49"/>
        <v>-832</v>
      </c>
      <c r="J129" s="58">
        <f t="shared" si="50"/>
        <v>-216</v>
      </c>
      <c r="K129" s="58"/>
      <c r="L129" s="58">
        <v>627</v>
      </c>
      <c r="N129" s="58">
        <v>1097</v>
      </c>
      <c r="O129" s="58">
        <f t="shared" si="51"/>
        <v>751</v>
      </c>
      <c r="P129" s="58">
        <v>1848</v>
      </c>
      <c r="Q129" s="58"/>
      <c r="R129" s="58">
        <f>1986-P129</f>
        <v>138</v>
      </c>
      <c r="S129" s="58">
        <f t="shared" si="52"/>
        <v>438</v>
      </c>
      <c r="T129" s="58">
        <f t="shared" si="53"/>
        <v>576</v>
      </c>
      <c r="U129" s="58"/>
      <c r="V129" s="58">
        <v>2424</v>
      </c>
      <c r="X129" s="58">
        <v>249</v>
      </c>
      <c r="Y129" s="58">
        <f t="shared" si="54"/>
        <v>726</v>
      </c>
      <c r="Z129" s="58">
        <v>975</v>
      </c>
      <c r="AA129" s="58"/>
      <c r="AB129" s="58">
        <f>1615-Z129</f>
        <v>640</v>
      </c>
      <c r="AC129" s="58">
        <f t="shared" si="55"/>
        <v>72</v>
      </c>
      <c r="AD129" s="58">
        <f t="shared" si="56"/>
        <v>712</v>
      </c>
      <c r="AE129" s="58"/>
      <c r="AF129" s="58">
        <v>1687</v>
      </c>
      <c r="AH129" s="58"/>
      <c r="AI129" s="58"/>
      <c r="AJ129" s="58"/>
      <c r="AK129" s="58"/>
      <c r="AL129" s="58"/>
      <c r="AM129" s="58"/>
      <c r="AN129" s="58"/>
      <c r="AO129" s="58"/>
      <c r="AP129" s="58"/>
      <c r="AR129" s="58"/>
      <c r="AS129" s="58"/>
      <c r="AT129" s="58"/>
      <c r="AU129" s="58"/>
      <c r="AV129" s="58"/>
      <c r="AW129" s="58"/>
      <c r="AX129" s="58"/>
      <c r="AY129" s="58"/>
      <c r="AZ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row>
    <row r="130" spans="2:83" ht="13.5" customHeight="1">
      <c r="B130" t="s">
        <v>82</v>
      </c>
      <c r="D130" s="58">
        <v>16</v>
      </c>
      <c r="E130" s="58">
        <v>14</v>
      </c>
      <c r="F130" s="58">
        <v>30</v>
      </c>
      <c r="G130" s="58"/>
      <c r="H130" s="58">
        <f>45-F130</f>
        <v>15</v>
      </c>
      <c r="I130" s="58">
        <f t="shared" si="49"/>
        <v>-235</v>
      </c>
      <c r="J130" s="58">
        <f t="shared" si="50"/>
        <v>-220</v>
      </c>
      <c r="K130" s="58"/>
      <c r="L130" s="58">
        <v>-190</v>
      </c>
      <c r="N130" s="58">
        <v>265</v>
      </c>
      <c r="O130" s="58">
        <f t="shared" si="51"/>
        <v>328</v>
      </c>
      <c r="P130" s="58">
        <v>593</v>
      </c>
      <c r="Q130" s="58"/>
      <c r="R130" s="58">
        <f>834-P130</f>
        <v>241</v>
      </c>
      <c r="S130" s="58">
        <f t="shared" si="52"/>
        <v>283</v>
      </c>
      <c r="T130" s="58">
        <f t="shared" si="53"/>
        <v>524</v>
      </c>
      <c r="U130" s="58"/>
      <c r="V130" s="58">
        <v>1117</v>
      </c>
      <c r="X130" s="58">
        <v>274</v>
      </c>
      <c r="Y130" s="58">
        <f t="shared" si="54"/>
        <v>362</v>
      </c>
      <c r="Z130" s="58">
        <v>636</v>
      </c>
      <c r="AA130" s="58"/>
      <c r="AB130" s="58">
        <f>996-Z130</f>
        <v>360</v>
      </c>
      <c r="AC130" s="58">
        <f t="shared" si="55"/>
        <v>353</v>
      </c>
      <c r="AD130" s="58">
        <f t="shared" si="56"/>
        <v>713</v>
      </c>
      <c r="AE130" s="58"/>
      <c r="AF130" s="58">
        <v>1349</v>
      </c>
      <c r="AH130" s="58"/>
      <c r="AI130" s="58"/>
      <c r="AJ130" s="58"/>
      <c r="AK130" s="58"/>
      <c r="AL130" s="58"/>
      <c r="AM130" s="58"/>
      <c r="AN130" s="58"/>
      <c r="AO130" s="58"/>
      <c r="AP130" s="58"/>
      <c r="AR130" s="58"/>
      <c r="AS130" s="58"/>
      <c r="AT130" s="58"/>
      <c r="AU130" s="58"/>
      <c r="AV130" s="58"/>
      <c r="AW130" s="58"/>
      <c r="AX130" s="58"/>
      <c r="AY130" s="58"/>
      <c r="AZ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row>
    <row r="131" spans="2:83" ht="13.5" customHeight="1">
      <c r="B131" t="s">
        <v>83</v>
      </c>
      <c r="D131" s="58">
        <v>-187</v>
      </c>
      <c r="E131" s="58">
        <v>-194</v>
      </c>
      <c r="F131" s="58">
        <v>-381</v>
      </c>
      <c r="G131" s="58"/>
      <c r="H131" s="58">
        <f>-488-F131</f>
        <v>-107</v>
      </c>
      <c r="I131" s="58">
        <f t="shared" si="49"/>
        <v>-1577</v>
      </c>
      <c r="J131" s="58">
        <f t="shared" si="50"/>
        <v>-1684</v>
      </c>
      <c r="K131" s="58"/>
      <c r="L131" s="58">
        <v>-2065</v>
      </c>
      <c r="N131" s="58">
        <v>417</v>
      </c>
      <c r="O131" s="58">
        <f t="shared" si="51"/>
        <v>579</v>
      </c>
      <c r="P131" s="58">
        <v>996</v>
      </c>
      <c r="Q131" s="58"/>
      <c r="R131" s="58">
        <f>186-P131</f>
        <v>-810</v>
      </c>
      <c r="S131" s="58">
        <f t="shared" si="52"/>
        <v>27</v>
      </c>
      <c r="T131" s="58">
        <f t="shared" si="53"/>
        <v>-783</v>
      </c>
      <c r="U131" s="58"/>
      <c r="V131" s="58">
        <v>213</v>
      </c>
      <c r="X131" s="58">
        <v>-298</v>
      </c>
      <c r="Y131" s="58">
        <f t="shared" si="54"/>
        <v>44</v>
      </c>
      <c r="Z131" s="58">
        <v>-254</v>
      </c>
      <c r="AA131" s="58"/>
      <c r="AB131" s="58">
        <f>444-Z131</f>
        <v>698</v>
      </c>
      <c r="AC131" s="58">
        <f t="shared" si="55"/>
        <v>686</v>
      </c>
      <c r="AD131" s="58">
        <f t="shared" si="56"/>
        <v>1384</v>
      </c>
      <c r="AE131" s="58"/>
      <c r="AF131" s="58">
        <v>1130</v>
      </c>
      <c r="AH131" s="58"/>
      <c r="AI131" s="58"/>
      <c r="AJ131" s="58"/>
      <c r="AK131" s="58"/>
      <c r="AL131" s="58"/>
      <c r="AM131" s="58"/>
      <c r="AN131" s="58"/>
      <c r="AO131" s="58"/>
      <c r="AP131" s="58"/>
      <c r="AR131" s="58"/>
      <c r="AS131" s="58"/>
      <c r="AT131" s="58"/>
      <c r="AU131" s="58"/>
      <c r="AV131" s="58"/>
      <c r="AW131" s="58"/>
      <c r="AX131" s="58"/>
      <c r="AY131" s="58"/>
      <c r="AZ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row>
    <row r="132" spans="2:83" ht="13.5" customHeight="1">
      <c r="B132" s="62" t="s">
        <v>114</v>
      </c>
      <c r="C132" s="34"/>
      <c r="D132" s="63">
        <v>132</v>
      </c>
      <c r="E132" s="63">
        <v>116</v>
      </c>
      <c r="F132" s="63">
        <v>248</v>
      </c>
      <c r="G132" s="63"/>
      <c r="H132" s="63">
        <f>401-F132</f>
        <v>153</v>
      </c>
      <c r="I132" s="63">
        <f t="shared" si="49"/>
        <v>-789</v>
      </c>
      <c r="J132" s="63">
        <f t="shared" si="50"/>
        <v>-636</v>
      </c>
      <c r="K132" s="63"/>
      <c r="L132" s="63">
        <v>-388</v>
      </c>
      <c r="M132" s="34"/>
      <c r="N132" s="63">
        <v>173</v>
      </c>
      <c r="O132" s="63">
        <f t="shared" si="51"/>
        <v>183</v>
      </c>
      <c r="P132" s="63">
        <v>356</v>
      </c>
      <c r="Q132" s="63"/>
      <c r="R132" s="63">
        <f>580-P132</f>
        <v>224</v>
      </c>
      <c r="S132" s="63">
        <f t="shared" si="52"/>
        <v>-202</v>
      </c>
      <c r="T132" s="63">
        <f t="shared" si="53"/>
        <v>22</v>
      </c>
      <c r="U132" s="63"/>
      <c r="V132" s="63">
        <v>378</v>
      </c>
      <c r="W132" s="34"/>
      <c r="X132" s="63">
        <v>31</v>
      </c>
      <c r="Y132" s="63">
        <f t="shared" si="54"/>
        <v>48</v>
      </c>
      <c r="Z132" s="63">
        <v>79</v>
      </c>
      <c r="AA132" s="63"/>
      <c r="AB132" s="63">
        <f>231-Z132</f>
        <v>152</v>
      </c>
      <c r="AC132" s="63">
        <f t="shared" si="55"/>
        <v>145</v>
      </c>
      <c r="AD132" s="63">
        <f t="shared" si="56"/>
        <v>297</v>
      </c>
      <c r="AE132" s="63"/>
      <c r="AF132" s="63">
        <v>376</v>
      </c>
      <c r="AH132" s="58"/>
      <c r="AI132" s="58"/>
      <c r="AJ132" s="58"/>
      <c r="AK132" s="58"/>
      <c r="AL132" s="58"/>
      <c r="AM132" s="58"/>
      <c r="AN132" s="58"/>
      <c r="AO132" s="58"/>
      <c r="AP132" s="58"/>
      <c r="AR132" s="58"/>
      <c r="AS132" s="58"/>
      <c r="AT132" s="58"/>
      <c r="AU132" s="58"/>
      <c r="AV132" s="58"/>
      <c r="AW132" s="58"/>
      <c r="AX132" s="58"/>
      <c r="AY132" s="58"/>
      <c r="AZ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row>
    <row r="133" spans="2:83" ht="13.5" customHeight="1">
      <c r="B133" s="64" t="s">
        <v>84</v>
      </c>
      <c r="C133" s="27"/>
      <c r="D133" s="65">
        <v>153</v>
      </c>
      <c r="E133" s="65">
        <v>199</v>
      </c>
      <c r="F133" s="65">
        <v>352</v>
      </c>
      <c r="G133" s="65"/>
      <c r="H133" s="65">
        <f>484-F133</f>
        <v>132</v>
      </c>
      <c r="I133" s="65">
        <f t="shared" si="49"/>
        <v>-38</v>
      </c>
      <c r="J133" s="65">
        <f t="shared" si="50"/>
        <v>94</v>
      </c>
      <c r="K133" s="65"/>
      <c r="L133" s="65">
        <v>446</v>
      </c>
      <c r="M133" s="27"/>
      <c r="N133" s="65">
        <v>211</v>
      </c>
      <c r="O133" s="65">
        <f t="shared" si="51"/>
        <v>195</v>
      </c>
      <c r="P133" s="65">
        <v>406</v>
      </c>
      <c r="Q133" s="65"/>
      <c r="R133" s="65">
        <f>598-P133</f>
        <v>192</v>
      </c>
      <c r="S133" s="65">
        <f t="shared" si="52"/>
        <v>84</v>
      </c>
      <c r="T133" s="65">
        <f t="shared" si="53"/>
        <v>276</v>
      </c>
      <c r="U133" s="65"/>
      <c r="V133" s="65">
        <v>682</v>
      </c>
      <c r="W133" s="27"/>
      <c r="X133" s="65">
        <v>83</v>
      </c>
      <c r="Y133" s="65">
        <f t="shared" si="54"/>
        <v>198</v>
      </c>
      <c r="Z133" s="65">
        <v>281</v>
      </c>
      <c r="AA133" s="65"/>
      <c r="AB133" s="65">
        <f>461-Z133</f>
        <v>180</v>
      </c>
      <c r="AC133" s="65">
        <f t="shared" si="55"/>
        <v>-1064</v>
      </c>
      <c r="AD133" s="65">
        <f t="shared" si="56"/>
        <v>-884</v>
      </c>
      <c r="AE133" s="65"/>
      <c r="AF133" s="65">
        <v>-603</v>
      </c>
      <c r="AH133" s="58"/>
      <c r="AI133" s="58"/>
      <c r="AJ133" s="58"/>
      <c r="AK133" s="58"/>
      <c r="AL133" s="58"/>
      <c r="AM133" s="58"/>
      <c r="AN133" s="58"/>
      <c r="AO133" s="58"/>
      <c r="AP133" s="58"/>
      <c r="AR133" s="58"/>
      <c r="AS133" s="58"/>
      <c r="AT133" s="58"/>
      <c r="AU133" s="58"/>
      <c r="AV133" s="58"/>
      <c r="AW133" s="58"/>
      <c r="AX133" s="58"/>
      <c r="AY133" s="58"/>
      <c r="AZ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row>
    <row r="134" spans="2:83" ht="13.5" customHeight="1">
      <c r="B134" t="s">
        <v>85</v>
      </c>
      <c r="D134" s="58">
        <v>54</v>
      </c>
      <c r="E134" s="58">
        <v>52</v>
      </c>
      <c r="F134" s="58">
        <v>106</v>
      </c>
      <c r="G134" s="58"/>
      <c r="H134" s="58">
        <f>151-F134</f>
        <v>45</v>
      </c>
      <c r="I134" s="58">
        <f t="shared" si="49"/>
        <v>-18</v>
      </c>
      <c r="J134" s="58">
        <f t="shared" si="50"/>
        <v>27</v>
      </c>
      <c r="K134" s="58"/>
      <c r="L134" s="58">
        <v>133</v>
      </c>
      <c r="N134" s="58">
        <v>61</v>
      </c>
      <c r="O134" s="58">
        <f t="shared" si="51"/>
        <v>45</v>
      </c>
      <c r="P134" s="58">
        <v>106</v>
      </c>
      <c r="Q134" s="58"/>
      <c r="R134" s="58">
        <f>159-P134</f>
        <v>53</v>
      </c>
      <c r="S134" s="58">
        <f t="shared" si="52"/>
        <v>18</v>
      </c>
      <c r="T134" s="58">
        <f t="shared" si="53"/>
        <v>71</v>
      </c>
      <c r="U134" s="58"/>
      <c r="V134" s="58">
        <v>177</v>
      </c>
      <c r="X134" s="58">
        <v>-77</v>
      </c>
      <c r="Y134" s="58">
        <f t="shared" si="54"/>
        <v>52</v>
      </c>
      <c r="Z134" s="58">
        <v>-25</v>
      </c>
      <c r="AA134" s="58"/>
      <c r="AB134" s="58">
        <f>27-Z134</f>
        <v>52</v>
      </c>
      <c r="AC134" s="58">
        <f t="shared" si="55"/>
        <v>-1186</v>
      </c>
      <c r="AD134" s="58">
        <f t="shared" si="56"/>
        <v>-1134</v>
      </c>
      <c r="AE134" s="58"/>
      <c r="AF134" s="58">
        <v>-1159</v>
      </c>
      <c r="AH134" s="58"/>
      <c r="AI134" s="58"/>
      <c r="AJ134" s="58"/>
      <c r="AK134" s="58"/>
      <c r="AL134" s="58"/>
      <c r="AM134" s="58"/>
      <c r="AN134" s="58"/>
      <c r="AO134" s="58"/>
      <c r="AP134" s="58"/>
      <c r="AR134" s="58"/>
      <c r="AS134" s="58"/>
      <c r="AT134" s="58"/>
      <c r="AU134" s="58"/>
      <c r="AV134" s="58"/>
      <c r="AW134" s="58"/>
      <c r="AX134" s="58"/>
      <c r="AY134" s="58"/>
      <c r="AZ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row>
    <row r="135" spans="2:83" ht="13.5" customHeight="1">
      <c r="B135" t="s">
        <v>96</v>
      </c>
      <c r="D135" s="58">
        <v>55</v>
      </c>
      <c r="E135" s="58">
        <v>56</v>
      </c>
      <c r="F135" s="58">
        <v>111</v>
      </c>
      <c r="G135" s="58"/>
      <c r="H135" s="58">
        <f>133-F135</f>
        <v>22</v>
      </c>
      <c r="I135" s="58">
        <f t="shared" si="49"/>
        <v>10</v>
      </c>
      <c r="J135" s="58">
        <f t="shared" si="50"/>
        <v>32</v>
      </c>
      <c r="K135" s="58"/>
      <c r="L135" s="58">
        <v>143</v>
      </c>
      <c r="N135" s="58">
        <v>58</v>
      </c>
      <c r="O135" s="58">
        <f t="shared" si="51"/>
        <v>22</v>
      </c>
      <c r="P135" s="58">
        <v>80</v>
      </c>
      <c r="Q135" s="58"/>
      <c r="R135" s="58">
        <f>111-P135</f>
        <v>31</v>
      </c>
      <c r="S135" s="58">
        <f t="shared" si="52"/>
        <v>16</v>
      </c>
      <c r="T135" s="58">
        <f t="shared" si="53"/>
        <v>47</v>
      </c>
      <c r="U135" s="58"/>
      <c r="V135" s="58">
        <v>127</v>
      </c>
      <c r="X135" s="58">
        <v>72</v>
      </c>
      <c r="Y135" s="58">
        <f t="shared" si="54"/>
        <v>27</v>
      </c>
      <c r="Z135" s="58">
        <v>99</v>
      </c>
      <c r="AA135" s="58"/>
      <c r="AB135" s="58">
        <f>105-Z135</f>
        <v>6</v>
      </c>
      <c r="AC135" s="58">
        <f t="shared" si="55"/>
        <v>40</v>
      </c>
      <c r="AD135" s="58">
        <f t="shared" si="56"/>
        <v>46</v>
      </c>
      <c r="AE135" s="58"/>
      <c r="AF135" s="58">
        <v>145</v>
      </c>
      <c r="AH135" s="58"/>
      <c r="AI135" s="58"/>
      <c r="AJ135" s="58"/>
      <c r="AK135" s="58"/>
      <c r="AL135" s="58"/>
      <c r="AM135" s="58"/>
      <c r="AN135" s="58"/>
      <c r="AO135" s="58"/>
      <c r="AP135" s="58"/>
      <c r="AR135" s="58"/>
      <c r="AS135" s="58"/>
      <c r="AT135" s="58"/>
      <c r="AU135" s="58"/>
      <c r="AV135" s="58"/>
      <c r="AW135" s="58"/>
      <c r="AX135" s="58"/>
      <c r="AY135" s="58"/>
      <c r="AZ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row>
    <row r="136" spans="2:83" ht="13.5" customHeight="1">
      <c r="B136" t="s">
        <v>87</v>
      </c>
      <c r="D136" s="58">
        <v>55</v>
      </c>
      <c r="E136" s="58">
        <v>61</v>
      </c>
      <c r="F136" s="58">
        <v>116</v>
      </c>
      <c r="G136" s="58"/>
      <c r="H136" s="58">
        <f>164-F136</f>
        <v>48</v>
      </c>
      <c r="I136" s="58">
        <f t="shared" si="49"/>
        <v>44</v>
      </c>
      <c r="J136" s="58">
        <f t="shared" si="50"/>
        <v>92</v>
      </c>
      <c r="K136" s="58"/>
      <c r="L136" s="58">
        <v>208</v>
      </c>
      <c r="N136" s="58">
        <v>72</v>
      </c>
      <c r="O136" s="58">
        <f t="shared" si="51"/>
        <v>85</v>
      </c>
      <c r="P136" s="58">
        <v>157</v>
      </c>
      <c r="Q136" s="58"/>
      <c r="R136" s="58">
        <f>240-P136</f>
        <v>83</v>
      </c>
      <c r="S136" s="58">
        <f>T136-R136</f>
        <v>41</v>
      </c>
      <c r="T136" s="58">
        <f>V136-P136</f>
        <v>124</v>
      </c>
      <c r="U136" s="58"/>
      <c r="V136" s="58">
        <v>281</v>
      </c>
      <c r="X136" s="58">
        <v>63</v>
      </c>
      <c r="Y136" s="58">
        <f t="shared" si="54"/>
        <v>77</v>
      </c>
      <c r="Z136" s="58">
        <v>140</v>
      </c>
      <c r="AA136" s="58"/>
      <c r="AB136" s="58">
        <f>225-Z136</f>
        <v>85</v>
      </c>
      <c r="AC136" s="58">
        <f t="shared" si="55"/>
        <v>58</v>
      </c>
      <c r="AD136" s="58">
        <f t="shared" si="56"/>
        <v>143</v>
      </c>
      <c r="AE136" s="58"/>
      <c r="AF136" s="58">
        <v>283</v>
      </c>
      <c r="AH136" s="58"/>
      <c r="AI136" s="58"/>
      <c r="AJ136" s="58"/>
      <c r="AK136" s="58"/>
      <c r="AL136" s="58"/>
      <c r="AM136" s="58"/>
      <c r="AN136" s="58"/>
      <c r="AO136" s="58"/>
      <c r="AP136" s="58"/>
      <c r="AR136" s="58"/>
      <c r="AS136" s="58"/>
      <c r="AT136" s="58"/>
      <c r="AU136" s="58"/>
      <c r="AV136" s="58"/>
      <c r="AW136" s="58"/>
      <c r="AX136" s="58"/>
      <c r="AY136" s="58"/>
      <c r="AZ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row>
    <row r="137" spans="2:83" ht="13.5" customHeight="1">
      <c r="B137" t="s">
        <v>86</v>
      </c>
      <c r="D137" s="58">
        <v>8</v>
      </c>
      <c r="E137" s="58">
        <v>32</v>
      </c>
      <c r="F137" s="58">
        <v>40</v>
      </c>
      <c r="G137" s="58"/>
      <c r="H137" s="58">
        <f>55-F137</f>
        <v>15</v>
      </c>
      <c r="I137" s="58">
        <f t="shared" si="49"/>
        <v>29</v>
      </c>
      <c r="J137" s="58">
        <f t="shared" si="50"/>
        <v>44</v>
      </c>
      <c r="K137" s="58"/>
      <c r="L137" s="58">
        <v>84</v>
      </c>
      <c r="N137" s="58">
        <v>4</v>
      </c>
      <c r="O137" s="58">
        <f t="shared" si="51"/>
        <v>27</v>
      </c>
      <c r="P137" s="58">
        <v>31</v>
      </c>
      <c r="Q137" s="58"/>
      <c r="R137" s="58">
        <f>39-P137</f>
        <v>8</v>
      </c>
      <c r="S137" s="58">
        <f>T137-R137</f>
        <v>22</v>
      </c>
      <c r="T137" s="58">
        <f t="shared" si="53"/>
        <v>30</v>
      </c>
      <c r="U137" s="58"/>
      <c r="V137" s="58">
        <v>61</v>
      </c>
      <c r="X137" s="58">
        <v>-1</v>
      </c>
      <c r="Y137" s="58">
        <f t="shared" si="54"/>
        <v>25</v>
      </c>
      <c r="Z137" s="58">
        <v>24</v>
      </c>
      <c r="AA137" s="58"/>
      <c r="AB137" s="58">
        <f>42-Z137</f>
        <v>18</v>
      </c>
      <c r="AC137" s="58">
        <f t="shared" si="55"/>
        <v>9</v>
      </c>
      <c r="AD137" s="58">
        <f t="shared" si="56"/>
        <v>27</v>
      </c>
      <c r="AE137" s="58"/>
      <c r="AF137" s="58">
        <v>51</v>
      </c>
      <c r="AH137" s="58"/>
      <c r="AI137" s="58"/>
      <c r="AJ137" s="58"/>
      <c r="AK137" s="58"/>
      <c r="AL137" s="58"/>
      <c r="AM137" s="58"/>
      <c r="AN137" s="58"/>
      <c r="AO137" s="58"/>
      <c r="AP137" s="58"/>
      <c r="AR137" s="58"/>
      <c r="AS137" s="58"/>
      <c r="AT137" s="58"/>
      <c r="AU137" s="58"/>
      <c r="AV137" s="58"/>
      <c r="AW137" s="58"/>
      <c r="AX137" s="58"/>
      <c r="AY137" s="58"/>
      <c r="AZ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row>
    <row r="138" spans="2:83" ht="13.5" customHeight="1">
      <c r="B138" t="s">
        <v>142</v>
      </c>
      <c r="D138" s="58">
        <v>-9</v>
      </c>
      <c r="E138" s="58">
        <v>0</v>
      </c>
      <c r="F138" s="58">
        <v>-9</v>
      </c>
      <c r="G138" s="58"/>
      <c r="H138" s="58">
        <f>1-F138</f>
        <v>10</v>
      </c>
      <c r="I138" s="58">
        <f t="shared" si="49"/>
        <v>-90</v>
      </c>
      <c r="J138" s="58">
        <f t="shared" si="50"/>
        <v>-80</v>
      </c>
      <c r="K138" s="58"/>
      <c r="L138" s="58">
        <v>-89</v>
      </c>
      <c r="N138" s="58">
        <v>12</v>
      </c>
      <c r="O138" s="58">
        <f t="shared" si="51"/>
        <v>15</v>
      </c>
      <c r="P138" s="58">
        <v>27</v>
      </c>
      <c r="Q138" s="58"/>
      <c r="R138" s="58">
        <f>42-P138</f>
        <v>15</v>
      </c>
      <c r="S138" s="58">
        <f t="shared" si="52"/>
        <v>-7</v>
      </c>
      <c r="T138" s="58">
        <f t="shared" si="53"/>
        <v>8</v>
      </c>
      <c r="U138" s="58"/>
      <c r="V138" s="58">
        <v>35</v>
      </c>
      <c r="X138" s="58">
        <v>14</v>
      </c>
      <c r="Y138" s="58">
        <f t="shared" si="54"/>
        <v>15</v>
      </c>
      <c r="Z138" s="58">
        <v>29</v>
      </c>
      <c r="AA138" s="58"/>
      <c r="AB138" s="58">
        <f>46-Z138</f>
        <v>17</v>
      </c>
      <c r="AC138" s="58">
        <f t="shared" si="55"/>
        <v>12</v>
      </c>
      <c r="AD138" s="58">
        <f t="shared" si="56"/>
        <v>29</v>
      </c>
      <c r="AE138" s="58"/>
      <c r="AF138" s="58">
        <v>58</v>
      </c>
      <c r="AH138" s="58"/>
      <c r="AI138" s="58"/>
      <c r="AJ138" s="58"/>
      <c r="AK138" s="58"/>
      <c r="AL138" s="58"/>
      <c r="AM138" s="58"/>
      <c r="AN138" s="58"/>
      <c r="AO138" s="58"/>
      <c r="AP138" s="58"/>
      <c r="AR138" s="58"/>
      <c r="AS138" s="58"/>
      <c r="AT138" s="58"/>
      <c r="AU138" s="58"/>
      <c r="AV138" s="58"/>
      <c r="AW138" s="58"/>
      <c r="AX138" s="58"/>
      <c r="AY138" s="58"/>
      <c r="AZ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row>
    <row r="139" spans="2:83" ht="13.5" customHeight="1">
      <c r="B139" t="s">
        <v>83</v>
      </c>
      <c r="D139" s="58">
        <v>-10</v>
      </c>
      <c r="E139" s="58">
        <v>-2</v>
      </c>
      <c r="F139" s="58">
        <v>-12</v>
      </c>
      <c r="G139" s="58"/>
      <c r="H139" s="58">
        <f>-20-F139</f>
        <v>-8</v>
      </c>
      <c r="I139" s="58">
        <f t="shared" si="49"/>
        <v>-13</v>
      </c>
      <c r="J139" s="58">
        <f t="shared" si="50"/>
        <v>-21</v>
      </c>
      <c r="K139" s="58"/>
      <c r="L139" s="58">
        <v>-33</v>
      </c>
      <c r="N139" s="58">
        <v>4</v>
      </c>
      <c r="O139" s="58">
        <f t="shared" si="51"/>
        <v>1</v>
      </c>
      <c r="P139" s="58">
        <v>5</v>
      </c>
      <c r="Q139" s="58"/>
      <c r="R139" s="58">
        <f>7-P139</f>
        <v>2</v>
      </c>
      <c r="S139" s="58">
        <f t="shared" si="52"/>
        <v>-6</v>
      </c>
      <c r="T139" s="58">
        <f t="shared" si="53"/>
        <v>-4</v>
      </c>
      <c r="U139" s="58"/>
      <c r="V139" s="58">
        <v>1</v>
      </c>
      <c r="X139" s="58">
        <v>12</v>
      </c>
      <c r="Y139" s="58">
        <f t="shared" si="54"/>
        <v>2</v>
      </c>
      <c r="Z139" s="58">
        <v>14</v>
      </c>
      <c r="AA139" s="58"/>
      <c r="AB139" s="58">
        <f>16-Z139</f>
        <v>2</v>
      </c>
      <c r="AC139" s="58">
        <f t="shared" si="55"/>
        <v>3</v>
      </c>
      <c r="AD139" s="58">
        <f t="shared" si="56"/>
        <v>5</v>
      </c>
      <c r="AE139" s="58"/>
      <c r="AF139" s="58">
        <v>19</v>
      </c>
      <c r="AH139" s="58"/>
      <c r="AI139" s="58"/>
      <c r="AJ139" s="58"/>
      <c r="AK139" s="58"/>
      <c r="AL139" s="58"/>
      <c r="AM139" s="58"/>
      <c r="AN139" s="58"/>
      <c r="AO139" s="58"/>
      <c r="AP139" s="58"/>
      <c r="AR139" s="58"/>
      <c r="AS139" s="58"/>
      <c r="AT139" s="58"/>
      <c r="AU139" s="58"/>
      <c r="AV139" s="58"/>
      <c r="AW139" s="58"/>
      <c r="AX139" s="58"/>
      <c r="AY139" s="58"/>
      <c r="AZ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row>
    <row r="140" spans="2:83" ht="13.5" customHeight="1">
      <c r="B140" s="66" t="s">
        <v>115</v>
      </c>
      <c r="C140" s="34"/>
      <c r="D140" s="63">
        <v>78</v>
      </c>
      <c r="E140" s="63">
        <v>139</v>
      </c>
      <c r="F140" s="63">
        <v>217</v>
      </c>
      <c r="G140" s="63"/>
      <c r="H140" s="63">
        <f>313-F140</f>
        <v>96</v>
      </c>
      <c r="I140" s="161">
        <f t="shared" si="49"/>
        <v>126</v>
      </c>
      <c r="J140" s="161">
        <f t="shared" si="50"/>
        <v>222</v>
      </c>
      <c r="K140" s="161"/>
      <c r="L140" s="161">
        <v>439</v>
      </c>
      <c r="M140" s="34"/>
      <c r="N140" s="63">
        <v>110</v>
      </c>
      <c r="O140" s="63">
        <f t="shared" si="51"/>
        <v>103</v>
      </c>
      <c r="P140" s="63">
        <v>213</v>
      </c>
      <c r="Q140" s="63"/>
      <c r="R140" s="63">
        <f>409-P140</f>
        <v>196</v>
      </c>
      <c r="S140" s="161">
        <f t="shared" si="52"/>
        <v>148</v>
      </c>
      <c r="T140" s="161">
        <f t="shared" si="53"/>
        <v>344</v>
      </c>
      <c r="U140" s="161"/>
      <c r="V140" s="161">
        <v>557</v>
      </c>
      <c r="W140" s="34"/>
      <c r="X140" s="63">
        <v>111</v>
      </c>
      <c r="Y140" s="63">
        <f t="shared" si="54"/>
        <v>126</v>
      </c>
      <c r="Z140" s="63">
        <v>237</v>
      </c>
      <c r="AA140" s="63"/>
      <c r="AB140" s="63">
        <f>368-Z140</f>
        <v>131</v>
      </c>
      <c r="AC140" s="161">
        <f t="shared" si="55"/>
        <v>568</v>
      </c>
      <c r="AD140" s="161">
        <f t="shared" si="56"/>
        <v>699</v>
      </c>
      <c r="AE140" s="161"/>
      <c r="AF140" s="161">
        <v>936</v>
      </c>
      <c r="AH140" s="58"/>
      <c r="AI140" s="58"/>
      <c r="AJ140" s="58"/>
      <c r="AK140" s="58"/>
      <c r="AL140" s="58"/>
      <c r="AM140" s="58"/>
      <c r="AN140" s="58"/>
      <c r="AO140" s="58"/>
      <c r="AP140" s="58"/>
      <c r="AR140" s="58"/>
      <c r="AS140" s="58"/>
      <c r="AT140" s="58"/>
      <c r="AU140" s="58"/>
      <c r="AV140" s="58"/>
      <c r="AW140" s="58"/>
      <c r="AX140" s="58"/>
      <c r="AY140" s="58"/>
      <c r="AZ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row>
    <row r="141" spans="2:83" ht="6.75" customHeight="1">
      <c r="D141" s="58"/>
      <c r="E141" s="58"/>
      <c r="F141" s="58"/>
      <c r="G141" s="58"/>
      <c r="H141" s="58"/>
      <c r="I141" s="58"/>
      <c r="J141" s="58"/>
      <c r="K141" s="58"/>
      <c r="L141" s="58"/>
      <c r="N141" s="58"/>
      <c r="O141" s="58"/>
      <c r="P141" s="58"/>
      <c r="Q141" s="58"/>
      <c r="R141" s="58"/>
      <c r="S141" s="58"/>
      <c r="T141" s="58"/>
      <c r="U141" s="58"/>
      <c r="V141" s="58"/>
      <c r="X141" s="58"/>
      <c r="Y141" s="58"/>
      <c r="Z141" s="58"/>
      <c r="AA141" s="58"/>
      <c r="AB141" s="58"/>
      <c r="AC141" s="58"/>
      <c r="AD141" s="58"/>
      <c r="AE141" s="58"/>
      <c r="AF141" s="58"/>
      <c r="AH141" s="58"/>
      <c r="AI141" s="58"/>
      <c r="AJ141" s="58"/>
      <c r="AK141" s="58"/>
      <c r="AL141" s="58"/>
      <c r="AM141" s="58"/>
      <c r="AN141" s="58"/>
      <c r="AO141" s="58"/>
      <c r="AP141" s="58"/>
      <c r="AR141" s="58"/>
      <c r="AS141" s="58"/>
      <c r="AT141" s="58"/>
      <c r="AU141" s="58"/>
      <c r="AV141" s="58"/>
      <c r="AW141" s="58"/>
      <c r="AX141" s="58"/>
      <c r="AY141" s="58"/>
      <c r="AZ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row>
    <row r="142" spans="2:83">
      <c r="D142" s="58"/>
      <c r="E142" s="58"/>
      <c r="F142" s="58"/>
      <c r="G142" s="58"/>
      <c r="H142" s="58"/>
      <c r="I142" s="58"/>
      <c r="J142" s="58"/>
      <c r="K142" s="58"/>
      <c r="L142" s="58"/>
      <c r="N142" s="58"/>
      <c r="O142" s="58"/>
      <c r="P142" s="58"/>
      <c r="Q142" s="58"/>
      <c r="R142" s="58"/>
      <c r="S142" s="58"/>
      <c r="T142" s="58"/>
      <c r="U142" s="58"/>
      <c r="V142" s="58"/>
      <c r="X142" s="58"/>
      <c r="Y142" s="58"/>
      <c r="Z142" s="58"/>
      <c r="AA142" s="58"/>
      <c r="AB142" s="58"/>
      <c r="AC142" s="58"/>
      <c r="AD142" s="58"/>
      <c r="AE142" s="58"/>
      <c r="AF142" s="58"/>
      <c r="AH142" s="58"/>
      <c r="AI142" s="58"/>
      <c r="AJ142" s="58"/>
      <c r="AK142" s="58"/>
      <c r="AL142" s="58"/>
      <c r="AM142" s="58"/>
      <c r="AN142" s="58"/>
      <c r="AO142" s="58"/>
      <c r="AP142" s="58"/>
      <c r="AR142" s="58"/>
      <c r="AS142" s="58"/>
      <c r="AT142" s="58"/>
      <c r="AU142" s="58"/>
      <c r="AV142" s="58"/>
      <c r="AW142" s="58"/>
      <c r="AX142" s="58"/>
      <c r="AY142" s="58"/>
      <c r="AZ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row>
    <row r="143" spans="2:83">
      <c r="B143" s="56" t="s">
        <v>89</v>
      </c>
    </row>
    <row r="144" spans="2:83">
      <c r="B144" t="s">
        <v>1</v>
      </c>
      <c r="D144" s="132" t="str">
        <f>D5</f>
        <v>2019年度　（2019年4月-2020年3月）</v>
      </c>
      <c r="E144" s="132"/>
      <c r="F144" s="132"/>
      <c r="G144" s="132"/>
      <c r="H144" s="132"/>
      <c r="I144" s="132"/>
      <c r="J144" s="132"/>
      <c r="K144" s="132"/>
      <c r="L144" s="132"/>
      <c r="N144" s="132" t="str">
        <f>N5</f>
        <v>2018年度　（2018年4月-2019年3月）</v>
      </c>
      <c r="O144" s="132"/>
      <c r="P144" s="132"/>
      <c r="Q144" s="132"/>
      <c r="R144" s="132"/>
      <c r="S144" s="132"/>
      <c r="T144" s="132"/>
      <c r="U144" s="132"/>
      <c r="V144" s="132"/>
      <c r="X144" s="231" t="str">
        <f>X5</f>
        <v>2017年度　（2017年4月-2018年3月）</v>
      </c>
      <c r="Y144" s="231"/>
      <c r="Z144" s="231"/>
      <c r="AA144" s="231"/>
      <c r="AB144" s="231"/>
      <c r="AC144" s="231"/>
      <c r="AD144" s="231"/>
      <c r="AE144" s="231"/>
      <c r="AF144" s="231"/>
      <c r="AH144" s="5"/>
      <c r="AI144" s="5"/>
      <c r="AJ144" s="5"/>
      <c r="AK144" s="5"/>
      <c r="AL144" s="5"/>
      <c r="AM144" s="5"/>
      <c r="AN144" s="5"/>
      <c r="AO144" s="5"/>
      <c r="AP144" s="5"/>
      <c r="AR144" s="5"/>
      <c r="AS144" s="5"/>
      <c r="AT144" s="5"/>
      <c r="AU144" s="5"/>
      <c r="AV144" s="5"/>
      <c r="AW144" s="5"/>
      <c r="AX144" s="5"/>
      <c r="AY144" s="5"/>
      <c r="AZ144" s="5"/>
      <c r="BB144" s="5"/>
      <c r="BC144" s="5"/>
      <c r="BD144" s="5"/>
      <c r="BE144" s="5"/>
      <c r="BF144" s="5"/>
      <c r="BG144" s="5"/>
      <c r="BH144" s="5"/>
      <c r="BI144" s="5"/>
      <c r="BJ144" s="5"/>
      <c r="BL144" s="5"/>
      <c r="BM144" s="5"/>
      <c r="BN144" s="5"/>
      <c r="BO144" s="5"/>
      <c r="BP144" s="5"/>
      <c r="BQ144" s="5"/>
      <c r="BR144" s="5"/>
      <c r="BS144" s="5"/>
      <c r="BT144" s="5"/>
      <c r="BW144" s="5"/>
      <c r="BX144" s="5"/>
      <c r="BY144" s="5"/>
      <c r="BZ144" s="5"/>
      <c r="CA144" s="5"/>
      <c r="CB144" s="5"/>
      <c r="CC144" s="5"/>
      <c r="CD144" s="5"/>
      <c r="CE144" s="5"/>
    </row>
    <row r="145" spans="1:83" ht="3.75" customHeight="1">
      <c r="D145" s="5"/>
      <c r="E145" s="5"/>
      <c r="F145" s="5"/>
      <c r="G145" s="5"/>
      <c r="H145" s="5"/>
      <c r="I145" s="5"/>
      <c r="J145" s="5"/>
      <c r="K145" s="5"/>
      <c r="L145" s="132"/>
      <c r="N145" s="5"/>
      <c r="O145" s="5"/>
      <c r="P145" s="5"/>
      <c r="Q145" s="5"/>
      <c r="R145" s="5"/>
      <c r="S145" s="5"/>
      <c r="T145" s="5"/>
      <c r="U145" s="5"/>
      <c r="V145" s="132"/>
      <c r="X145" s="5"/>
      <c r="Y145" s="5"/>
      <c r="Z145" s="5"/>
      <c r="AA145" s="5"/>
      <c r="AB145" s="5"/>
      <c r="AC145" s="5"/>
      <c r="AD145" s="5"/>
      <c r="AE145" s="5"/>
      <c r="AF145" s="231"/>
      <c r="AH145" s="5"/>
      <c r="AI145" s="5"/>
      <c r="AJ145" s="5"/>
      <c r="AK145" s="5"/>
      <c r="AL145" s="5"/>
      <c r="AM145" s="5"/>
      <c r="AN145" s="5"/>
      <c r="AO145" s="5"/>
      <c r="AP145" s="5"/>
      <c r="AR145" s="5"/>
      <c r="AS145" s="5"/>
      <c r="AT145" s="5"/>
      <c r="AU145" s="5"/>
      <c r="AV145" s="5"/>
      <c r="AW145" s="5"/>
      <c r="AX145" s="5"/>
      <c r="AY145" s="5"/>
      <c r="AZ145" s="5"/>
      <c r="BB145" s="5"/>
      <c r="BC145" s="5"/>
      <c r="BD145" s="5"/>
      <c r="BE145" s="5"/>
      <c r="BF145" s="5"/>
      <c r="BG145" s="5"/>
      <c r="BH145" s="5"/>
      <c r="BI145" s="5"/>
      <c r="BJ145" s="5"/>
      <c r="BL145" s="5"/>
      <c r="BM145" s="5"/>
      <c r="BN145" s="5"/>
      <c r="BO145" s="5"/>
      <c r="BP145" s="5"/>
      <c r="BQ145" s="5"/>
      <c r="BR145" s="5"/>
      <c r="BS145" s="5"/>
      <c r="BT145" s="5"/>
      <c r="BW145" s="5"/>
      <c r="BX145" s="5"/>
      <c r="BY145" s="5"/>
      <c r="BZ145" s="5"/>
      <c r="CA145" s="5"/>
      <c r="CB145" s="5"/>
      <c r="CC145" s="5"/>
      <c r="CD145" s="5"/>
      <c r="CE145" s="5"/>
    </row>
    <row r="146" spans="1:83">
      <c r="D146" s="6"/>
      <c r="E146" s="6"/>
      <c r="F146" s="7" t="s">
        <v>28</v>
      </c>
      <c r="H146" s="7"/>
      <c r="I146" s="7"/>
      <c r="J146" s="7" t="s">
        <v>29</v>
      </c>
      <c r="L146" s="133" t="s">
        <v>30</v>
      </c>
      <c r="N146" s="6"/>
      <c r="O146" s="6"/>
      <c r="P146" s="7" t="s">
        <v>28</v>
      </c>
      <c r="R146" s="7"/>
      <c r="S146" s="7"/>
      <c r="T146" s="7" t="s">
        <v>29</v>
      </c>
      <c r="V146" s="133" t="s">
        <v>30</v>
      </c>
      <c r="X146" s="6"/>
      <c r="Y146" s="6"/>
      <c r="Z146" s="7" t="s">
        <v>28</v>
      </c>
      <c r="AB146" s="7"/>
      <c r="AC146" s="7"/>
      <c r="AD146" s="7" t="s">
        <v>29</v>
      </c>
      <c r="AF146" s="232" t="s">
        <v>30</v>
      </c>
      <c r="AJ146" s="8"/>
      <c r="AL146" s="8"/>
      <c r="AM146" s="8"/>
      <c r="AN146" s="8"/>
      <c r="AP146" s="8"/>
      <c r="AT146" s="8"/>
      <c r="AV146" s="8"/>
      <c r="AW146" s="8"/>
      <c r="AX146" s="8"/>
      <c r="AZ146" s="8"/>
      <c r="BD146" s="8"/>
      <c r="BF146" s="8"/>
      <c r="BG146" s="8"/>
      <c r="BH146" s="8"/>
      <c r="BJ146" s="8"/>
      <c r="BN146" s="8"/>
      <c r="BP146" s="8"/>
      <c r="BQ146" s="8"/>
      <c r="BR146" s="8"/>
      <c r="BT146" s="8"/>
      <c r="BY146" s="8"/>
      <c r="CA146" s="8"/>
      <c r="CB146" s="8"/>
      <c r="CC146" s="8"/>
      <c r="CE146" s="8"/>
    </row>
    <row r="147" spans="1:83" s="9" customFormat="1" ht="10.8">
      <c r="D147" s="9" t="s">
        <v>31</v>
      </c>
      <c r="E147" s="220"/>
      <c r="F147" s="10" t="s">
        <v>33</v>
      </c>
      <c r="H147" s="9" t="s">
        <v>171</v>
      </c>
      <c r="I147" s="220"/>
      <c r="J147" s="225"/>
      <c r="L147" s="134"/>
      <c r="N147" s="9" t="s">
        <v>31</v>
      </c>
      <c r="O147" s="220"/>
      <c r="P147" s="10" t="s">
        <v>33</v>
      </c>
      <c r="R147" s="9" t="s">
        <v>171</v>
      </c>
      <c r="S147" s="220"/>
      <c r="T147" s="225"/>
      <c r="V147" s="134"/>
      <c r="X147" s="9" t="s">
        <v>31</v>
      </c>
      <c r="Y147" s="220"/>
      <c r="Z147" s="10" t="s">
        <v>33</v>
      </c>
      <c r="AB147" s="9" t="s">
        <v>171</v>
      </c>
      <c r="AC147" s="220"/>
      <c r="AD147" s="225"/>
      <c r="AF147" s="233"/>
      <c r="AJ147" s="11"/>
      <c r="AN147" s="11"/>
      <c r="AP147" s="11"/>
      <c r="AT147" s="11"/>
      <c r="AX147" s="11"/>
      <c r="AZ147" s="11"/>
      <c r="BD147" s="11"/>
      <c r="BH147" s="11"/>
      <c r="BJ147" s="11"/>
      <c r="BN147" s="11"/>
      <c r="BR147" s="11"/>
      <c r="BT147" s="11"/>
      <c r="BY147" s="11"/>
      <c r="CC147" s="11"/>
      <c r="CE147" s="11"/>
    </row>
    <row r="148" spans="1:83" s="9" customFormat="1" ht="10.8">
      <c r="E148" s="220"/>
      <c r="F148" s="10"/>
      <c r="I148" s="220"/>
      <c r="J148" s="225"/>
      <c r="L148" s="134"/>
      <c r="O148" s="220"/>
      <c r="P148" s="10"/>
      <c r="S148" s="220"/>
      <c r="T148" s="225"/>
      <c r="V148" s="134"/>
      <c r="Y148" s="220"/>
      <c r="Z148" s="10"/>
      <c r="AC148" s="220"/>
      <c r="AD148" s="225"/>
      <c r="AF148" s="233"/>
      <c r="AJ148" s="11"/>
      <c r="AN148" s="11"/>
      <c r="AP148" s="11"/>
      <c r="AT148" s="11"/>
      <c r="AX148" s="11"/>
      <c r="AZ148" s="11"/>
      <c r="BD148" s="11"/>
      <c r="BH148" s="11"/>
      <c r="BJ148" s="11"/>
      <c r="BN148" s="11"/>
      <c r="BR148" s="11"/>
      <c r="BT148" s="11"/>
      <c r="BY148" s="11"/>
      <c r="CC148" s="11"/>
      <c r="CE148" s="11"/>
    </row>
    <row r="149" spans="1:83" ht="5.0999999999999996" customHeight="1"/>
    <row r="150" spans="1:83" ht="13.5" customHeight="1">
      <c r="B150" s="67" t="s">
        <v>90</v>
      </c>
      <c r="C150" s="34"/>
      <c r="D150" s="34"/>
      <c r="E150" s="221"/>
      <c r="F150" s="34"/>
      <c r="G150" s="34"/>
      <c r="H150" s="34"/>
      <c r="I150" s="226"/>
      <c r="J150" s="226"/>
      <c r="L150" s="238"/>
      <c r="M150" s="34"/>
      <c r="N150" s="34"/>
      <c r="O150" s="221"/>
      <c r="P150" s="34"/>
      <c r="Q150" s="34"/>
      <c r="R150" s="34"/>
      <c r="S150" s="226"/>
      <c r="T150" s="226"/>
      <c r="W150" s="34"/>
      <c r="X150" s="34"/>
      <c r="Y150" s="221"/>
      <c r="Z150" s="34"/>
      <c r="AA150" s="34"/>
      <c r="AB150" s="34"/>
      <c r="AC150" s="226"/>
      <c r="AD150" s="226"/>
    </row>
    <row r="151" spans="1:83" ht="13.5" customHeight="1">
      <c r="B151" s="68" t="s">
        <v>91</v>
      </c>
      <c r="D151" s="54">
        <v>110</v>
      </c>
      <c r="E151" s="138"/>
      <c r="F151" s="16">
        <v>109</v>
      </c>
      <c r="G151" s="16"/>
      <c r="H151" s="16">
        <v>109</v>
      </c>
      <c r="I151" s="227"/>
      <c r="J151" s="227"/>
      <c r="K151" s="203"/>
      <c r="L151" s="166">
        <v>109</v>
      </c>
      <c r="N151" s="54">
        <v>109</v>
      </c>
      <c r="O151" s="138"/>
      <c r="P151" s="16">
        <v>110</v>
      </c>
      <c r="Q151" s="16"/>
      <c r="R151" s="16">
        <v>111</v>
      </c>
      <c r="S151" s="227"/>
      <c r="T151" s="227"/>
      <c r="U151" s="203"/>
      <c r="V151" s="166">
        <v>111</v>
      </c>
      <c r="X151" s="54">
        <v>111</v>
      </c>
      <c r="Y151" s="138"/>
      <c r="Z151" s="16">
        <v>111</v>
      </c>
      <c r="AA151" s="16"/>
      <c r="AB151" s="16">
        <v>112</v>
      </c>
      <c r="AC151" s="227"/>
      <c r="AD151" s="227"/>
      <c r="AE151" s="203"/>
      <c r="AF151" s="203">
        <v>111</v>
      </c>
      <c r="AH151" s="112"/>
      <c r="AI151" s="112"/>
      <c r="AJ151" s="112"/>
      <c r="AK151" s="112"/>
      <c r="AL151" s="112"/>
      <c r="AM151" s="112"/>
      <c r="AN151" s="112"/>
      <c r="AO151" s="112"/>
      <c r="AP151" s="112"/>
      <c r="AR151" s="112"/>
      <c r="AS151" s="112"/>
      <c r="AT151" s="112"/>
      <c r="AU151" s="112"/>
      <c r="AV151" s="112"/>
      <c r="AW151" s="112"/>
      <c r="AX151" s="112"/>
      <c r="AY151" s="112"/>
      <c r="AZ151" s="112"/>
      <c r="BB151" s="112"/>
      <c r="BC151" s="112"/>
      <c r="BD151" s="112"/>
      <c r="BE151" s="112"/>
      <c r="BF151" s="112"/>
      <c r="BG151" s="112"/>
      <c r="BH151" s="112"/>
      <c r="BI151" s="112"/>
      <c r="BJ151" s="112"/>
      <c r="BK151" s="112"/>
      <c r="BL151" s="112"/>
      <c r="BM151" s="112"/>
      <c r="BN151" s="112"/>
      <c r="BO151" s="112"/>
      <c r="BP151" s="112"/>
      <c r="BQ151" s="112"/>
      <c r="BR151" s="112"/>
      <c r="BS151" s="112"/>
      <c r="BT151" s="112"/>
      <c r="BW151" s="112"/>
      <c r="BX151" s="112"/>
      <c r="BY151" s="112"/>
      <c r="BZ151" s="112"/>
      <c r="CA151" s="112"/>
      <c r="CB151" s="112"/>
      <c r="CC151" s="112"/>
      <c r="CD151" s="112"/>
      <c r="CE151" s="112"/>
    </row>
    <row r="152" spans="1:83" ht="13.5" customHeight="1">
      <c r="B152" s="69" t="s">
        <v>113</v>
      </c>
      <c r="C152" s="34"/>
      <c r="D152" s="70"/>
      <c r="E152" s="222"/>
      <c r="F152" s="109"/>
      <c r="G152" s="109"/>
      <c r="H152" s="109"/>
      <c r="I152" s="222"/>
      <c r="J152" s="222"/>
      <c r="K152" s="204"/>
      <c r="L152" s="237"/>
      <c r="M152" s="34"/>
      <c r="N152" s="70"/>
      <c r="O152" s="222"/>
      <c r="P152" s="109"/>
      <c r="Q152" s="109"/>
      <c r="R152" s="109"/>
      <c r="S152" s="222"/>
      <c r="T152" s="222"/>
      <c r="U152" s="204"/>
      <c r="V152" s="109"/>
      <c r="W152" s="34"/>
      <c r="X152" s="70"/>
      <c r="Y152" s="222"/>
      <c r="Z152" s="109"/>
      <c r="AA152" s="109"/>
      <c r="AB152" s="109"/>
      <c r="AC152" s="222"/>
      <c r="AD152" s="222"/>
      <c r="AE152" s="204"/>
      <c r="AF152" s="204"/>
      <c r="AH152" s="112"/>
      <c r="AI152" s="112"/>
      <c r="AJ152" s="112"/>
      <c r="AK152" s="112"/>
      <c r="AL152" s="112"/>
      <c r="AM152" s="112"/>
      <c r="AN152" s="112"/>
      <c r="AO152" s="112"/>
      <c r="AP152" s="112"/>
      <c r="AR152" s="112"/>
      <c r="AS152" s="112"/>
      <c r="AT152" s="112"/>
      <c r="AU152" s="112"/>
      <c r="AV152" s="112"/>
      <c r="AW152" s="112"/>
      <c r="AX152" s="112"/>
      <c r="AY152" s="112"/>
      <c r="AZ152" s="112"/>
      <c r="BB152" s="112"/>
      <c r="BC152" s="112"/>
      <c r="BD152" s="112"/>
      <c r="BE152" s="112"/>
      <c r="BF152" s="112"/>
      <c r="BG152" s="112"/>
      <c r="BH152" s="112"/>
      <c r="BI152" s="112"/>
      <c r="BJ152" s="112"/>
      <c r="BK152" s="112"/>
      <c r="BL152" s="112"/>
      <c r="BM152" s="112"/>
      <c r="BN152" s="112"/>
      <c r="BO152" s="112"/>
      <c r="BP152" s="112"/>
      <c r="BQ152" s="112"/>
      <c r="BR152" s="112"/>
      <c r="BS152" s="112"/>
      <c r="BT152" s="112"/>
      <c r="BW152" s="112"/>
      <c r="BX152" s="112"/>
      <c r="BY152" s="112"/>
      <c r="BZ152" s="112"/>
      <c r="CA152" s="112"/>
      <c r="CB152" s="112"/>
      <c r="CC152" s="112"/>
      <c r="CD152" s="112"/>
      <c r="CE152" s="112"/>
    </row>
    <row r="153" spans="1:83" ht="13.5" customHeight="1">
      <c r="A153" s="21"/>
      <c r="B153" s="31" t="s">
        <v>175</v>
      </c>
      <c r="D153" s="54">
        <v>67</v>
      </c>
      <c r="E153" s="223"/>
      <c r="F153" s="16">
        <v>64</v>
      </c>
      <c r="G153" s="16"/>
      <c r="H153" s="16">
        <v>64</v>
      </c>
      <c r="I153" s="228"/>
      <c r="J153" s="228"/>
      <c r="K153" s="201"/>
      <c r="L153" s="112">
        <v>60</v>
      </c>
      <c r="N153" s="54">
        <v>72</v>
      </c>
      <c r="O153" s="223"/>
      <c r="P153" s="16">
        <v>73</v>
      </c>
      <c r="Q153" s="16"/>
      <c r="R153" s="16">
        <v>72</v>
      </c>
      <c r="S153" s="228"/>
      <c r="T153" s="228"/>
      <c r="U153" s="201"/>
      <c r="V153" s="112">
        <v>69</v>
      </c>
      <c r="X153" s="54">
        <v>51</v>
      </c>
      <c r="Y153" s="223"/>
      <c r="Z153" s="16">
        <v>50</v>
      </c>
      <c r="AA153" s="16"/>
      <c r="AB153" s="186">
        <v>52</v>
      </c>
      <c r="AC153" s="228"/>
      <c r="AD153" s="228"/>
      <c r="AE153" s="201"/>
      <c r="AF153" s="201">
        <v>56</v>
      </c>
      <c r="AH153" s="112"/>
      <c r="AI153" s="25"/>
      <c r="AJ153" s="112"/>
      <c r="AK153" s="112"/>
      <c r="AL153" s="112"/>
      <c r="AM153" s="112"/>
      <c r="AN153" s="112"/>
      <c r="AO153" s="112"/>
      <c r="AP153" s="112"/>
      <c r="AR153" s="112"/>
      <c r="AS153" s="112"/>
      <c r="AT153" s="112"/>
      <c r="AU153" s="112"/>
      <c r="AV153" s="112"/>
      <c r="AW153" s="112"/>
      <c r="AX153" s="112"/>
      <c r="AY153" s="112"/>
      <c r="AZ153" s="112"/>
      <c r="BB153" s="112"/>
      <c r="BC153" s="112"/>
      <c r="BD153" s="112"/>
      <c r="BE153" s="112"/>
      <c r="BF153" s="112"/>
      <c r="BG153" s="112"/>
      <c r="BH153" s="112"/>
      <c r="BI153" s="112"/>
      <c r="BJ153" s="112"/>
      <c r="BK153" s="112"/>
      <c r="BL153" s="112"/>
      <c r="BM153" s="112"/>
      <c r="BN153" s="112"/>
      <c r="BO153" s="112"/>
      <c r="BP153" s="112"/>
      <c r="BQ153" s="112"/>
      <c r="BR153" s="112"/>
      <c r="BS153" s="112"/>
      <c r="BT153" s="112"/>
      <c r="BW153" s="112"/>
      <c r="BX153" s="112"/>
      <c r="BY153" s="112"/>
      <c r="BZ153" s="112"/>
      <c r="CA153" s="112"/>
      <c r="CB153" s="112"/>
      <c r="CC153" s="112"/>
      <c r="CD153" s="112"/>
      <c r="CE153" s="112"/>
    </row>
    <row r="154" spans="1:83" ht="13.5" customHeight="1">
      <c r="B154" s="62" t="s">
        <v>114</v>
      </c>
      <c r="C154" s="34"/>
      <c r="D154" s="70"/>
      <c r="E154" s="222"/>
      <c r="F154" s="109"/>
      <c r="G154" s="109"/>
      <c r="H154" s="109"/>
      <c r="I154" s="222"/>
      <c r="J154" s="222"/>
      <c r="K154" s="204"/>
      <c r="L154" s="237"/>
      <c r="M154" s="34"/>
      <c r="N154" s="70"/>
      <c r="O154" s="222"/>
      <c r="P154" s="109"/>
      <c r="Q154" s="109"/>
      <c r="R154" s="109"/>
      <c r="S154" s="222"/>
      <c r="T154" s="222"/>
      <c r="U154" s="204"/>
      <c r="V154" s="109"/>
      <c r="W154" s="34"/>
      <c r="X154" s="70"/>
      <c r="Y154" s="222"/>
      <c r="Z154" s="109"/>
      <c r="AA154" s="109"/>
      <c r="AB154" s="109"/>
      <c r="AC154" s="222"/>
      <c r="AD154" s="222"/>
      <c r="AE154" s="204"/>
      <c r="AF154" s="204"/>
      <c r="AH154" s="112"/>
      <c r="AI154" s="112"/>
      <c r="AJ154" s="112"/>
      <c r="AK154" s="112"/>
      <c r="AL154" s="112"/>
      <c r="AM154" s="112"/>
      <c r="AN154" s="112"/>
      <c r="AO154" s="112"/>
      <c r="AP154" s="112"/>
      <c r="AR154" s="112"/>
      <c r="AS154" s="112"/>
      <c r="AT154" s="112"/>
      <c r="AU154" s="112"/>
      <c r="AV154" s="112"/>
      <c r="AW154" s="112"/>
      <c r="AX154" s="112"/>
      <c r="AY154" s="112"/>
      <c r="AZ154" s="112"/>
      <c r="BB154" s="112"/>
      <c r="BC154" s="112"/>
      <c r="BD154" s="112"/>
      <c r="BE154" s="112"/>
      <c r="BF154" s="112"/>
      <c r="BG154" s="112"/>
      <c r="BH154" s="112"/>
      <c r="BI154" s="112"/>
      <c r="BJ154" s="112"/>
      <c r="BK154" s="112"/>
      <c r="BL154" s="112"/>
      <c r="BM154" s="112"/>
      <c r="BN154" s="112"/>
      <c r="BO154" s="112"/>
      <c r="BP154" s="112"/>
      <c r="BQ154" s="112"/>
      <c r="BR154" s="112"/>
      <c r="BS154" s="112"/>
      <c r="BT154" s="112"/>
      <c r="BW154" s="112"/>
      <c r="BX154" s="112"/>
      <c r="BY154" s="112"/>
      <c r="BZ154" s="112"/>
      <c r="CA154" s="112"/>
      <c r="CB154" s="112"/>
      <c r="CC154" s="112"/>
      <c r="CD154" s="112"/>
      <c r="CE154" s="112"/>
    </row>
    <row r="155" spans="1:83" ht="13.5" customHeight="1">
      <c r="B155" s="31" t="s">
        <v>176</v>
      </c>
      <c r="D155" s="54">
        <v>99</v>
      </c>
      <c r="E155" s="138"/>
      <c r="F155" s="16">
        <v>93</v>
      </c>
      <c r="G155" s="16"/>
      <c r="H155" s="16">
        <v>102</v>
      </c>
      <c r="I155" s="228"/>
      <c r="J155" s="228"/>
      <c r="K155" s="201"/>
      <c r="L155" s="112">
        <v>106</v>
      </c>
      <c r="N155" s="54">
        <v>95</v>
      </c>
      <c r="O155" s="138"/>
      <c r="P155" s="16">
        <v>97</v>
      </c>
      <c r="Q155" s="16"/>
      <c r="R155" s="16">
        <v>105</v>
      </c>
      <c r="S155" s="228"/>
      <c r="T155" s="228"/>
      <c r="U155" s="201"/>
      <c r="V155" s="112">
        <v>105</v>
      </c>
      <c r="X155" s="54">
        <v>107</v>
      </c>
      <c r="Y155" s="138"/>
      <c r="Z155" s="16">
        <v>113</v>
      </c>
      <c r="AA155" s="16"/>
      <c r="AB155" s="16">
        <v>118</v>
      </c>
      <c r="AC155" s="228"/>
      <c r="AD155" s="228"/>
      <c r="AE155" s="201"/>
      <c r="AF155" s="201">
        <v>117</v>
      </c>
      <c r="AH155" s="112"/>
      <c r="AI155" s="112"/>
      <c r="AJ155" s="112"/>
      <c r="AK155" s="112"/>
      <c r="AL155" s="112"/>
      <c r="AM155" s="112"/>
      <c r="AN155" s="112"/>
      <c r="AO155" s="112"/>
      <c r="AP155" s="112"/>
      <c r="AR155" s="112"/>
      <c r="AS155" s="112"/>
      <c r="AT155" s="112"/>
      <c r="AU155" s="112"/>
      <c r="AV155" s="112"/>
      <c r="AW155" s="112"/>
      <c r="AX155" s="112"/>
      <c r="AY155" s="112"/>
      <c r="AZ155" s="112"/>
      <c r="BB155" s="112"/>
      <c r="BC155" s="112"/>
      <c r="BD155" s="112"/>
      <c r="BE155" s="112"/>
      <c r="BF155" s="112"/>
      <c r="BG155" s="112"/>
      <c r="BH155" s="112"/>
      <c r="BI155" s="112"/>
      <c r="BJ155" s="112"/>
      <c r="BK155" s="112"/>
      <c r="BL155" s="112"/>
      <c r="BM155" s="112"/>
      <c r="BN155" s="112"/>
      <c r="BO155" s="112"/>
      <c r="BP155" s="112"/>
      <c r="BQ155" s="112"/>
      <c r="BR155" s="112"/>
      <c r="BS155" s="112"/>
      <c r="BT155" s="112"/>
      <c r="BW155" s="112"/>
      <c r="BX155" s="112"/>
      <c r="BY155" s="112"/>
      <c r="BZ155" s="112"/>
      <c r="CA155" s="112"/>
      <c r="CB155" s="112"/>
      <c r="CC155" s="112"/>
      <c r="CD155" s="112"/>
      <c r="CE155" s="112"/>
    </row>
    <row r="156" spans="1:83" ht="13.5" customHeight="1">
      <c r="B156" s="31" t="s">
        <v>164</v>
      </c>
      <c r="D156" s="54">
        <v>69</v>
      </c>
      <c r="E156" s="223"/>
      <c r="F156" s="16">
        <v>66</v>
      </c>
      <c r="G156" s="110"/>
      <c r="H156" s="16">
        <v>65</v>
      </c>
      <c r="I156" s="229"/>
      <c r="J156" s="229"/>
      <c r="K156" s="205"/>
      <c r="L156" s="154">
        <v>62</v>
      </c>
      <c r="N156" s="54">
        <v>74</v>
      </c>
      <c r="O156" s="223"/>
      <c r="P156" s="16">
        <v>75</v>
      </c>
      <c r="Q156" s="110"/>
      <c r="R156" s="16">
        <v>72</v>
      </c>
      <c r="S156" s="229"/>
      <c r="T156" s="229"/>
      <c r="U156" s="205"/>
      <c r="V156" s="154">
        <v>70</v>
      </c>
      <c r="X156" s="54">
        <v>50</v>
      </c>
      <c r="Y156" s="223"/>
      <c r="Z156" s="54">
        <v>51</v>
      </c>
      <c r="AA156" s="110"/>
      <c r="AB156" s="186">
        <v>54</v>
      </c>
      <c r="AC156" s="229"/>
      <c r="AD156" s="229"/>
      <c r="AE156" s="205"/>
      <c r="AF156" s="205">
        <v>58</v>
      </c>
      <c r="AH156" s="112"/>
      <c r="AI156" s="25"/>
      <c r="AJ156" s="112"/>
      <c r="AK156" s="153"/>
      <c r="AL156" s="112"/>
      <c r="AM156" s="154"/>
      <c r="AN156" s="154"/>
      <c r="AO156" s="154"/>
      <c r="AP156" s="154"/>
      <c r="AR156" s="112"/>
      <c r="AS156" s="112"/>
      <c r="AT156" s="112"/>
      <c r="AU156" s="153"/>
      <c r="AV156" s="112"/>
      <c r="AW156" s="154"/>
      <c r="AX156" s="154"/>
      <c r="AY156" s="154"/>
      <c r="AZ156" s="154"/>
      <c r="BB156" s="112"/>
      <c r="BC156" s="112"/>
      <c r="BD156" s="112"/>
      <c r="BE156" s="153"/>
      <c r="BF156" s="112"/>
      <c r="BG156" s="154"/>
      <c r="BH156" s="154"/>
      <c r="BI156" s="154"/>
      <c r="BJ156" s="154"/>
      <c r="BK156" s="154"/>
      <c r="BL156" s="154"/>
      <c r="BM156" s="154"/>
      <c r="BN156" s="154"/>
      <c r="BO156" s="154"/>
      <c r="BP156" s="214"/>
      <c r="BQ156" s="154"/>
      <c r="BR156" s="154"/>
      <c r="BS156" s="154"/>
      <c r="BT156" s="154"/>
      <c r="BU156" s="97"/>
      <c r="BV156" s="97"/>
      <c r="BW156" s="154"/>
      <c r="BX156" s="154"/>
      <c r="BY156" s="154"/>
      <c r="BZ156" s="154"/>
      <c r="CA156" s="154"/>
      <c r="CB156" s="154"/>
      <c r="CC156" s="154"/>
      <c r="CD156" s="154"/>
      <c r="CE156" s="154"/>
    </row>
    <row r="157" spans="1:83" ht="13.5" customHeight="1">
      <c r="B157" s="72" t="s">
        <v>84</v>
      </c>
      <c r="C157" s="34"/>
      <c r="D157" s="70"/>
      <c r="E157" s="222"/>
      <c r="F157" s="109"/>
      <c r="G157" s="109"/>
      <c r="H157" s="109"/>
      <c r="I157" s="222"/>
      <c r="J157" s="222"/>
      <c r="K157" s="204"/>
      <c r="L157" s="237"/>
      <c r="M157" s="34"/>
      <c r="N157" s="70"/>
      <c r="O157" s="222"/>
      <c r="P157" s="109"/>
      <c r="Q157" s="109"/>
      <c r="R157" s="109"/>
      <c r="S157" s="222"/>
      <c r="T157" s="222"/>
      <c r="U157" s="204"/>
      <c r="V157" s="109"/>
      <c r="W157" s="34"/>
      <c r="X157" s="70"/>
      <c r="Y157" s="222"/>
      <c r="Z157" s="109"/>
      <c r="AA157" s="109"/>
      <c r="AB157" s="204"/>
      <c r="AC157" s="222"/>
      <c r="AD157" s="222"/>
      <c r="AE157" s="204"/>
      <c r="AF157" s="204"/>
      <c r="AH157" s="112"/>
      <c r="AI157" s="112"/>
      <c r="AJ157" s="112"/>
      <c r="AK157" s="112"/>
      <c r="AL157" s="112"/>
      <c r="AM157" s="112"/>
      <c r="AN157" s="112"/>
      <c r="AO157" s="112"/>
      <c r="AP157" s="112"/>
      <c r="AR157" s="112"/>
      <c r="AS157" s="112"/>
      <c r="AT157" s="112"/>
      <c r="AU157" s="112"/>
      <c r="AV157" s="112"/>
      <c r="AW157" s="112"/>
      <c r="AX157" s="112"/>
      <c r="AY157" s="112"/>
      <c r="AZ157" s="112"/>
      <c r="BB157" s="112"/>
      <c r="BC157" s="112"/>
      <c r="BD157" s="112"/>
      <c r="BE157" s="112"/>
      <c r="BF157" s="112"/>
      <c r="BG157" s="112"/>
      <c r="BH157" s="112"/>
      <c r="BI157" s="112"/>
      <c r="BJ157" s="112"/>
      <c r="BK157" s="112"/>
      <c r="BL157" s="112"/>
      <c r="BM157" s="112"/>
      <c r="BN157" s="112"/>
      <c r="BO157" s="112"/>
      <c r="BP157" s="112"/>
      <c r="BQ157" s="112"/>
      <c r="BR157" s="112"/>
      <c r="BS157" s="112"/>
      <c r="BT157" s="112"/>
      <c r="BW157" s="112"/>
      <c r="BX157" s="112"/>
      <c r="BY157" s="112"/>
      <c r="BZ157" s="112"/>
      <c r="CA157" s="112"/>
      <c r="CB157" s="112"/>
      <c r="CC157" s="112"/>
      <c r="CD157" s="112"/>
      <c r="CE157" s="112"/>
    </row>
    <row r="158" spans="1:83" ht="13.5" customHeight="1">
      <c r="B158" s="31" t="s">
        <v>165</v>
      </c>
      <c r="D158" s="54">
        <v>277</v>
      </c>
      <c r="E158" s="138"/>
      <c r="F158" s="16">
        <v>270</v>
      </c>
      <c r="G158" s="16"/>
      <c r="H158" s="16">
        <v>269</v>
      </c>
      <c r="I158" s="228"/>
      <c r="J158" s="228"/>
      <c r="K158" s="201"/>
      <c r="L158" s="112">
        <v>266</v>
      </c>
      <c r="N158" s="54">
        <v>312</v>
      </c>
      <c r="O158" s="138"/>
      <c r="P158" s="16">
        <v>294</v>
      </c>
      <c r="Q158" s="16"/>
      <c r="R158" s="16">
        <v>289</v>
      </c>
      <c r="S158" s="228"/>
      <c r="T158" s="228"/>
      <c r="U158" s="201"/>
      <c r="V158" s="112">
        <v>288</v>
      </c>
      <c r="X158" s="54">
        <v>257</v>
      </c>
      <c r="Y158" s="138"/>
      <c r="Z158" s="16">
        <v>272</v>
      </c>
      <c r="AA158" s="16"/>
      <c r="AB158" s="186">
        <v>285</v>
      </c>
      <c r="AC158" s="228"/>
      <c r="AD158" s="228"/>
      <c r="AE158" s="201"/>
      <c r="AF158" s="201">
        <v>292</v>
      </c>
      <c r="AH158" s="112"/>
      <c r="AI158" s="112"/>
      <c r="AJ158" s="112"/>
      <c r="AK158" s="112"/>
      <c r="AL158" s="112"/>
      <c r="AM158" s="112"/>
      <c r="AN158" s="112"/>
      <c r="AO158" s="112"/>
      <c r="AP158" s="112"/>
      <c r="AR158" s="112"/>
      <c r="AS158" s="112"/>
      <c r="AT158" s="112"/>
      <c r="AU158" s="112"/>
      <c r="AV158" s="112"/>
      <c r="AW158" s="112"/>
      <c r="AX158" s="112"/>
      <c r="AY158" s="112"/>
      <c r="AZ158" s="112"/>
      <c r="BB158" s="112"/>
      <c r="BC158" s="112"/>
      <c r="BD158" s="112"/>
      <c r="BE158" s="112"/>
      <c r="BF158" s="112"/>
      <c r="BG158" s="112"/>
      <c r="BH158" s="112"/>
      <c r="BI158" s="112"/>
      <c r="BJ158" s="112"/>
      <c r="BK158" s="112"/>
      <c r="BL158" s="112"/>
      <c r="BM158" s="112"/>
      <c r="BN158" s="112"/>
      <c r="BO158" s="112"/>
      <c r="BP158" s="112"/>
      <c r="BQ158" s="112"/>
      <c r="BR158" s="112"/>
      <c r="BS158" s="112"/>
      <c r="BT158" s="112"/>
      <c r="BW158" s="112"/>
      <c r="BX158" s="112"/>
      <c r="BY158" s="112"/>
      <c r="BZ158" s="112"/>
      <c r="CA158" s="112"/>
      <c r="CB158" s="112"/>
      <c r="CC158" s="112"/>
      <c r="CD158" s="112"/>
      <c r="CE158" s="112"/>
    </row>
    <row r="159" spans="1:83" ht="13.5" customHeight="1">
      <c r="B159" s="31" t="s">
        <v>110</v>
      </c>
      <c r="D159" s="54">
        <v>54</v>
      </c>
      <c r="E159" s="138"/>
      <c r="F159" s="16">
        <v>109</v>
      </c>
      <c r="G159" s="16"/>
      <c r="H159" s="16">
        <v>161</v>
      </c>
      <c r="I159" s="228"/>
      <c r="J159" s="228"/>
      <c r="K159" s="201"/>
      <c r="L159" s="112">
        <v>213</v>
      </c>
      <c r="N159" s="54">
        <v>49</v>
      </c>
      <c r="O159" s="138"/>
      <c r="P159" s="16">
        <v>100</v>
      </c>
      <c r="Q159" s="16"/>
      <c r="R159" s="16">
        <v>154</v>
      </c>
      <c r="S159" s="228"/>
      <c r="T159" s="228"/>
      <c r="U159" s="201"/>
      <c r="V159" s="112">
        <v>200</v>
      </c>
      <c r="X159" s="54">
        <v>37</v>
      </c>
      <c r="Y159" s="138"/>
      <c r="Z159" s="16">
        <v>87</v>
      </c>
      <c r="AA159" s="16"/>
      <c r="AB159" s="16">
        <v>141</v>
      </c>
      <c r="AC159" s="228"/>
      <c r="AD159" s="228"/>
      <c r="AE159" s="201"/>
      <c r="AF159" s="201">
        <v>194</v>
      </c>
      <c r="AH159" s="112"/>
      <c r="AI159" s="112"/>
      <c r="AJ159" s="112"/>
      <c r="AK159" s="112"/>
      <c r="AL159" s="112"/>
      <c r="AM159" s="112"/>
      <c r="AN159" s="112"/>
      <c r="AO159" s="112"/>
      <c r="AP159" s="112"/>
      <c r="AR159" s="112"/>
      <c r="AS159" s="112"/>
      <c r="AT159" s="112"/>
      <c r="AU159" s="112"/>
      <c r="AV159" s="112"/>
      <c r="AW159" s="112"/>
      <c r="AX159" s="112"/>
      <c r="AY159" s="112"/>
      <c r="AZ159" s="112"/>
      <c r="BB159" s="112"/>
      <c r="BC159" s="112"/>
      <c r="BD159" s="112"/>
      <c r="BE159" s="112"/>
      <c r="BF159" s="112"/>
      <c r="BG159" s="112"/>
      <c r="BH159" s="112"/>
      <c r="BI159" s="112"/>
      <c r="BJ159" s="112"/>
      <c r="BK159" s="112"/>
      <c r="BL159" s="112"/>
      <c r="BM159" s="112"/>
      <c r="BN159" s="112"/>
      <c r="BO159" s="112"/>
      <c r="BP159" s="112"/>
      <c r="BQ159" s="112"/>
      <c r="BR159" s="112"/>
      <c r="BS159" s="112"/>
      <c r="BT159" s="112"/>
      <c r="BW159" s="112"/>
      <c r="BX159" s="112"/>
      <c r="BY159" s="112"/>
      <c r="BZ159" s="112"/>
      <c r="CA159" s="112"/>
      <c r="CB159" s="112"/>
      <c r="CC159" s="112"/>
      <c r="CD159" s="112"/>
      <c r="CE159" s="112"/>
    </row>
    <row r="160" spans="1:83" ht="13.5" customHeight="1">
      <c r="B160" s="31" t="s">
        <v>93</v>
      </c>
      <c r="D160" s="54">
        <v>155</v>
      </c>
      <c r="E160" s="138"/>
      <c r="F160" s="16">
        <v>318</v>
      </c>
      <c r="G160" s="16"/>
      <c r="H160" s="16">
        <v>471</v>
      </c>
      <c r="I160" s="228"/>
      <c r="J160" s="228"/>
      <c r="K160" s="201"/>
      <c r="L160" s="112">
        <v>630</v>
      </c>
      <c r="N160" s="54">
        <v>163</v>
      </c>
      <c r="O160" s="138"/>
      <c r="P160" s="16">
        <v>323</v>
      </c>
      <c r="Q160" s="16"/>
      <c r="R160" s="16">
        <v>473</v>
      </c>
      <c r="S160" s="228"/>
      <c r="T160" s="228"/>
      <c r="U160" s="201"/>
      <c r="V160" s="112">
        <v>638</v>
      </c>
      <c r="X160" s="54">
        <v>142</v>
      </c>
      <c r="Y160" s="138"/>
      <c r="Z160" s="16">
        <v>284</v>
      </c>
      <c r="AA160" s="16"/>
      <c r="AB160" s="16">
        <v>420</v>
      </c>
      <c r="AC160" s="228"/>
      <c r="AD160" s="228"/>
      <c r="AE160" s="201"/>
      <c r="AF160" s="201">
        <v>579</v>
      </c>
      <c r="AH160" s="112"/>
      <c r="AI160" s="112"/>
      <c r="AJ160" s="112"/>
      <c r="AK160" s="112"/>
      <c r="AL160" s="112"/>
      <c r="AM160" s="112"/>
      <c r="AN160" s="112"/>
      <c r="AO160" s="112"/>
      <c r="AP160" s="112"/>
      <c r="AR160" s="112"/>
      <c r="AS160" s="112"/>
      <c r="AT160" s="112"/>
      <c r="AU160" s="112"/>
      <c r="AV160" s="112"/>
      <c r="AW160" s="112"/>
      <c r="AX160" s="112"/>
      <c r="AY160" s="112"/>
      <c r="AZ160" s="112"/>
      <c r="BB160" s="112"/>
      <c r="BC160" s="112"/>
      <c r="BD160" s="112"/>
      <c r="BE160" s="112"/>
      <c r="BF160" s="112"/>
      <c r="BG160" s="112"/>
      <c r="BH160" s="112"/>
      <c r="BI160" s="112"/>
      <c r="BJ160" s="112"/>
      <c r="BK160" s="112"/>
      <c r="BL160" s="112"/>
      <c r="BM160" s="112"/>
      <c r="BN160" s="112"/>
      <c r="BO160" s="112"/>
      <c r="BP160" s="112"/>
      <c r="BQ160" s="112"/>
      <c r="BR160" s="112"/>
      <c r="BS160" s="112"/>
      <c r="BT160" s="112"/>
      <c r="BW160" s="112"/>
      <c r="BX160" s="112"/>
      <c r="BY160" s="112"/>
      <c r="BZ160" s="112"/>
      <c r="CA160" s="112"/>
      <c r="CB160" s="112"/>
      <c r="CC160" s="112"/>
      <c r="CD160" s="112"/>
      <c r="CE160" s="112"/>
    </row>
    <row r="161" spans="1:83" s="179" customFormat="1" ht="13.5" customHeight="1">
      <c r="B161" s="180" t="s">
        <v>95</v>
      </c>
      <c r="D161" s="71">
        <v>3</v>
      </c>
      <c r="E161" s="224"/>
      <c r="F161" s="110">
        <v>3.1</v>
      </c>
      <c r="G161" s="110"/>
      <c r="H161" s="110">
        <v>3.2</v>
      </c>
      <c r="I161" s="230"/>
      <c r="J161" s="230"/>
      <c r="K161" s="206"/>
      <c r="L161" s="153">
        <v>3.3</v>
      </c>
      <c r="N161" s="71">
        <v>3.7</v>
      </c>
      <c r="O161" s="224"/>
      <c r="P161" s="110">
        <v>3.7</v>
      </c>
      <c r="Q161" s="110"/>
      <c r="R161" s="110">
        <v>3.7</v>
      </c>
      <c r="S161" s="230"/>
      <c r="T161" s="230"/>
      <c r="U161" s="206"/>
      <c r="V161" s="153">
        <v>3.6</v>
      </c>
      <c r="X161" s="71">
        <v>3.9</v>
      </c>
      <c r="Y161" s="224"/>
      <c r="Z161" s="110">
        <v>4</v>
      </c>
      <c r="AA161" s="110"/>
      <c r="AB161" s="110">
        <v>4</v>
      </c>
      <c r="AC161" s="230"/>
      <c r="AD161" s="230"/>
      <c r="AE161" s="206"/>
      <c r="AF161" s="206">
        <v>3.9</v>
      </c>
      <c r="AH161" s="153"/>
      <c r="AI161" s="153"/>
      <c r="AJ161" s="153"/>
      <c r="AK161" s="153"/>
      <c r="AL161" s="153"/>
      <c r="AM161" s="153"/>
      <c r="AN161" s="153"/>
      <c r="AO161" s="153"/>
      <c r="AP161" s="153"/>
      <c r="AR161" s="153"/>
      <c r="AS161" s="153"/>
      <c r="AT161" s="153"/>
      <c r="AU161" s="153"/>
      <c r="AV161" s="153"/>
      <c r="AW161" s="153"/>
      <c r="AX161" s="153"/>
      <c r="AY161" s="153"/>
      <c r="AZ161" s="153"/>
      <c r="BB161" s="153"/>
      <c r="BC161" s="153"/>
      <c r="BD161" s="153"/>
      <c r="BE161" s="153"/>
      <c r="BF161" s="153"/>
      <c r="BG161" s="153"/>
      <c r="BH161" s="153"/>
      <c r="BI161" s="153"/>
      <c r="BJ161" s="153"/>
      <c r="BK161" s="153"/>
      <c r="BL161" s="153"/>
      <c r="BM161" s="153"/>
      <c r="BN161" s="153"/>
      <c r="BO161" s="153"/>
      <c r="BP161" s="153"/>
      <c r="BQ161" s="153"/>
      <c r="BR161" s="153"/>
      <c r="BS161" s="153"/>
      <c r="BT161" s="153"/>
      <c r="BW161" s="153"/>
      <c r="BX161" s="153"/>
      <c r="BY161" s="153"/>
      <c r="BZ161" s="153"/>
      <c r="CA161" s="153"/>
      <c r="CB161" s="153"/>
      <c r="CC161" s="153"/>
      <c r="CD161" s="153"/>
      <c r="CE161" s="153"/>
    </row>
    <row r="162" spans="1:83">
      <c r="I162" s="207"/>
      <c r="J162" s="207"/>
      <c r="K162" s="207"/>
      <c r="S162" s="207"/>
      <c r="T162" s="207"/>
      <c r="U162" s="207"/>
      <c r="V162" s="207"/>
      <c r="AC162" s="207"/>
      <c r="AD162" s="207"/>
      <c r="AE162" s="207"/>
      <c r="AF162" s="207"/>
    </row>
    <row r="163" spans="1:83">
      <c r="B163" s="31"/>
    </row>
    <row r="164" spans="1:83">
      <c r="A164" s="4"/>
      <c r="B164" s="31" t="s">
        <v>177</v>
      </c>
    </row>
  </sheetData>
  <phoneticPr fontId="3"/>
  <pageMargins left="0.23622047244094491" right="0.23622047244094491" top="0.74803149606299213" bottom="0.74803149606299213" header="0.31496062992125984" footer="0.31496062992125984"/>
  <pageSetup paperSize="9" scale="48" fitToHeight="2" orientation="portrait" r:id="rId1"/>
  <headerFooter alignWithMargins="0">
    <oddHeader>&amp;R&amp;"Calibri"&amp;14&amp;K000000 【社内限り】&amp;1#_x000D_</oddHeader>
    <oddFooter>&amp;L（C)JX Holdings, Inc.</oddFooter>
  </headerFooter>
  <rowBreaks count="1" manualBreakCount="1">
    <brk id="86" max="21"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pageSetUpPr fitToPage="1"/>
  </sheetPr>
  <dimension ref="A1:BU173"/>
  <sheetViews>
    <sheetView zoomScaleNormal="100" zoomScaleSheetLayoutView="100" workbookViewId="0">
      <pane xSplit="3" ySplit="2" topLeftCell="AT3" activePane="bottomRight" state="frozen"/>
      <selection activeCell="I170" sqref="I170"/>
      <selection pane="topRight" activeCell="I170" sqref="I170"/>
      <selection pane="bottomLeft" activeCell="I170" sqref="I170"/>
      <selection pane="bottomRight" activeCell="BN43" sqref="BN43"/>
    </sheetView>
  </sheetViews>
  <sheetFormatPr defaultRowHeight="13.2"/>
  <cols>
    <col min="1" max="1" width="2" customWidth="1"/>
    <col min="2" max="2" width="35.6640625" customWidth="1"/>
    <col min="3" max="3" width="0.88671875" customWidth="1"/>
    <col min="4" max="6" width="10.6640625" customWidth="1"/>
    <col min="7" max="7" width="0.88671875" customWidth="1"/>
    <col min="8" max="10" width="10.6640625" customWidth="1"/>
    <col min="11" max="11" width="0.88671875" customWidth="1"/>
    <col min="12" max="12" width="10.6640625" customWidth="1"/>
    <col min="13" max="13" width="0.88671875" customWidth="1"/>
    <col min="14" max="16" width="10.6640625" customWidth="1"/>
    <col min="17" max="17" width="0.88671875" customWidth="1"/>
    <col min="18" max="20" width="10.6640625" customWidth="1"/>
    <col min="21" max="21" width="0.88671875" customWidth="1"/>
    <col min="22" max="22" width="10.6640625" customWidth="1"/>
    <col min="23" max="23" width="0.88671875" customWidth="1"/>
    <col min="24" max="26" width="10.6640625" customWidth="1"/>
    <col min="27" max="27" width="0.88671875" customWidth="1"/>
    <col min="28" max="30" width="10.6640625" customWidth="1"/>
    <col min="31" max="31" width="0.88671875" customWidth="1"/>
    <col min="32" max="32" width="10.6640625" customWidth="1"/>
    <col min="33" max="33" width="0.88671875" customWidth="1"/>
    <col min="34" max="36" width="10.6640625" customWidth="1"/>
    <col min="37" max="37" width="0.88671875" customWidth="1"/>
    <col min="38" max="40" width="10.6640625" customWidth="1"/>
    <col min="41" max="41" width="0.88671875" customWidth="1"/>
    <col min="42" max="42" width="10.6640625" customWidth="1"/>
    <col min="43" max="43" width="0.88671875" customWidth="1"/>
    <col min="44" max="46" width="10.6640625" customWidth="1"/>
    <col min="47" max="47" width="0.88671875" customWidth="1"/>
    <col min="48" max="50" width="10.6640625" customWidth="1"/>
    <col min="51" max="51" width="0.88671875" customWidth="1"/>
    <col min="52" max="52" width="10.6640625" customWidth="1"/>
    <col min="53" max="53" width="0.88671875" customWidth="1"/>
    <col min="54" max="56" width="10.6640625" customWidth="1"/>
    <col min="57" max="57" width="0.88671875" customWidth="1"/>
    <col min="58" max="60" width="10.6640625" customWidth="1"/>
    <col min="61" max="61" width="0.88671875" customWidth="1"/>
    <col min="62" max="62" width="10.6640625" customWidth="1"/>
    <col min="63" max="63" width="0" hidden="1" customWidth="1"/>
    <col min="64" max="64" width="0.88671875" customWidth="1"/>
    <col min="65" max="67" width="10.6640625" customWidth="1"/>
    <col min="68" max="68" width="0.88671875" customWidth="1"/>
    <col min="69" max="71" width="10.6640625" customWidth="1"/>
    <col min="72" max="72" width="0.88671875" customWidth="1"/>
    <col min="73" max="73" width="10.6640625" customWidth="1"/>
  </cols>
  <sheetData>
    <row r="1" spans="1:73" ht="16.5" customHeight="1"/>
    <row r="2" spans="1:73" s="3" customFormat="1" ht="19.5" customHeight="1">
      <c r="A2" s="2"/>
      <c r="B2" s="1" t="s">
        <v>97</v>
      </c>
      <c r="C2" s="73"/>
      <c r="D2" s="73"/>
      <c r="E2" s="73"/>
      <c r="F2" s="73"/>
      <c r="G2" s="171"/>
      <c r="H2" s="171"/>
      <c r="I2" s="171"/>
      <c r="J2" s="171"/>
      <c r="K2" s="171"/>
      <c r="L2" s="171"/>
      <c r="M2" s="73"/>
      <c r="N2" s="73"/>
      <c r="O2" s="73"/>
      <c r="P2" s="73"/>
      <c r="Q2" s="171"/>
      <c r="R2" s="171"/>
      <c r="S2" s="171"/>
      <c r="T2" s="171"/>
      <c r="U2" s="171"/>
      <c r="V2" s="171"/>
      <c r="W2" s="73"/>
      <c r="X2" s="73"/>
      <c r="Y2" s="73"/>
      <c r="Z2" s="73"/>
      <c r="AA2" s="171"/>
      <c r="AB2" s="171"/>
      <c r="AC2" s="171"/>
      <c r="AD2" s="171"/>
      <c r="AE2" s="171"/>
      <c r="AF2" s="171"/>
      <c r="AG2" s="172"/>
      <c r="AH2" s="73"/>
      <c r="AI2" s="73"/>
      <c r="AJ2" s="73"/>
      <c r="AK2" s="171"/>
      <c r="AL2" s="171"/>
      <c r="AM2" s="171"/>
      <c r="AN2" s="171"/>
      <c r="AO2" s="171"/>
      <c r="AP2" s="171"/>
      <c r="AQ2" s="172"/>
      <c r="AR2" s="172"/>
      <c r="AS2" s="172"/>
      <c r="AT2" s="172"/>
      <c r="AU2" s="171"/>
      <c r="AV2" s="171"/>
      <c r="AW2" s="171"/>
      <c r="AX2" s="171"/>
      <c r="AY2" s="171"/>
      <c r="AZ2" s="171"/>
      <c r="BA2" s="171"/>
      <c r="BB2" s="171"/>
      <c r="BC2" s="171"/>
      <c r="BD2" s="171"/>
      <c r="BE2" s="171"/>
      <c r="BF2" s="171"/>
      <c r="BG2" s="171"/>
      <c r="BH2" s="171"/>
      <c r="BI2" s="171"/>
      <c r="BJ2" s="171"/>
      <c r="BK2" s="171"/>
      <c r="BL2" s="171"/>
      <c r="BM2" s="172"/>
      <c r="BN2" s="172"/>
      <c r="BO2" s="172"/>
      <c r="BP2" s="171"/>
      <c r="BQ2" s="171"/>
      <c r="BR2" s="171"/>
      <c r="BS2" s="171"/>
      <c r="BT2" s="171"/>
      <c r="BU2" s="171"/>
    </row>
    <row r="3" spans="1:73" s="3" customFormat="1" ht="6.75" customHeight="1">
      <c r="A3" s="2"/>
    </row>
    <row r="4" spans="1:73" s="3" customFormat="1" ht="16.2">
      <c r="A4" s="4" t="s">
        <v>0</v>
      </c>
    </row>
    <row r="5" spans="1:73">
      <c r="B5" t="s">
        <v>1</v>
      </c>
      <c r="D5" s="132" t="s">
        <v>130</v>
      </c>
      <c r="E5" s="132"/>
      <c r="F5" s="132"/>
      <c r="G5" s="132"/>
      <c r="H5" s="132"/>
      <c r="I5" s="132"/>
      <c r="J5" s="132"/>
      <c r="K5" s="132"/>
      <c r="L5" s="132"/>
      <c r="N5" s="132" t="s">
        <v>125</v>
      </c>
      <c r="O5" s="132"/>
      <c r="P5" s="132"/>
      <c r="Q5" s="132"/>
      <c r="R5" s="132"/>
      <c r="S5" s="132"/>
      <c r="T5" s="132"/>
      <c r="U5" s="132"/>
      <c r="V5" s="132"/>
      <c r="X5" s="173" t="s">
        <v>124</v>
      </c>
      <c r="Y5" s="173"/>
      <c r="Z5" s="173"/>
      <c r="AA5" s="173"/>
      <c r="AB5" s="173"/>
      <c r="AC5" s="173"/>
      <c r="AD5" s="173"/>
      <c r="AE5" s="173"/>
      <c r="AF5" s="173"/>
      <c r="AH5" s="173" t="s">
        <v>116</v>
      </c>
      <c r="AI5" s="173"/>
      <c r="AJ5" s="173"/>
      <c r="AK5" s="173"/>
      <c r="AL5" s="173"/>
      <c r="AM5" s="173"/>
      <c r="AN5" s="173"/>
      <c r="AO5" s="173"/>
      <c r="AP5" s="173"/>
      <c r="AR5" s="173" t="s">
        <v>106</v>
      </c>
      <c r="AS5" s="173"/>
      <c r="AT5" s="173"/>
      <c r="AU5" s="173"/>
      <c r="AV5" s="173"/>
      <c r="AW5" s="173"/>
      <c r="AX5" s="173"/>
      <c r="AY5" s="173"/>
      <c r="AZ5" s="173"/>
      <c r="BB5" s="129" t="s">
        <v>101</v>
      </c>
      <c r="BC5" s="129"/>
      <c r="BD5" s="129"/>
      <c r="BE5" s="129"/>
      <c r="BF5" s="129"/>
      <c r="BG5" s="129"/>
      <c r="BH5" s="129"/>
      <c r="BI5" s="129"/>
      <c r="BJ5" s="129"/>
      <c r="BM5" s="105" t="s">
        <v>100</v>
      </c>
      <c r="BN5" s="105"/>
      <c r="BO5" s="105"/>
      <c r="BP5" s="105"/>
      <c r="BQ5" s="105"/>
      <c r="BR5" s="105"/>
      <c r="BS5" s="105"/>
      <c r="BT5" s="105"/>
      <c r="BU5" s="105"/>
    </row>
    <row r="6" spans="1:73" ht="3.75" customHeight="1">
      <c r="D6" s="5"/>
      <c r="E6" s="5"/>
      <c r="F6" s="5"/>
      <c r="G6" s="5"/>
      <c r="H6" s="5"/>
      <c r="I6" s="5"/>
      <c r="J6" s="5"/>
      <c r="K6" s="5"/>
      <c r="L6" s="132"/>
      <c r="N6" s="5"/>
      <c r="O6" s="5"/>
      <c r="P6" s="5"/>
      <c r="Q6" s="5"/>
      <c r="R6" s="5"/>
      <c r="S6" s="5"/>
      <c r="T6" s="5"/>
      <c r="U6" s="5"/>
      <c r="V6" s="132"/>
      <c r="X6" s="5"/>
      <c r="Y6" s="5"/>
      <c r="Z6" s="5"/>
      <c r="AA6" s="5"/>
      <c r="AB6" s="5"/>
      <c r="AC6" s="5"/>
      <c r="AD6" s="5"/>
      <c r="AE6" s="5"/>
      <c r="AF6" s="173"/>
      <c r="AH6" s="5"/>
      <c r="AI6" s="5"/>
      <c r="AJ6" s="5"/>
      <c r="AK6" s="5"/>
      <c r="AL6" s="5"/>
      <c r="AM6" s="5"/>
      <c r="AN6" s="5"/>
      <c r="AO6" s="5"/>
      <c r="AP6" s="173"/>
      <c r="AR6" s="5"/>
      <c r="AS6" s="5"/>
      <c r="AT6" s="5"/>
      <c r="AU6" s="5"/>
      <c r="AV6" s="5"/>
      <c r="AW6" s="5"/>
      <c r="AX6" s="5"/>
      <c r="AY6" s="5"/>
      <c r="AZ6" s="173"/>
      <c r="BB6" s="129"/>
      <c r="BC6" s="129"/>
      <c r="BD6" s="129"/>
      <c r="BE6" s="129"/>
      <c r="BF6" s="129"/>
      <c r="BG6" s="129"/>
      <c r="BH6" s="129"/>
      <c r="BI6" s="129"/>
      <c r="BJ6" s="129"/>
      <c r="BM6" s="5"/>
      <c r="BN6" s="5"/>
      <c r="BO6" s="5"/>
      <c r="BP6" s="5"/>
      <c r="BQ6" s="5"/>
      <c r="BR6" s="5"/>
      <c r="BS6" s="5"/>
      <c r="BT6" s="5"/>
      <c r="BU6" s="105"/>
    </row>
    <row r="7" spans="1:73">
      <c r="D7" s="6"/>
      <c r="E7" s="6"/>
      <c r="F7" s="7" t="s">
        <v>2</v>
      </c>
      <c r="H7" s="7"/>
      <c r="I7" s="7"/>
      <c r="J7" s="7" t="s">
        <v>3</v>
      </c>
      <c r="L7" s="133" t="s">
        <v>4</v>
      </c>
      <c r="N7" s="6"/>
      <c r="O7" s="6"/>
      <c r="P7" s="7" t="s">
        <v>2</v>
      </c>
      <c r="R7" s="7"/>
      <c r="S7" s="7"/>
      <c r="T7" s="7" t="s">
        <v>3</v>
      </c>
      <c r="V7" s="133" t="s">
        <v>4</v>
      </c>
      <c r="X7" s="6"/>
      <c r="Y7" s="6"/>
      <c r="Z7" s="7" t="s">
        <v>2</v>
      </c>
      <c r="AB7" s="7"/>
      <c r="AC7" s="7"/>
      <c r="AD7" s="7" t="s">
        <v>3</v>
      </c>
      <c r="AF7" s="174" t="s">
        <v>4</v>
      </c>
      <c r="AH7" s="6"/>
      <c r="AI7" s="6"/>
      <c r="AJ7" s="7" t="s">
        <v>2</v>
      </c>
      <c r="AL7" s="7"/>
      <c r="AM7" s="7"/>
      <c r="AN7" s="7" t="s">
        <v>3</v>
      </c>
      <c r="AP7" s="174" t="s">
        <v>4</v>
      </c>
      <c r="AR7" s="6"/>
      <c r="AS7" s="6"/>
      <c r="AT7" s="7" t="s">
        <v>2</v>
      </c>
      <c r="AV7" s="7"/>
      <c r="AW7" s="7"/>
      <c r="AX7" s="7" t="s">
        <v>3</v>
      </c>
      <c r="AZ7" s="174" t="s">
        <v>4</v>
      </c>
      <c r="BB7" s="6"/>
      <c r="BC7" s="6"/>
      <c r="BD7" s="7" t="s">
        <v>2</v>
      </c>
      <c r="BF7" s="7"/>
      <c r="BG7" s="7"/>
      <c r="BH7" s="7" t="s">
        <v>3</v>
      </c>
      <c r="BJ7" s="130" t="s">
        <v>4</v>
      </c>
      <c r="BM7" s="6"/>
      <c r="BN7" s="6"/>
      <c r="BO7" s="7" t="s">
        <v>2</v>
      </c>
      <c r="BQ7" s="7"/>
      <c r="BR7" s="7"/>
      <c r="BS7" s="7" t="s">
        <v>3</v>
      </c>
      <c r="BU7" s="106" t="s">
        <v>4</v>
      </c>
    </row>
    <row r="8" spans="1:73" s="9" customFormat="1" ht="10.8">
      <c r="D8" s="9" t="s">
        <v>5</v>
      </c>
      <c r="E8" s="9" t="s">
        <v>6</v>
      </c>
      <c r="F8" s="10" t="s">
        <v>6</v>
      </c>
      <c r="H8" s="9" t="s">
        <v>7</v>
      </c>
      <c r="I8" s="9" t="s">
        <v>8</v>
      </c>
      <c r="J8" s="10" t="s">
        <v>9</v>
      </c>
      <c r="L8" s="134"/>
      <c r="N8" s="9" t="s">
        <v>5</v>
      </c>
      <c r="O8" s="9" t="s">
        <v>6</v>
      </c>
      <c r="P8" s="10" t="s">
        <v>6</v>
      </c>
      <c r="R8" s="9" t="s">
        <v>7</v>
      </c>
      <c r="S8" s="9" t="s">
        <v>8</v>
      </c>
      <c r="T8" s="10" t="s">
        <v>9</v>
      </c>
      <c r="V8" s="134"/>
      <c r="X8" s="9" t="s">
        <v>5</v>
      </c>
      <c r="Y8" s="9" t="s">
        <v>6</v>
      </c>
      <c r="Z8" s="10" t="s">
        <v>6</v>
      </c>
      <c r="AB8" s="9" t="s">
        <v>7</v>
      </c>
      <c r="AC8" s="9" t="s">
        <v>8</v>
      </c>
      <c r="AD8" s="10" t="s">
        <v>9</v>
      </c>
      <c r="AF8" s="175"/>
      <c r="AH8" s="9" t="s">
        <v>5</v>
      </c>
      <c r="AI8" s="9" t="s">
        <v>6</v>
      </c>
      <c r="AJ8" s="10" t="s">
        <v>6</v>
      </c>
      <c r="AL8" s="9" t="s">
        <v>7</v>
      </c>
      <c r="AM8" s="9" t="s">
        <v>8</v>
      </c>
      <c r="AN8" s="10" t="s">
        <v>9</v>
      </c>
      <c r="AP8" s="175"/>
      <c r="AR8" s="9" t="s">
        <v>5</v>
      </c>
      <c r="AS8" s="9" t="s">
        <v>6</v>
      </c>
      <c r="AT8" s="10" t="s">
        <v>6</v>
      </c>
      <c r="AV8" s="9" t="s">
        <v>7</v>
      </c>
      <c r="AW8" s="9" t="s">
        <v>8</v>
      </c>
      <c r="AX8" s="10" t="s">
        <v>9</v>
      </c>
      <c r="AZ8" s="175"/>
      <c r="BB8" s="9" t="s">
        <v>5</v>
      </c>
      <c r="BC8" s="9" t="s">
        <v>6</v>
      </c>
      <c r="BD8" s="10" t="s">
        <v>6</v>
      </c>
      <c r="BF8" s="9" t="s">
        <v>7</v>
      </c>
      <c r="BG8" s="9" t="s">
        <v>8</v>
      </c>
      <c r="BH8" s="10" t="s">
        <v>9</v>
      </c>
      <c r="BJ8" s="131"/>
      <c r="BM8" s="9" t="s">
        <v>5</v>
      </c>
      <c r="BN8" s="9" t="s">
        <v>6</v>
      </c>
      <c r="BO8" s="10" t="s">
        <v>6</v>
      </c>
      <c r="BQ8" s="9" t="s">
        <v>7</v>
      </c>
      <c r="BR8" s="9" t="s">
        <v>8</v>
      </c>
      <c r="BS8" s="10" t="s">
        <v>9</v>
      </c>
      <c r="BU8" s="107"/>
    </row>
    <row r="9" spans="1:73" s="9" customFormat="1" ht="10.8">
      <c r="D9" s="9" t="s">
        <v>10</v>
      </c>
      <c r="E9" s="9" t="s">
        <v>11</v>
      </c>
      <c r="F9" s="10" t="s">
        <v>11</v>
      </c>
      <c r="H9" s="9" t="s">
        <v>98</v>
      </c>
      <c r="I9" s="9" t="s">
        <v>99</v>
      </c>
      <c r="J9" s="10" t="s">
        <v>14</v>
      </c>
      <c r="L9" s="134" t="s">
        <v>15</v>
      </c>
      <c r="N9" s="9" t="s">
        <v>10</v>
      </c>
      <c r="O9" s="9" t="s">
        <v>11</v>
      </c>
      <c r="P9" s="10" t="s">
        <v>11</v>
      </c>
      <c r="R9" s="9" t="s">
        <v>98</v>
      </c>
      <c r="S9" s="9" t="s">
        <v>99</v>
      </c>
      <c r="T9" s="10" t="s">
        <v>14</v>
      </c>
      <c r="V9" s="134" t="s">
        <v>15</v>
      </c>
      <c r="X9" s="9" t="s">
        <v>10</v>
      </c>
      <c r="Y9" s="9" t="s">
        <v>11</v>
      </c>
      <c r="Z9" s="10" t="s">
        <v>11</v>
      </c>
      <c r="AB9" s="9" t="s">
        <v>98</v>
      </c>
      <c r="AC9" s="9" t="s">
        <v>99</v>
      </c>
      <c r="AD9" s="10" t="s">
        <v>14</v>
      </c>
      <c r="AF9" s="175" t="s">
        <v>15</v>
      </c>
      <c r="AH9" s="9" t="s">
        <v>10</v>
      </c>
      <c r="AI9" s="9" t="s">
        <v>11</v>
      </c>
      <c r="AJ9" s="10" t="s">
        <v>11</v>
      </c>
      <c r="AL9" s="9" t="s">
        <v>98</v>
      </c>
      <c r="AM9" s="9" t="s">
        <v>99</v>
      </c>
      <c r="AN9" s="10" t="s">
        <v>14</v>
      </c>
      <c r="AP9" s="175" t="s">
        <v>15</v>
      </c>
      <c r="AR9" s="9" t="s">
        <v>10</v>
      </c>
      <c r="AS9" s="9" t="s">
        <v>11</v>
      </c>
      <c r="AT9" s="10" t="s">
        <v>11</v>
      </c>
      <c r="AV9" s="9" t="s">
        <v>98</v>
      </c>
      <c r="AW9" s="9" t="s">
        <v>99</v>
      </c>
      <c r="AX9" s="10" t="s">
        <v>14</v>
      </c>
      <c r="AZ9" s="175" t="s">
        <v>15</v>
      </c>
      <c r="BB9" s="9" t="s">
        <v>10</v>
      </c>
      <c r="BC9" s="9" t="s">
        <v>11</v>
      </c>
      <c r="BD9" s="10" t="s">
        <v>11</v>
      </c>
      <c r="BF9" s="9" t="s">
        <v>98</v>
      </c>
      <c r="BG9" s="9" t="s">
        <v>99</v>
      </c>
      <c r="BH9" s="10" t="s">
        <v>14</v>
      </c>
      <c r="BJ9" s="131" t="s">
        <v>15</v>
      </c>
      <c r="BM9" s="9" t="s">
        <v>10</v>
      </c>
      <c r="BN9" s="9" t="s">
        <v>11</v>
      </c>
      <c r="BO9" s="10" t="s">
        <v>11</v>
      </c>
      <c r="BQ9" s="9" t="s">
        <v>98</v>
      </c>
      <c r="BR9" s="9" t="s">
        <v>99</v>
      </c>
      <c r="BS9" s="10" t="s">
        <v>14</v>
      </c>
      <c r="BU9" s="107" t="s">
        <v>15</v>
      </c>
    </row>
    <row r="10" spans="1:73" s="3" customFormat="1" ht="5.0999999999999996" customHeight="1">
      <c r="A10" s="2"/>
    </row>
    <row r="11" spans="1:73" ht="13.5" customHeight="1" thickBot="1">
      <c r="B11" s="12" t="s">
        <v>16</v>
      </c>
      <c r="C11" s="12"/>
      <c r="D11" s="13">
        <v>63119</v>
      </c>
      <c r="E11" s="137"/>
      <c r="F11" s="185">
        <v>62171</v>
      </c>
      <c r="G11" s="113"/>
      <c r="H11" s="13">
        <v>67649</v>
      </c>
      <c r="I11" s="190"/>
      <c r="J11" s="139"/>
      <c r="K11" s="155"/>
      <c r="L11" s="155">
        <v>66586</v>
      </c>
      <c r="M11" s="12"/>
      <c r="N11" s="13">
        <v>74943.23</v>
      </c>
      <c r="O11" s="137"/>
      <c r="P11" s="185">
        <v>71829</v>
      </c>
      <c r="Q11" s="113"/>
      <c r="R11" s="13">
        <v>70629</v>
      </c>
      <c r="S11" s="190"/>
      <c r="T11" s="139"/>
      <c r="U11" s="155"/>
      <c r="V11" s="155">
        <v>67246.22</v>
      </c>
      <c r="W11" s="12"/>
      <c r="X11" s="13">
        <v>76980.570000000007</v>
      </c>
      <c r="Y11" s="137"/>
      <c r="Z11" s="185">
        <v>78880</v>
      </c>
      <c r="AA11" s="113"/>
      <c r="AB11" s="13">
        <v>78679.87</v>
      </c>
      <c r="AC11" s="190"/>
      <c r="AD11" s="139"/>
      <c r="AE11" s="155"/>
      <c r="AF11" s="155">
        <v>74234.039999999994</v>
      </c>
      <c r="AG11" s="12"/>
      <c r="AH11" s="13">
        <v>71547.55</v>
      </c>
      <c r="AI11" s="137"/>
      <c r="AJ11" s="13">
        <v>74014</v>
      </c>
      <c r="AK11" s="113"/>
      <c r="AL11" s="13">
        <v>80211.759999999995</v>
      </c>
      <c r="AM11" s="139"/>
      <c r="AN11" s="139"/>
      <c r="AO11" s="144"/>
      <c r="AP11" s="155">
        <v>77817.75</v>
      </c>
      <c r="AQ11" s="12"/>
      <c r="AR11" s="13">
        <v>64040.06</v>
      </c>
      <c r="AS11" s="137"/>
      <c r="AT11" s="13">
        <v>65399.64</v>
      </c>
      <c r="AU11" s="113"/>
      <c r="AV11" s="13">
        <v>68671.039999999994</v>
      </c>
      <c r="AW11" s="139"/>
      <c r="AX11" s="139"/>
      <c r="AY11" s="144"/>
      <c r="AZ11" s="155">
        <v>72748.91</v>
      </c>
      <c r="BA11" s="12"/>
      <c r="BB11" s="13">
        <v>63745.42</v>
      </c>
      <c r="BC11" s="14"/>
      <c r="BD11" s="13">
        <v>63272.78</v>
      </c>
      <c r="BE11" s="113"/>
      <c r="BF11" s="13">
        <v>66513.88</v>
      </c>
      <c r="BG11" s="83"/>
      <c r="BH11" s="83"/>
      <c r="BI11" s="99"/>
      <c r="BJ11" s="120">
        <v>66904.19</v>
      </c>
      <c r="BM11" s="13">
        <v>61007.35</v>
      </c>
      <c r="BN11" s="14"/>
      <c r="BO11" s="13">
        <v>59286.79</v>
      </c>
      <c r="BP11" s="15"/>
      <c r="BQ11" s="53">
        <v>63485.39</v>
      </c>
      <c r="BR11" s="83"/>
      <c r="BS11" s="83"/>
      <c r="BT11" s="92"/>
      <c r="BU11" s="92">
        <v>62599.58</v>
      </c>
    </row>
    <row r="12" spans="1:73" ht="13.5" customHeight="1">
      <c r="B12" t="s">
        <v>17</v>
      </c>
      <c r="D12" s="16">
        <v>23862</v>
      </c>
      <c r="E12" s="138"/>
      <c r="F12" s="186">
        <v>23448</v>
      </c>
      <c r="G12" s="20"/>
      <c r="H12" s="16">
        <v>27094</v>
      </c>
      <c r="I12" s="191"/>
      <c r="J12" s="140"/>
      <c r="K12" s="94"/>
      <c r="L12" s="154">
        <v>26849</v>
      </c>
      <c r="N12" s="16">
        <v>30385.9</v>
      </c>
      <c r="O12" s="138"/>
      <c r="P12" s="186">
        <v>27622</v>
      </c>
      <c r="Q12" s="20"/>
      <c r="R12" s="16">
        <v>27528</v>
      </c>
      <c r="S12" s="191"/>
      <c r="T12" s="140"/>
      <c r="U12" s="94"/>
      <c r="V12" s="154">
        <v>26512.84</v>
      </c>
      <c r="X12" s="16">
        <v>35934.480000000003</v>
      </c>
      <c r="Y12" s="138"/>
      <c r="Z12" s="186">
        <v>37117</v>
      </c>
      <c r="AA12" s="20"/>
      <c r="AB12" s="16">
        <v>35485.71</v>
      </c>
      <c r="AC12" s="191"/>
      <c r="AD12" s="140"/>
      <c r="AE12" s="94"/>
      <c r="AF12" s="154">
        <v>29963.98</v>
      </c>
      <c r="AH12" s="16">
        <v>35154.46</v>
      </c>
      <c r="AI12" s="138"/>
      <c r="AJ12" s="16">
        <v>36185</v>
      </c>
      <c r="AK12" s="20"/>
      <c r="AL12" s="16">
        <v>41409.629999999997</v>
      </c>
      <c r="AM12" s="140"/>
      <c r="AN12" s="140"/>
      <c r="AO12" s="145"/>
      <c r="AP12" s="154">
        <v>37655.839999999997</v>
      </c>
      <c r="AR12" s="16">
        <v>31966.02</v>
      </c>
      <c r="AS12" s="138"/>
      <c r="AT12" s="16">
        <v>32958.14</v>
      </c>
      <c r="AU12" s="20"/>
      <c r="AV12" s="16">
        <v>35654.25</v>
      </c>
      <c r="AW12" s="140"/>
      <c r="AX12" s="140"/>
      <c r="AY12" s="145"/>
      <c r="AZ12" s="154">
        <v>37377.93</v>
      </c>
      <c r="BB12" s="16">
        <v>31342.29</v>
      </c>
      <c r="BC12" s="17"/>
      <c r="BD12" s="16">
        <v>31162.880000000001</v>
      </c>
      <c r="BE12" s="20"/>
      <c r="BF12" s="16">
        <v>34667.9</v>
      </c>
      <c r="BG12" s="84"/>
      <c r="BH12" s="84"/>
      <c r="BI12" s="100"/>
      <c r="BJ12" s="121">
        <v>35546.21</v>
      </c>
      <c r="BM12" s="16">
        <v>26788.080000000002</v>
      </c>
      <c r="BN12" s="17"/>
      <c r="BO12" s="16">
        <v>26455.35</v>
      </c>
      <c r="BP12" s="18"/>
      <c r="BQ12" s="54">
        <v>30619.119999999999</v>
      </c>
      <c r="BR12" s="84"/>
      <c r="BS12" s="84"/>
      <c r="BT12" s="93"/>
      <c r="BU12" s="93">
        <v>30677.31</v>
      </c>
    </row>
    <row r="13" spans="1:73" ht="13.5" customHeight="1">
      <c r="B13" t="s">
        <v>18</v>
      </c>
      <c r="D13" s="16">
        <v>39257</v>
      </c>
      <c r="E13" s="138"/>
      <c r="F13" s="186">
        <v>38723</v>
      </c>
      <c r="G13" s="20"/>
      <c r="H13" s="16">
        <v>40555</v>
      </c>
      <c r="I13" s="191"/>
      <c r="J13" s="140"/>
      <c r="K13" s="94"/>
      <c r="L13" s="154">
        <v>39737</v>
      </c>
      <c r="N13" s="16">
        <v>44557.33</v>
      </c>
      <c r="O13" s="138"/>
      <c r="P13" s="186">
        <v>44207</v>
      </c>
      <c r="Q13" s="20"/>
      <c r="R13" s="16">
        <v>43101</v>
      </c>
      <c r="S13" s="191"/>
      <c r="T13" s="140"/>
      <c r="U13" s="94"/>
      <c r="V13" s="154">
        <v>40733.379999999997</v>
      </c>
      <c r="X13" s="16">
        <v>41046.089999999997</v>
      </c>
      <c r="Y13" s="138"/>
      <c r="Z13" s="186">
        <v>41762</v>
      </c>
      <c r="AA13" s="20"/>
      <c r="AB13" s="16">
        <v>43194.16</v>
      </c>
      <c r="AC13" s="191"/>
      <c r="AD13" s="140"/>
      <c r="AE13" s="94"/>
      <c r="AF13" s="154">
        <v>44270.06</v>
      </c>
      <c r="AH13" s="16">
        <v>36393.089999999997</v>
      </c>
      <c r="AI13" s="138"/>
      <c r="AJ13" s="16">
        <v>37829</v>
      </c>
      <c r="AK13" s="20"/>
      <c r="AL13" s="16">
        <v>38802.129999999997</v>
      </c>
      <c r="AM13" s="140"/>
      <c r="AN13" s="140"/>
      <c r="AO13" s="145"/>
      <c r="AP13" s="154">
        <v>40161.910000000003</v>
      </c>
      <c r="AR13" s="16">
        <v>32074.04</v>
      </c>
      <c r="AS13" s="138"/>
      <c r="AT13" s="16">
        <v>32441.5</v>
      </c>
      <c r="AU13" s="20"/>
      <c r="AV13" s="16">
        <v>33016.79</v>
      </c>
      <c r="AW13" s="140"/>
      <c r="AX13" s="140"/>
      <c r="AY13" s="145"/>
      <c r="AZ13" s="154">
        <v>35370.980000000003</v>
      </c>
      <c r="BB13" s="16">
        <v>32403.13</v>
      </c>
      <c r="BC13" s="17"/>
      <c r="BD13" s="16">
        <v>32109.9</v>
      </c>
      <c r="BE13" s="20"/>
      <c r="BF13" s="16">
        <v>31845.98</v>
      </c>
      <c r="BG13" s="84"/>
      <c r="BH13" s="84"/>
      <c r="BI13" s="100"/>
      <c r="BJ13" s="121">
        <v>31357.98</v>
      </c>
      <c r="BM13" s="16">
        <v>34219.269999999997</v>
      </c>
      <c r="BN13" s="17"/>
      <c r="BO13" s="16">
        <v>32831.440000000002</v>
      </c>
      <c r="BP13" s="18"/>
      <c r="BQ13" s="54">
        <v>32866.269999999997</v>
      </c>
      <c r="BR13" s="84"/>
      <c r="BS13" s="84"/>
      <c r="BT13" s="94"/>
      <c r="BU13" s="94">
        <v>31922.27</v>
      </c>
    </row>
    <row r="14" spans="1:73" ht="13.5" customHeight="1">
      <c r="B14" t="s">
        <v>19</v>
      </c>
      <c r="D14" s="16">
        <v>24032</v>
      </c>
      <c r="E14" s="138"/>
      <c r="F14" s="186">
        <v>23730</v>
      </c>
      <c r="G14" s="20"/>
      <c r="H14" s="16">
        <v>24385</v>
      </c>
      <c r="I14" s="191"/>
      <c r="J14" s="140"/>
      <c r="K14" s="94"/>
      <c r="L14" s="154">
        <v>24111</v>
      </c>
      <c r="N14" s="16">
        <v>25663.27</v>
      </c>
      <c r="O14" s="138"/>
      <c r="P14" s="186">
        <v>25571</v>
      </c>
      <c r="Q14" s="20"/>
      <c r="R14" s="16">
        <v>24783</v>
      </c>
      <c r="S14" s="191"/>
      <c r="T14" s="140"/>
      <c r="U14" s="94"/>
      <c r="V14" s="154">
        <v>24534.76</v>
      </c>
      <c r="X14" s="16">
        <v>24087.64</v>
      </c>
      <c r="Y14" s="138"/>
      <c r="Z14" s="186">
        <v>24345</v>
      </c>
      <c r="AA14" s="20"/>
      <c r="AB14" s="16">
        <v>24960.46</v>
      </c>
      <c r="AC14" s="191"/>
      <c r="AD14" s="140"/>
      <c r="AE14" s="94"/>
      <c r="AF14" s="154">
        <v>25556.16</v>
      </c>
      <c r="AH14" s="16">
        <v>22444.59</v>
      </c>
      <c r="AI14" s="138"/>
      <c r="AJ14" s="16">
        <v>23027</v>
      </c>
      <c r="AK14" s="20"/>
      <c r="AL14" s="16">
        <v>23462.95</v>
      </c>
      <c r="AM14" s="140"/>
      <c r="AN14" s="140"/>
      <c r="AO14" s="145"/>
      <c r="AP14" s="154">
        <v>23891.91</v>
      </c>
      <c r="AR14" s="16">
        <v>19952.990000000002</v>
      </c>
      <c r="AS14" s="138"/>
      <c r="AT14" s="16">
        <v>20357.97</v>
      </c>
      <c r="AU14" s="20"/>
      <c r="AV14" s="16">
        <v>20643.96</v>
      </c>
      <c r="AW14" s="140"/>
      <c r="AX14" s="140"/>
      <c r="AY14" s="145"/>
      <c r="AZ14" s="154">
        <v>21906.83</v>
      </c>
      <c r="BB14" s="16">
        <v>19265.14</v>
      </c>
      <c r="BC14" s="17"/>
      <c r="BD14" s="16">
        <v>19278.939999999999</v>
      </c>
      <c r="BE14" s="20"/>
      <c r="BF14" s="16">
        <v>19310.009999999998</v>
      </c>
      <c r="BG14" s="84"/>
      <c r="BH14" s="84"/>
      <c r="BI14" s="100"/>
      <c r="BJ14" s="121">
        <v>19403.759999999998</v>
      </c>
      <c r="BM14" s="16">
        <v>20137.59</v>
      </c>
      <c r="BN14" s="17"/>
      <c r="BO14" s="16">
        <v>19838.240000000002</v>
      </c>
      <c r="BP14" s="18"/>
      <c r="BQ14" s="54">
        <v>19639.810000000001</v>
      </c>
      <c r="BR14" s="84"/>
      <c r="BS14" s="84"/>
      <c r="BT14" s="93"/>
      <c r="BU14" s="93">
        <v>19402.91</v>
      </c>
    </row>
    <row r="15" spans="1:73" ht="13.5" customHeight="1">
      <c r="B15" t="s">
        <v>20</v>
      </c>
      <c r="D15" s="16">
        <v>1102</v>
      </c>
      <c r="E15" s="138"/>
      <c r="F15" s="186">
        <v>1072</v>
      </c>
      <c r="G15" s="20"/>
      <c r="H15" s="16">
        <v>1097</v>
      </c>
      <c r="I15" s="191"/>
      <c r="J15" s="140"/>
      <c r="K15" s="94"/>
      <c r="L15" s="154">
        <v>1072</v>
      </c>
      <c r="N15" s="16">
        <v>1338.32</v>
      </c>
      <c r="O15" s="138"/>
      <c r="P15" s="186">
        <v>1300</v>
      </c>
      <c r="Q15" s="20"/>
      <c r="R15" s="16">
        <v>1274</v>
      </c>
      <c r="S15" s="191"/>
      <c r="T15" s="140"/>
      <c r="U15" s="94"/>
      <c r="V15" s="154">
        <v>1174</v>
      </c>
      <c r="X15" s="16">
        <v>1296.6500000000001</v>
      </c>
      <c r="Y15" s="138"/>
      <c r="Z15" s="186">
        <v>1285</v>
      </c>
      <c r="AA15" s="20"/>
      <c r="AB15" s="16">
        <v>1300.76</v>
      </c>
      <c r="AC15" s="191"/>
      <c r="AD15" s="140"/>
      <c r="AE15" s="94"/>
      <c r="AF15" s="154">
        <v>1361.6</v>
      </c>
      <c r="AH15" s="16">
        <v>1360.89</v>
      </c>
      <c r="AI15" s="138"/>
      <c r="AJ15" s="16">
        <v>1387</v>
      </c>
      <c r="AK15" s="20"/>
      <c r="AL15" s="16">
        <v>1356.04</v>
      </c>
      <c r="AM15" s="140"/>
      <c r="AN15" s="140"/>
      <c r="AO15" s="145"/>
      <c r="AP15" s="154">
        <v>1326.79</v>
      </c>
      <c r="AR15" s="16">
        <v>1405.87</v>
      </c>
      <c r="AS15" s="138"/>
      <c r="AT15" s="16">
        <v>1485.88</v>
      </c>
      <c r="AU15" s="20"/>
      <c r="AV15" s="16">
        <v>1454.28</v>
      </c>
      <c r="AW15" s="140"/>
      <c r="AX15" s="140"/>
      <c r="AY15" s="145"/>
      <c r="AZ15" s="154">
        <v>1348.45</v>
      </c>
      <c r="BB15" s="16">
        <v>1637.97</v>
      </c>
      <c r="BC15" s="17"/>
      <c r="BD15" s="16">
        <v>1613.83</v>
      </c>
      <c r="BE15" s="20"/>
      <c r="BF15" s="16">
        <v>1558.08</v>
      </c>
      <c r="BG15" s="84"/>
      <c r="BH15" s="84"/>
      <c r="BI15" s="100"/>
      <c r="BJ15" s="121">
        <v>1372.12</v>
      </c>
      <c r="BM15" s="16">
        <v>1741.62</v>
      </c>
      <c r="BN15" s="17"/>
      <c r="BO15" s="16">
        <v>1712.71</v>
      </c>
      <c r="BP15" s="18"/>
      <c r="BQ15" s="54">
        <v>1665.52</v>
      </c>
      <c r="BR15" s="84"/>
      <c r="BS15" s="84"/>
      <c r="BT15" s="93"/>
      <c r="BU15" s="93">
        <v>1661.47</v>
      </c>
    </row>
    <row r="16" spans="1:73" ht="13.5" customHeight="1">
      <c r="B16" t="s">
        <v>21</v>
      </c>
      <c r="D16" s="16">
        <v>14123</v>
      </c>
      <c r="E16" s="138"/>
      <c r="F16" s="186">
        <v>13921</v>
      </c>
      <c r="G16" s="20"/>
      <c r="H16" s="16">
        <v>15073</v>
      </c>
      <c r="I16" s="191"/>
      <c r="J16" s="140"/>
      <c r="K16" s="94"/>
      <c r="L16" s="16">
        <v>14554</v>
      </c>
      <c r="N16" s="16">
        <v>17555.740000000002</v>
      </c>
      <c r="O16" s="138"/>
      <c r="P16" s="186">
        <v>17336</v>
      </c>
      <c r="Q16" s="20"/>
      <c r="R16" s="16">
        <f>+R13-R14-R15</f>
        <v>17044</v>
      </c>
      <c r="S16" s="191"/>
      <c r="T16" s="140"/>
      <c r="U16" s="94"/>
      <c r="V16" s="16">
        <v>15024.03</v>
      </c>
      <c r="X16" s="16">
        <v>15661.8</v>
      </c>
      <c r="Y16" s="138"/>
      <c r="Z16" s="186">
        <v>16133</v>
      </c>
      <c r="AA16" s="20"/>
      <c r="AB16" s="16">
        <v>16932.939999999999</v>
      </c>
      <c r="AC16" s="191"/>
      <c r="AD16" s="140"/>
      <c r="AE16" s="94"/>
      <c r="AF16" s="154">
        <v>17352.3</v>
      </c>
      <c r="AH16" s="16">
        <v>12587.61</v>
      </c>
      <c r="AI16" s="138"/>
      <c r="AJ16" s="16">
        <v>13416</v>
      </c>
      <c r="AK16" s="20"/>
      <c r="AL16" s="16">
        <v>13983.14</v>
      </c>
      <c r="AM16" s="140"/>
      <c r="AN16" s="140"/>
      <c r="AO16" s="145"/>
      <c r="AP16" s="154">
        <v>14943.21</v>
      </c>
      <c r="AR16" s="16">
        <v>10715.18</v>
      </c>
      <c r="AS16" s="138"/>
      <c r="AT16" s="16">
        <v>10597.65</v>
      </c>
      <c r="AU16" s="20"/>
      <c r="AV16" s="16">
        <v>10918.55</v>
      </c>
      <c r="AW16" s="140"/>
      <c r="AX16" s="140"/>
      <c r="AY16" s="145"/>
      <c r="AZ16" s="154">
        <v>12115.7</v>
      </c>
      <c r="BB16" s="16">
        <v>11500.02</v>
      </c>
      <c r="BC16" s="17"/>
      <c r="BD16" s="16">
        <v>11217.13</v>
      </c>
      <c r="BE16" s="20"/>
      <c r="BF16" s="16">
        <v>10977.89</v>
      </c>
      <c r="BG16" s="84"/>
      <c r="BH16" s="84"/>
      <c r="BI16" s="100"/>
      <c r="BJ16" s="121">
        <v>10582.09</v>
      </c>
      <c r="BM16" s="16">
        <v>12340.06</v>
      </c>
      <c r="BN16" s="17"/>
      <c r="BO16" s="16">
        <v>11280.49</v>
      </c>
      <c r="BP16" s="18"/>
      <c r="BQ16" s="54">
        <v>11560.94</v>
      </c>
      <c r="BR16" s="84"/>
      <c r="BS16" s="84"/>
      <c r="BT16" s="93"/>
      <c r="BU16" s="93">
        <v>10857.89</v>
      </c>
    </row>
    <row r="17" spans="1:73" ht="13.5" customHeight="1" thickBot="1">
      <c r="B17" s="12" t="s">
        <v>22</v>
      </c>
      <c r="C17" s="12"/>
      <c r="D17" s="13">
        <v>44825.1</v>
      </c>
      <c r="E17" s="137"/>
      <c r="F17" s="185">
        <v>44127</v>
      </c>
      <c r="G17" s="113"/>
      <c r="H17" s="13">
        <v>48024</v>
      </c>
      <c r="I17" s="190"/>
      <c r="J17" s="139"/>
      <c r="K17" s="155"/>
      <c r="L17" s="155">
        <v>46169</v>
      </c>
      <c r="M17" s="12"/>
      <c r="N17" s="13">
        <v>50170.83</v>
      </c>
      <c r="O17" s="137"/>
      <c r="P17" s="185">
        <v>48483</v>
      </c>
      <c r="Q17" s="113"/>
      <c r="R17" s="13">
        <v>48785</v>
      </c>
      <c r="S17" s="190"/>
      <c r="T17" s="139"/>
      <c r="U17" s="155"/>
      <c r="V17" s="155">
        <v>47961.62</v>
      </c>
      <c r="W17" s="12"/>
      <c r="X17" s="13">
        <v>51071.53</v>
      </c>
      <c r="Y17" s="137"/>
      <c r="Z17" s="185">
        <v>52979</v>
      </c>
      <c r="AA17" s="113"/>
      <c r="AB17" s="13">
        <v>53883</v>
      </c>
      <c r="AC17" s="190"/>
      <c r="AD17" s="139"/>
      <c r="AE17" s="155"/>
      <c r="AF17" s="155">
        <v>49935.55</v>
      </c>
      <c r="AG17" s="12"/>
      <c r="AH17" s="13">
        <v>47462.59</v>
      </c>
      <c r="AI17" s="137"/>
      <c r="AJ17" s="13">
        <v>48710</v>
      </c>
      <c r="AK17" s="113"/>
      <c r="AL17" s="13">
        <v>54257.17</v>
      </c>
      <c r="AM17" s="139"/>
      <c r="AN17" s="139"/>
      <c r="AO17" s="144"/>
      <c r="AP17" s="155">
        <v>51554.81</v>
      </c>
      <c r="AQ17" s="12"/>
      <c r="AR17" s="13">
        <v>44002.720000000001</v>
      </c>
      <c r="AS17" s="137"/>
      <c r="AT17" s="13">
        <v>44822.97</v>
      </c>
      <c r="AU17" s="113"/>
      <c r="AV17" s="13">
        <v>47281.29</v>
      </c>
      <c r="AW17" s="139"/>
      <c r="AX17" s="139"/>
      <c r="AY17" s="144"/>
      <c r="AZ17" s="155">
        <v>49474.59</v>
      </c>
      <c r="BA17" s="12"/>
      <c r="BB17" s="13">
        <v>44069.38</v>
      </c>
      <c r="BC17" s="14"/>
      <c r="BD17" s="13">
        <v>43338.46</v>
      </c>
      <c r="BE17" s="113"/>
      <c r="BF17" s="13">
        <v>46566.21</v>
      </c>
      <c r="BG17" s="83"/>
      <c r="BH17" s="83"/>
      <c r="BI17" s="99"/>
      <c r="BJ17" s="120">
        <v>46456.67</v>
      </c>
      <c r="BM17" s="13">
        <v>42668.66</v>
      </c>
      <c r="BN17" s="14"/>
      <c r="BO17" s="13">
        <v>41060.99</v>
      </c>
      <c r="BP17" s="15"/>
      <c r="BQ17" s="53">
        <v>44803.72</v>
      </c>
      <c r="BR17" s="83"/>
      <c r="BS17" s="83"/>
      <c r="BT17" s="92"/>
      <c r="BU17" s="92">
        <v>43737.17</v>
      </c>
    </row>
    <row r="18" spans="1:73" ht="13.5" customHeight="1">
      <c r="B18" t="s">
        <v>23</v>
      </c>
      <c r="D18" s="16">
        <v>25856.82</v>
      </c>
      <c r="E18" s="138"/>
      <c r="F18" s="186">
        <v>24221</v>
      </c>
      <c r="G18" s="20"/>
      <c r="H18" s="16">
        <v>26611</v>
      </c>
      <c r="I18" s="191"/>
      <c r="J18" s="140"/>
      <c r="K18" s="94"/>
      <c r="L18" s="154">
        <v>25664</v>
      </c>
      <c r="N18" s="16">
        <v>30700.44</v>
      </c>
      <c r="O18" s="138"/>
      <c r="P18" s="186">
        <v>28381</v>
      </c>
      <c r="Q18" s="20"/>
      <c r="R18" s="16">
        <v>28336</v>
      </c>
      <c r="S18" s="191"/>
      <c r="T18" s="140"/>
      <c r="U18" s="94"/>
      <c r="V18" s="154">
        <v>27549.86</v>
      </c>
      <c r="X18" s="16">
        <v>33388.65</v>
      </c>
      <c r="Y18" s="138"/>
      <c r="Z18" s="186">
        <v>35116</v>
      </c>
      <c r="AA18" s="20"/>
      <c r="AB18" s="16">
        <v>35372.06</v>
      </c>
      <c r="AC18" s="191"/>
      <c r="AD18" s="140"/>
      <c r="AE18" s="94"/>
      <c r="AF18" s="154">
        <v>30664.31</v>
      </c>
      <c r="AH18" s="16">
        <v>31130.22</v>
      </c>
      <c r="AI18" s="138"/>
      <c r="AJ18" s="16">
        <v>31675</v>
      </c>
      <c r="AK18" s="20"/>
      <c r="AL18" s="16">
        <v>37438.910000000003</v>
      </c>
      <c r="AM18" s="140"/>
      <c r="AN18" s="140"/>
      <c r="AO18" s="145"/>
      <c r="AP18" s="154">
        <v>34548.879999999997</v>
      </c>
      <c r="AR18" s="16">
        <v>29150.12</v>
      </c>
      <c r="AS18" s="138"/>
      <c r="AT18" s="16">
        <v>30057.55</v>
      </c>
      <c r="AU18" s="20"/>
      <c r="AV18" s="16">
        <v>31876.66</v>
      </c>
      <c r="AW18" s="140"/>
      <c r="AX18" s="140"/>
      <c r="AY18" s="145"/>
      <c r="AZ18" s="154">
        <v>33174.85</v>
      </c>
      <c r="BB18" s="16">
        <v>28664.79</v>
      </c>
      <c r="BC18" s="17"/>
      <c r="BD18" s="16">
        <v>28583.59</v>
      </c>
      <c r="BE18" s="20"/>
      <c r="BF18" s="16">
        <v>31491.52</v>
      </c>
      <c r="BG18" s="84"/>
      <c r="BH18" s="84"/>
      <c r="BI18" s="100"/>
      <c r="BJ18" s="121">
        <v>31535.97</v>
      </c>
      <c r="BM18" s="16">
        <v>27787.040000000001</v>
      </c>
      <c r="BN18" s="17"/>
      <c r="BO18" s="16">
        <v>26903.119999999999</v>
      </c>
      <c r="BP18" s="18"/>
      <c r="BQ18" s="54">
        <v>30130.57</v>
      </c>
      <c r="BR18" s="84"/>
      <c r="BS18" s="84"/>
      <c r="BT18" s="93"/>
      <c r="BU18" s="93">
        <v>28501.599999999999</v>
      </c>
    </row>
    <row r="19" spans="1:73" ht="13.5" customHeight="1">
      <c r="B19" t="s">
        <v>24</v>
      </c>
      <c r="D19" s="16">
        <v>18968.28</v>
      </c>
      <c r="E19" s="138"/>
      <c r="F19" s="186">
        <v>19906</v>
      </c>
      <c r="G19" s="20"/>
      <c r="H19" s="16">
        <v>21413</v>
      </c>
      <c r="I19" s="191"/>
      <c r="J19" s="140"/>
      <c r="K19" s="94"/>
      <c r="L19" s="154">
        <v>20505</v>
      </c>
      <c r="N19" s="16">
        <v>19470.39</v>
      </c>
      <c r="O19" s="138"/>
      <c r="P19" s="186">
        <v>20102</v>
      </c>
      <c r="Q19" s="20"/>
      <c r="R19" s="16">
        <f>+R17-R18</f>
        <v>20449</v>
      </c>
      <c r="S19" s="191"/>
      <c r="T19" s="140"/>
      <c r="U19" s="94"/>
      <c r="V19" s="154">
        <v>20411.759999999998</v>
      </c>
      <c r="X19" s="16">
        <v>17682.88</v>
      </c>
      <c r="Y19" s="138"/>
      <c r="Z19" s="186">
        <v>17862</v>
      </c>
      <c r="AA19" s="20"/>
      <c r="AB19" s="16">
        <v>18511.080000000002</v>
      </c>
      <c r="AC19" s="191"/>
      <c r="AD19" s="140"/>
      <c r="AE19" s="94"/>
      <c r="AF19" s="154">
        <v>19271.240000000002</v>
      </c>
      <c r="AH19" s="16">
        <v>16332.37</v>
      </c>
      <c r="AI19" s="138"/>
      <c r="AJ19" s="16">
        <v>17035</v>
      </c>
      <c r="AK19" s="20"/>
      <c r="AL19" s="16">
        <v>16818.259999999998</v>
      </c>
      <c r="AM19" s="140"/>
      <c r="AN19" s="140"/>
      <c r="AO19" s="145"/>
      <c r="AP19" s="154">
        <v>17005.93</v>
      </c>
      <c r="AR19" s="16">
        <v>14852.6</v>
      </c>
      <c r="AS19" s="138"/>
      <c r="AT19" s="16">
        <v>14765.42</v>
      </c>
      <c r="AU19" s="20"/>
      <c r="AV19" s="16">
        <v>15404.63</v>
      </c>
      <c r="AW19" s="140"/>
      <c r="AX19" s="140"/>
      <c r="AY19" s="145"/>
      <c r="AZ19" s="154">
        <v>16299.74</v>
      </c>
      <c r="BB19" s="16">
        <v>15404.59</v>
      </c>
      <c r="BC19" s="17"/>
      <c r="BD19" s="16">
        <v>14754.87</v>
      </c>
      <c r="BE19" s="20"/>
      <c r="BF19" s="16">
        <v>15074.69</v>
      </c>
      <c r="BG19" s="84"/>
      <c r="BH19" s="84"/>
      <c r="BI19" s="100"/>
      <c r="BJ19" s="121">
        <v>14920.7</v>
      </c>
      <c r="BM19" s="16">
        <v>14881.62</v>
      </c>
      <c r="BN19" s="17"/>
      <c r="BO19" s="16">
        <v>14157.87</v>
      </c>
      <c r="BP19" s="18"/>
      <c r="BQ19" s="54">
        <v>14673.15</v>
      </c>
      <c r="BR19" s="84"/>
      <c r="BS19" s="84"/>
      <c r="BT19" s="93"/>
      <c r="BU19" s="93">
        <v>15235.57</v>
      </c>
    </row>
    <row r="20" spans="1:73" ht="13.5" customHeight="1" thickBot="1">
      <c r="B20" s="12" t="s">
        <v>25</v>
      </c>
      <c r="C20" s="12"/>
      <c r="D20" s="13">
        <v>18294.3</v>
      </c>
      <c r="E20" s="137"/>
      <c r="F20" s="185">
        <v>18044</v>
      </c>
      <c r="G20" s="113"/>
      <c r="H20" s="13">
        <v>19625</v>
      </c>
      <c r="I20" s="190"/>
      <c r="J20" s="139"/>
      <c r="K20" s="155"/>
      <c r="L20" s="155">
        <v>20417</v>
      </c>
      <c r="M20" s="12"/>
      <c r="N20" s="13">
        <v>24772.400000000001</v>
      </c>
      <c r="O20" s="137"/>
      <c r="P20" s="185">
        <v>23346</v>
      </c>
      <c r="Q20" s="113"/>
      <c r="R20" s="13">
        <f>+R11-R17</f>
        <v>21844</v>
      </c>
      <c r="S20" s="190"/>
      <c r="T20" s="139"/>
      <c r="U20" s="155"/>
      <c r="V20" s="155">
        <v>19284</v>
      </c>
      <c r="W20" s="12"/>
      <c r="X20" s="13">
        <v>25909.040000000001</v>
      </c>
      <c r="Y20" s="137"/>
      <c r="Z20" s="185">
        <v>25901</v>
      </c>
      <c r="AA20" s="113"/>
      <c r="AB20" s="13">
        <v>24796.73</v>
      </c>
      <c r="AC20" s="190"/>
      <c r="AD20" s="139"/>
      <c r="AE20" s="155"/>
      <c r="AF20" s="155">
        <v>24298.49</v>
      </c>
      <c r="AG20" s="12"/>
      <c r="AH20" s="13">
        <v>24084.959999999999</v>
      </c>
      <c r="AI20" s="137"/>
      <c r="AJ20" s="13">
        <v>25304</v>
      </c>
      <c r="AK20" s="113"/>
      <c r="AL20" s="13">
        <v>25954.59</v>
      </c>
      <c r="AM20" s="139"/>
      <c r="AN20" s="139"/>
      <c r="AO20" s="144"/>
      <c r="AP20" s="155">
        <v>26262.94</v>
      </c>
      <c r="AQ20" s="12"/>
      <c r="AR20" s="13">
        <v>20037.34</v>
      </c>
      <c r="AS20" s="137"/>
      <c r="AT20" s="13">
        <v>20577</v>
      </c>
      <c r="AU20" s="113"/>
      <c r="AV20" s="13">
        <v>21389.75</v>
      </c>
      <c r="AW20" s="139"/>
      <c r="AX20" s="139"/>
      <c r="AY20" s="144"/>
      <c r="AZ20" s="155">
        <v>23274.32</v>
      </c>
      <c r="BA20" s="12"/>
      <c r="BB20" s="13">
        <v>19676.04</v>
      </c>
      <c r="BC20" s="14"/>
      <c r="BD20" s="13">
        <v>19934.32</v>
      </c>
      <c r="BE20" s="113"/>
      <c r="BF20" s="13">
        <v>19947.669999999998</v>
      </c>
      <c r="BG20" s="83"/>
      <c r="BH20" s="83"/>
      <c r="BI20" s="99"/>
      <c r="BJ20" s="120">
        <v>20447.52</v>
      </c>
      <c r="BM20" s="13">
        <v>18338.689999999999</v>
      </c>
      <c r="BN20" s="14"/>
      <c r="BO20" s="13">
        <v>18225.8</v>
      </c>
      <c r="BP20" s="15"/>
      <c r="BQ20" s="53">
        <v>18681.669999999998</v>
      </c>
      <c r="BR20" s="83"/>
      <c r="BS20" s="83"/>
      <c r="BT20" s="92"/>
      <c r="BU20" s="92">
        <v>18862.41</v>
      </c>
    </row>
    <row r="21" spans="1:73" ht="13.5" customHeight="1">
      <c r="B21" t="s">
        <v>26</v>
      </c>
      <c r="D21" s="16">
        <v>13130.41</v>
      </c>
      <c r="E21" s="138"/>
      <c r="F21" s="186">
        <v>13132</v>
      </c>
      <c r="G21" s="20"/>
      <c r="H21" s="16">
        <v>13624</v>
      </c>
      <c r="I21" s="191"/>
      <c r="J21" s="140"/>
      <c r="K21" s="94"/>
      <c r="L21" s="16">
        <v>14293</v>
      </c>
      <c r="N21" s="16">
        <v>16597.650000000001</v>
      </c>
      <c r="O21" s="138"/>
      <c r="P21" s="186">
        <v>15612</v>
      </c>
      <c r="Q21" s="20"/>
      <c r="R21" s="16">
        <f>+R20-R22-R23</f>
        <v>14727</v>
      </c>
      <c r="S21" s="191"/>
      <c r="T21" s="140"/>
      <c r="U21" s="94"/>
      <c r="V21" s="16">
        <v>13075.92</v>
      </c>
      <c r="X21" s="16">
        <v>19379.16</v>
      </c>
      <c r="Y21" s="138"/>
      <c r="Z21" s="186">
        <v>19414</v>
      </c>
      <c r="AA21" s="20"/>
      <c r="AB21" s="16">
        <v>17696.03</v>
      </c>
      <c r="AC21" s="191"/>
      <c r="AD21" s="140"/>
      <c r="AE21" s="94"/>
      <c r="AF21" s="154">
        <v>16264</v>
      </c>
      <c r="AH21" s="16">
        <v>19110.39</v>
      </c>
      <c r="AI21" s="138"/>
      <c r="AJ21" s="16">
        <v>19651</v>
      </c>
      <c r="AK21" s="20"/>
      <c r="AL21" s="16">
        <v>19872</v>
      </c>
      <c r="AM21" s="140"/>
      <c r="AN21" s="140"/>
      <c r="AO21" s="145"/>
      <c r="AP21" s="154">
        <v>19622.96</v>
      </c>
      <c r="AR21" s="16">
        <v>17241.349999999999</v>
      </c>
      <c r="AS21" s="138"/>
      <c r="AT21" s="16">
        <v>17838.57</v>
      </c>
      <c r="AU21" s="20"/>
      <c r="AV21" s="16">
        <v>18289.95</v>
      </c>
      <c r="AW21" s="140"/>
      <c r="AX21" s="140"/>
      <c r="AY21" s="145"/>
      <c r="AZ21" s="154">
        <v>18964.330000000002</v>
      </c>
      <c r="BB21" s="16">
        <v>17026.43</v>
      </c>
      <c r="BC21" s="17"/>
      <c r="BD21" s="16">
        <v>17525</v>
      </c>
      <c r="BE21" s="20"/>
      <c r="BF21" s="16">
        <v>17647.099999999999</v>
      </c>
      <c r="BG21" s="84"/>
      <c r="BH21" s="84"/>
      <c r="BI21" s="100"/>
      <c r="BJ21" s="121">
        <v>17765.62</v>
      </c>
      <c r="BM21" s="16">
        <v>16129.69</v>
      </c>
      <c r="BN21" s="17"/>
      <c r="BO21" s="16">
        <v>16376.21</v>
      </c>
      <c r="BP21" s="18"/>
      <c r="BQ21" s="54">
        <v>16600.79</v>
      </c>
      <c r="BR21" s="84"/>
      <c r="BS21" s="84"/>
      <c r="BT21" s="93"/>
      <c r="BU21" s="93">
        <v>16444.580000000002</v>
      </c>
    </row>
    <row r="22" spans="1:73" ht="13.5" customHeight="1">
      <c r="B22" t="s">
        <v>123</v>
      </c>
      <c r="D22" s="16">
        <v>1082.2</v>
      </c>
      <c r="E22" s="138"/>
      <c r="F22" s="186">
        <v>901</v>
      </c>
      <c r="G22" s="20"/>
      <c r="H22" s="16">
        <v>1765</v>
      </c>
      <c r="I22" s="191"/>
      <c r="J22" s="140"/>
      <c r="K22" s="184"/>
      <c r="L22" s="112">
        <v>1802</v>
      </c>
      <c r="N22" s="16">
        <v>3185.34</v>
      </c>
      <c r="O22" s="138"/>
      <c r="P22" s="186">
        <v>2882</v>
      </c>
      <c r="Q22" s="20"/>
      <c r="R22" s="16">
        <v>2650</v>
      </c>
      <c r="S22" s="191"/>
      <c r="T22" s="140"/>
      <c r="U22" s="184"/>
      <c r="V22" s="112">
        <v>1913.32</v>
      </c>
      <c r="X22" s="16">
        <v>1705.23</v>
      </c>
      <c r="Y22" s="138"/>
      <c r="Z22" s="186">
        <v>1690</v>
      </c>
      <c r="AA22" s="20"/>
      <c r="AB22" s="16">
        <v>2238.71</v>
      </c>
      <c r="AC22" s="191"/>
      <c r="AD22" s="140"/>
      <c r="AE22" s="184"/>
      <c r="AF22" s="112">
        <v>3103.54</v>
      </c>
      <c r="AH22" s="16">
        <v>925.88</v>
      </c>
      <c r="AI22" s="138"/>
      <c r="AJ22" s="16">
        <v>1130</v>
      </c>
      <c r="AK22" s="20"/>
      <c r="AL22" s="16">
        <v>1323.28</v>
      </c>
      <c r="AM22" s="140"/>
      <c r="AN22" s="140"/>
      <c r="AO22" s="146"/>
      <c r="AP22" s="112">
        <v>1727.62</v>
      </c>
      <c r="AR22" s="16">
        <v>-280.63</v>
      </c>
      <c r="AS22" s="138"/>
      <c r="AT22" s="16">
        <v>-520.70000000000005</v>
      </c>
      <c r="AU22" s="20"/>
      <c r="AV22" s="16">
        <v>-342.11</v>
      </c>
      <c r="AW22" s="140"/>
      <c r="AX22" s="140"/>
      <c r="AY22" s="146"/>
      <c r="AZ22" s="112">
        <v>463.21</v>
      </c>
      <c r="BB22" s="16">
        <v>24.85</v>
      </c>
      <c r="BC22" s="17"/>
      <c r="BD22" s="16">
        <v>-252.85</v>
      </c>
      <c r="BE22" s="20"/>
      <c r="BF22" s="16">
        <v>-582.34</v>
      </c>
      <c r="BG22" s="84"/>
      <c r="BH22" s="84"/>
      <c r="BI22" s="101"/>
      <c r="BJ22" s="54">
        <v>-323.58999999999997</v>
      </c>
      <c r="BM22" s="16">
        <v>78.78</v>
      </c>
      <c r="BN22" s="17"/>
      <c r="BO22" s="16">
        <v>-259.02999999999997</v>
      </c>
      <c r="BP22" s="18"/>
      <c r="BQ22" s="54">
        <v>-248.13</v>
      </c>
      <c r="BR22" s="84"/>
      <c r="BS22" s="84"/>
      <c r="BT22" s="19"/>
      <c r="BU22" s="54">
        <v>-161.37</v>
      </c>
    </row>
    <row r="23" spans="1:73" ht="13.5" customHeight="1">
      <c r="B23" t="s">
        <v>126</v>
      </c>
      <c r="D23" s="16">
        <v>4081.69</v>
      </c>
      <c r="E23" s="138"/>
      <c r="F23" s="186">
        <v>4011</v>
      </c>
      <c r="G23" s="20"/>
      <c r="H23" s="16">
        <v>4236</v>
      </c>
      <c r="I23" s="191"/>
      <c r="J23" s="140"/>
      <c r="K23" s="94"/>
      <c r="L23" s="154">
        <v>4322</v>
      </c>
      <c r="N23" s="16">
        <v>4989.41</v>
      </c>
      <c r="O23" s="138"/>
      <c r="P23" s="186">
        <v>4852</v>
      </c>
      <c r="Q23" s="20"/>
      <c r="R23" s="16">
        <v>4467</v>
      </c>
      <c r="S23" s="191"/>
      <c r="T23" s="140"/>
      <c r="U23" s="94"/>
      <c r="V23" s="154">
        <v>4295.3599999999997</v>
      </c>
      <c r="X23" s="16">
        <v>4824.6499999999996</v>
      </c>
      <c r="Y23" s="138"/>
      <c r="Z23" s="186">
        <v>4798</v>
      </c>
      <c r="AA23" s="20"/>
      <c r="AB23" s="16">
        <v>4861.99</v>
      </c>
      <c r="AC23" s="191"/>
      <c r="AD23" s="140"/>
      <c r="AE23" s="94"/>
      <c r="AF23" s="154">
        <v>4930.95</v>
      </c>
      <c r="AH23" s="16">
        <v>4048.69</v>
      </c>
      <c r="AI23" s="138"/>
      <c r="AJ23" s="16">
        <v>4523</v>
      </c>
      <c r="AK23" s="20"/>
      <c r="AL23" s="16">
        <v>4759.8999999999996</v>
      </c>
      <c r="AM23" s="140"/>
      <c r="AN23" s="140"/>
      <c r="AO23" s="145"/>
      <c r="AP23" s="154">
        <v>4912.3599999999997</v>
      </c>
      <c r="AR23" s="16">
        <v>3076.62</v>
      </c>
      <c r="AS23" s="138"/>
      <c r="AT23" s="16">
        <v>3258.8</v>
      </c>
      <c r="AU23" s="20"/>
      <c r="AV23" s="16">
        <v>3441.91</v>
      </c>
      <c r="AW23" s="140"/>
      <c r="AX23" s="140"/>
      <c r="AY23" s="145"/>
      <c r="AZ23" s="154">
        <v>3846.78</v>
      </c>
      <c r="BB23" s="16">
        <v>2624.76</v>
      </c>
      <c r="BC23" s="17"/>
      <c r="BD23" s="16">
        <v>2662.17</v>
      </c>
      <c r="BE23" s="20"/>
      <c r="BF23" s="16">
        <v>2882.91</v>
      </c>
      <c r="BG23" s="84"/>
      <c r="BH23" s="84"/>
      <c r="BI23" s="100"/>
      <c r="BJ23" s="121">
        <v>3005.49</v>
      </c>
      <c r="BM23" s="16">
        <v>2130.2199999999998</v>
      </c>
      <c r="BN23" s="17"/>
      <c r="BO23" s="16">
        <v>2108.62</v>
      </c>
      <c r="BP23" s="18"/>
      <c r="BQ23" s="54">
        <v>2329.0100000000002</v>
      </c>
      <c r="BR23" s="84"/>
      <c r="BS23" s="84"/>
      <c r="BT23" s="93"/>
      <c r="BU23" s="93">
        <v>2579.1999999999998</v>
      </c>
    </row>
    <row r="24" spans="1:73">
      <c r="D24" s="20"/>
      <c r="E24" s="20"/>
      <c r="F24" s="20"/>
      <c r="G24" s="20"/>
      <c r="H24" s="20"/>
      <c r="I24" s="18"/>
      <c r="J24" s="18"/>
      <c r="K24" s="19"/>
      <c r="L24" s="19"/>
      <c r="N24" s="20"/>
      <c r="O24" s="20"/>
      <c r="P24" s="20"/>
      <c r="Q24" s="20"/>
      <c r="R24" s="20"/>
      <c r="S24" s="18"/>
      <c r="T24" s="18"/>
      <c r="U24" s="19"/>
      <c r="V24" s="19"/>
      <c r="X24" s="20"/>
      <c r="Y24" s="20"/>
      <c r="Z24" s="20"/>
      <c r="AA24" s="20"/>
      <c r="AB24" s="20"/>
      <c r="AC24" s="18"/>
      <c r="AD24" s="18"/>
      <c r="AE24" s="19"/>
      <c r="AF24" s="19"/>
      <c r="AH24" s="20"/>
      <c r="AI24" s="20"/>
      <c r="AJ24" s="20"/>
      <c r="AK24" s="20"/>
      <c r="AL24" s="20"/>
      <c r="AM24" s="18"/>
      <c r="AN24" s="18"/>
      <c r="AO24" s="19"/>
      <c r="AP24" s="19"/>
      <c r="AR24" s="20"/>
      <c r="AS24" s="20"/>
      <c r="AT24" s="20"/>
      <c r="AU24" s="20"/>
      <c r="AV24" s="20"/>
      <c r="AW24" s="18"/>
      <c r="AX24" s="18"/>
      <c r="AY24" s="19"/>
      <c r="AZ24" s="19"/>
      <c r="BB24" s="20"/>
      <c r="BC24" s="20"/>
      <c r="BD24" s="20"/>
      <c r="BE24" s="20"/>
      <c r="BF24" s="20"/>
      <c r="BG24" s="18"/>
      <c r="BH24" s="18"/>
      <c r="BI24" s="19"/>
      <c r="BJ24" s="19"/>
      <c r="BM24" s="20"/>
      <c r="BN24" s="20"/>
      <c r="BO24" s="20"/>
      <c r="BP24" s="18"/>
      <c r="BQ24" s="18"/>
      <c r="BR24" s="18"/>
      <c r="BS24" s="18"/>
      <c r="BT24" s="19"/>
      <c r="BU24" s="19"/>
    </row>
    <row r="25" spans="1:73" s="3" customFormat="1" ht="16.2">
      <c r="A25" s="4" t="s">
        <v>27</v>
      </c>
    </row>
    <row r="26" spans="1:73">
      <c r="B26" t="s">
        <v>1</v>
      </c>
      <c r="D26" s="132" t="str">
        <f>D5</f>
        <v>2016年度　（2016年4月-2017年3月）</v>
      </c>
      <c r="E26" s="132"/>
      <c r="F26" s="132"/>
      <c r="G26" s="132"/>
      <c r="H26" s="132"/>
      <c r="I26" s="132"/>
      <c r="J26" s="132"/>
      <c r="K26" s="132"/>
      <c r="L26" s="132"/>
      <c r="N26" s="132" t="str">
        <f>N5</f>
        <v>2015年度　（2015年4月-2016年3月）</v>
      </c>
      <c r="O26" s="132"/>
      <c r="P26" s="132"/>
      <c r="Q26" s="132"/>
      <c r="R26" s="132"/>
      <c r="S26" s="132"/>
      <c r="T26" s="132"/>
      <c r="U26" s="132"/>
      <c r="V26" s="132"/>
      <c r="X26" s="173" t="str">
        <f>X5</f>
        <v>2014年度　（2014年4月-2015年3月）</v>
      </c>
      <c r="Y26" s="173"/>
      <c r="Z26" s="173"/>
      <c r="AA26" s="173"/>
      <c r="AB26" s="173"/>
      <c r="AC26" s="173"/>
      <c r="AD26" s="173"/>
      <c r="AE26" s="173"/>
      <c r="AF26" s="173"/>
      <c r="AH26" s="173" t="str">
        <f>AH5</f>
        <v>2013年度　（2013年4月-2014年3月）</v>
      </c>
      <c r="AI26" s="173"/>
      <c r="AJ26" s="173"/>
      <c r="AK26" s="173"/>
      <c r="AL26" s="173"/>
      <c r="AM26" s="173"/>
      <c r="AN26" s="173"/>
      <c r="AO26" s="173"/>
      <c r="AP26" s="173"/>
      <c r="AR26" s="173" t="str">
        <f>AR5</f>
        <v>2012年度　（2012年4月-2013年3月）</v>
      </c>
      <c r="AS26" s="173"/>
      <c r="AT26" s="173"/>
      <c r="AU26" s="173"/>
      <c r="AV26" s="173"/>
      <c r="AW26" s="173"/>
      <c r="AX26" s="173"/>
      <c r="AY26" s="173"/>
      <c r="AZ26" s="173"/>
      <c r="BB26" s="129" t="s">
        <v>101</v>
      </c>
      <c r="BC26" s="129"/>
      <c r="BD26" s="129"/>
      <c r="BE26" s="129"/>
      <c r="BF26" s="129"/>
      <c r="BG26" s="129"/>
      <c r="BH26" s="129"/>
      <c r="BI26" s="129"/>
      <c r="BJ26" s="129"/>
      <c r="BM26" s="105" t="s">
        <v>100</v>
      </c>
      <c r="BN26" s="105"/>
      <c r="BO26" s="105"/>
      <c r="BP26" s="105"/>
      <c r="BQ26" s="105"/>
      <c r="BR26" s="105"/>
      <c r="BS26" s="105"/>
      <c r="BT26" s="105"/>
      <c r="BU26" s="105"/>
    </row>
    <row r="27" spans="1:73" ht="3.75" customHeight="1">
      <c r="D27" s="5"/>
      <c r="E27" s="5"/>
      <c r="F27" s="5"/>
      <c r="G27" s="5"/>
      <c r="H27" s="5"/>
      <c r="I27" s="5"/>
      <c r="J27" s="5"/>
      <c r="K27" s="5"/>
      <c r="L27" s="132"/>
      <c r="N27" s="5"/>
      <c r="O27" s="5"/>
      <c r="P27" s="5"/>
      <c r="Q27" s="5"/>
      <c r="R27" s="5"/>
      <c r="S27" s="5"/>
      <c r="T27" s="5"/>
      <c r="U27" s="5"/>
      <c r="V27" s="132"/>
      <c r="X27" s="5"/>
      <c r="Y27" s="5"/>
      <c r="Z27" s="5"/>
      <c r="AA27" s="5"/>
      <c r="AB27" s="5"/>
      <c r="AC27" s="5"/>
      <c r="AD27" s="5"/>
      <c r="AE27" s="5"/>
      <c r="AF27" s="173"/>
      <c r="AH27" s="5"/>
      <c r="AI27" s="5"/>
      <c r="AJ27" s="5"/>
      <c r="AK27" s="5"/>
      <c r="AL27" s="5"/>
      <c r="AM27" s="5"/>
      <c r="AN27" s="5"/>
      <c r="AO27" s="5"/>
      <c r="AP27" s="173"/>
      <c r="AR27" s="5"/>
      <c r="AS27" s="5"/>
      <c r="AT27" s="5"/>
      <c r="AU27" s="5"/>
      <c r="AV27" s="5"/>
      <c r="AW27" s="5"/>
      <c r="AX27" s="5"/>
      <c r="AY27" s="5"/>
      <c r="AZ27" s="173"/>
      <c r="BB27" s="5"/>
      <c r="BC27" s="5"/>
      <c r="BD27" s="5"/>
      <c r="BE27" s="5"/>
      <c r="BF27" s="5"/>
      <c r="BG27" s="5"/>
      <c r="BH27" s="5"/>
      <c r="BI27" s="5"/>
      <c r="BJ27" s="129"/>
      <c r="BM27" s="5"/>
      <c r="BN27" s="5"/>
      <c r="BO27" s="5"/>
      <c r="BP27" s="5"/>
      <c r="BQ27" s="5"/>
      <c r="BR27" s="5"/>
      <c r="BS27" s="5"/>
      <c r="BT27" s="5"/>
      <c r="BU27" s="105"/>
    </row>
    <row r="28" spans="1:73">
      <c r="D28" s="6"/>
      <c r="E28" s="6"/>
      <c r="F28" s="7" t="s">
        <v>28</v>
      </c>
      <c r="H28" s="7"/>
      <c r="I28" s="7"/>
      <c r="J28" s="7" t="s">
        <v>29</v>
      </c>
      <c r="L28" s="133" t="s">
        <v>30</v>
      </c>
      <c r="N28" s="6"/>
      <c r="O28" s="6"/>
      <c r="P28" s="7" t="s">
        <v>28</v>
      </c>
      <c r="R28" s="7"/>
      <c r="S28" s="7"/>
      <c r="T28" s="7" t="s">
        <v>29</v>
      </c>
      <c r="V28" s="133" t="s">
        <v>30</v>
      </c>
      <c r="X28" s="6"/>
      <c r="Y28" s="6"/>
      <c r="Z28" s="7" t="s">
        <v>28</v>
      </c>
      <c r="AB28" s="7"/>
      <c r="AC28" s="7"/>
      <c r="AD28" s="7" t="s">
        <v>29</v>
      </c>
      <c r="AF28" s="174" t="s">
        <v>30</v>
      </c>
      <c r="AH28" s="6"/>
      <c r="AI28" s="6"/>
      <c r="AJ28" s="7" t="s">
        <v>28</v>
      </c>
      <c r="AL28" s="7"/>
      <c r="AM28" s="7"/>
      <c r="AN28" s="7" t="s">
        <v>29</v>
      </c>
      <c r="AP28" s="174" t="s">
        <v>30</v>
      </c>
      <c r="AR28" s="6"/>
      <c r="AS28" s="6"/>
      <c r="AT28" s="7" t="s">
        <v>28</v>
      </c>
      <c r="AV28" s="7"/>
      <c r="AW28" s="7"/>
      <c r="AX28" s="7" t="s">
        <v>29</v>
      </c>
      <c r="AZ28" s="174" t="s">
        <v>30</v>
      </c>
      <c r="BB28" s="6"/>
      <c r="BC28" s="6"/>
      <c r="BD28" s="7" t="s">
        <v>28</v>
      </c>
      <c r="BF28" s="7"/>
      <c r="BG28" s="7"/>
      <c r="BH28" s="7" t="s">
        <v>29</v>
      </c>
      <c r="BJ28" s="130" t="s">
        <v>30</v>
      </c>
      <c r="BM28" s="6"/>
      <c r="BN28" s="6"/>
      <c r="BO28" s="7" t="s">
        <v>28</v>
      </c>
      <c r="BQ28" s="7"/>
      <c r="BR28" s="7"/>
      <c r="BS28" s="7" t="s">
        <v>29</v>
      </c>
      <c r="BU28" s="106" t="s">
        <v>30</v>
      </c>
    </row>
    <row r="29" spans="1:73" s="9" customFormat="1" ht="10.8">
      <c r="D29" s="9" t="s">
        <v>31</v>
      </c>
      <c r="E29" s="9" t="s">
        <v>32</v>
      </c>
      <c r="F29" s="10" t="s">
        <v>33</v>
      </c>
      <c r="H29" s="9" t="s">
        <v>7</v>
      </c>
      <c r="I29" s="9" t="s">
        <v>8</v>
      </c>
      <c r="J29" s="10"/>
      <c r="L29" s="134"/>
      <c r="N29" s="9" t="s">
        <v>31</v>
      </c>
      <c r="O29" s="9" t="s">
        <v>32</v>
      </c>
      <c r="P29" s="10" t="s">
        <v>33</v>
      </c>
      <c r="R29" s="9" t="s">
        <v>7</v>
      </c>
      <c r="S29" s="9" t="s">
        <v>8</v>
      </c>
      <c r="T29" s="10"/>
      <c r="V29" s="134"/>
      <c r="X29" s="9" t="s">
        <v>31</v>
      </c>
      <c r="Y29" s="9" t="s">
        <v>32</v>
      </c>
      <c r="Z29" s="10" t="s">
        <v>33</v>
      </c>
      <c r="AB29" s="9" t="s">
        <v>7</v>
      </c>
      <c r="AC29" s="9" t="s">
        <v>8</v>
      </c>
      <c r="AD29" s="10"/>
      <c r="AF29" s="175"/>
      <c r="AH29" s="9" t="s">
        <v>31</v>
      </c>
      <c r="AI29" s="9" t="s">
        <v>32</v>
      </c>
      <c r="AJ29" s="10" t="s">
        <v>33</v>
      </c>
      <c r="AL29" s="9" t="s">
        <v>7</v>
      </c>
      <c r="AM29" s="9" t="s">
        <v>8</v>
      </c>
      <c r="AN29" s="10"/>
      <c r="AP29" s="175"/>
      <c r="AR29" s="9" t="s">
        <v>31</v>
      </c>
      <c r="AS29" s="9" t="s">
        <v>32</v>
      </c>
      <c r="AT29" s="10" t="s">
        <v>33</v>
      </c>
      <c r="AV29" s="9" t="s">
        <v>7</v>
      </c>
      <c r="AW29" s="9" t="s">
        <v>8</v>
      </c>
      <c r="AX29" s="10"/>
      <c r="AZ29" s="175"/>
      <c r="BB29" s="9" t="s">
        <v>31</v>
      </c>
      <c r="BC29" s="9" t="s">
        <v>32</v>
      </c>
      <c r="BD29" s="10" t="s">
        <v>33</v>
      </c>
      <c r="BF29" s="9" t="s">
        <v>7</v>
      </c>
      <c r="BG29" s="9" t="s">
        <v>8</v>
      </c>
      <c r="BH29" s="10"/>
      <c r="BJ29" s="131"/>
      <c r="BM29" s="9" t="s">
        <v>31</v>
      </c>
      <c r="BN29" s="9" t="s">
        <v>32</v>
      </c>
      <c r="BO29" s="10" t="s">
        <v>33</v>
      </c>
      <c r="BQ29" s="9" t="s">
        <v>7</v>
      </c>
      <c r="BR29" s="9" t="s">
        <v>8</v>
      </c>
      <c r="BS29" s="10"/>
      <c r="BU29" s="107"/>
    </row>
    <row r="30" spans="1:73" s="9" customFormat="1" ht="10.8">
      <c r="D30" s="9" t="s">
        <v>34</v>
      </c>
      <c r="E30" s="9" t="s">
        <v>35</v>
      </c>
      <c r="F30" s="10" t="s">
        <v>36</v>
      </c>
      <c r="H30" s="9" t="s">
        <v>12</v>
      </c>
      <c r="I30" s="9" t="s">
        <v>13</v>
      </c>
      <c r="J30" s="10" t="s">
        <v>37</v>
      </c>
      <c r="L30" s="134" t="s">
        <v>38</v>
      </c>
      <c r="N30" s="9" t="s">
        <v>34</v>
      </c>
      <c r="O30" s="9" t="s">
        <v>35</v>
      </c>
      <c r="P30" s="10" t="s">
        <v>36</v>
      </c>
      <c r="R30" s="9" t="s">
        <v>12</v>
      </c>
      <c r="S30" s="9" t="s">
        <v>13</v>
      </c>
      <c r="T30" s="10" t="s">
        <v>37</v>
      </c>
      <c r="V30" s="134" t="s">
        <v>38</v>
      </c>
      <c r="X30" s="9" t="s">
        <v>34</v>
      </c>
      <c r="Y30" s="9" t="s">
        <v>35</v>
      </c>
      <c r="Z30" s="10" t="s">
        <v>36</v>
      </c>
      <c r="AB30" s="9" t="s">
        <v>12</v>
      </c>
      <c r="AC30" s="9" t="s">
        <v>13</v>
      </c>
      <c r="AD30" s="10" t="s">
        <v>37</v>
      </c>
      <c r="AF30" s="175" t="s">
        <v>38</v>
      </c>
      <c r="AH30" s="9" t="s">
        <v>34</v>
      </c>
      <c r="AI30" s="9" t="s">
        <v>35</v>
      </c>
      <c r="AJ30" s="10" t="s">
        <v>36</v>
      </c>
      <c r="AL30" s="9" t="s">
        <v>12</v>
      </c>
      <c r="AM30" s="9" t="s">
        <v>13</v>
      </c>
      <c r="AN30" s="10" t="s">
        <v>37</v>
      </c>
      <c r="AP30" s="175" t="s">
        <v>38</v>
      </c>
      <c r="AR30" s="9" t="s">
        <v>34</v>
      </c>
      <c r="AS30" s="9" t="s">
        <v>35</v>
      </c>
      <c r="AT30" s="10" t="s">
        <v>36</v>
      </c>
      <c r="AV30" s="9" t="s">
        <v>12</v>
      </c>
      <c r="AW30" s="9" t="s">
        <v>13</v>
      </c>
      <c r="AX30" s="10" t="s">
        <v>37</v>
      </c>
      <c r="AZ30" s="175" t="s">
        <v>38</v>
      </c>
      <c r="BB30" s="9" t="s">
        <v>34</v>
      </c>
      <c r="BC30" s="9" t="s">
        <v>35</v>
      </c>
      <c r="BD30" s="10" t="s">
        <v>36</v>
      </c>
      <c r="BF30" s="9" t="s">
        <v>12</v>
      </c>
      <c r="BG30" s="9" t="s">
        <v>13</v>
      </c>
      <c r="BH30" s="10" t="s">
        <v>37</v>
      </c>
      <c r="BJ30" s="131" t="s">
        <v>38</v>
      </c>
      <c r="BM30" s="9" t="s">
        <v>34</v>
      </c>
      <c r="BN30" s="9" t="s">
        <v>35</v>
      </c>
      <c r="BO30" s="10" t="s">
        <v>36</v>
      </c>
      <c r="BQ30" s="9" t="s">
        <v>12</v>
      </c>
      <c r="BR30" s="9" t="s">
        <v>13</v>
      </c>
      <c r="BS30" s="10" t="s">
        <v>37</v>
      </c>
      <c r="BU30" s="107" t="s">
        <v>38</v>
      </c>
    </row>
    <row r="31" spans="1:73" s="3" customFormat="1" ht="6.75" customHeight="1">
      <c r="A31" s="2"/>
    </row>
    <row r="32" spans="1:73" ht="13.5" customHeight="1" thickBot="1">
      <c r="B32" s="12" t="s">
        <v>39</v>
      </c>
      <c r="C32" s="12"/>
      <c r="D32" s="13">
        <v>18088.03</v>
      </c>
      <c r="E32" s="185">
        <f>+F32-D32</f>
        <v>18609.97</v>
      </c>
      <c r="F32" s="185">
        <v>36698</v>
      </c>
      <c r="G32" s="12"/>
      <c r="H32" s="57">
        <f>57774-F32</f>
        <v>21076</v>
      </c>
      <c r="I32" s="192">
        <f>J32-H32</f>
        <v>23586</v>
      </c>
      <c r="J32" s="192">
        <f>L32-F32</f>
        <v>44662</v>
      </c>
      <c r="K32" s="192"/>
      <c r="L32" s="192">
        <v>81360</v>
      </c>
      <c r="M32" s="12"/>
      <c r="N32" s="13">
        <v>23041</v>
      </c>
      <c r="O32" s="185">
        <f>+P32-N32</f>
        <v>22485</v>
      </c>
      <c r="P32" s="185">
        <v>45526</v>
      </c>
      <c r="Q32" s="12"/>
      <c r="R32" s="57">
        <f>-P32+66890</f>
        <v>21364</v>
      </c>
      <c r="S32" s="192">
        <f>T32-R32</f>
        <v>20488.179999999993</v>
      </c>
      <c r="T32" s="192">
        <f>V32-P32</f>
        <v>41852.179999999993</v>
      </c>
      <c r="U32" s="192"/>
      <c r="V32" s="192">
        <v>87378.18</v>
      </c>
      <c r="W32" s="12"/>
      <c r="X32" s="13">
        <v>26408.5</v>
      </c>
      <c r="Y32" s="185">
        <f>Z32-X32</f>
        <v>28015.5</v>
      </c>
      <c r="Z32" s="185">
        <v>54424</v>
      </c>
      <c r="AA32" s="12"/>
      <c r="AB32" s="57">
        <f>83436.33-Z32</f>
        <v>29012.33</v>
      </c>
      <c r="AC32" s="192">
        <f>AD32-AB32</f>
        <v>25388.67</v>
      </c>
      <c r="AD32" s="192">
        <f>AF32-Z32</f>
        <v>54401</v>
      </c>
      <c r="AE32" s="192"/>
      <c r="AF32" s="192">
        <v>108825</v>
      </c>
      <c r="AG32" s="12"/>
      <c r="AH32" s="13">
        <v>27737.97</v>
      </c>
      <c r="AI32" s="13">
        <v>30038.92</v>
      </c>
      <c r="AJ32" s="13">
        <v>57776.89</v>
      </c>
      <c r="AK32" s="12"/>
      <c r="AL32" s="57">
        <v>32259</v>
      </c>
      <c r="AM32" s="149">
        <v>34084.240000000005</v>
      </c>
      <c r="AN32" s="149">
        <v>66343.240000000005</v>
      </c>
      <c r="AO32" s="149"/>
      <c r="AP32" s="149">
        <v>124120.13</v>
      </c>
      <c r="AQ32" s="12"/>
      <c r="AR32" s="13">
        <v>25510.13</v>
      </c>
      <c r="AS32" s="13">
        <v>26381</v>
      </c>
      <c r="AT32" s="13">
        <v>51891.37</v>
      </c>
      <c r="AU32" s="12"/>
      <c r="AV32" s="57">
        <v>28655</v>
      </c>
      <c r="AW32" s="149">
        <f>AX32-AV32</f>
        <v>31648.370000000003</v>
      </c>
      <c r="AX32" s="149">
        <f>AZ32-AT32</f>
        <v>60303.37</v>
      </c>
      <c r="AY32" s="149"/>
      <c r="AZ32" s="149">
        <v>112194.74</v>
      </c>
      <c r="BA32" s="12"/>
      <c r="BB32" s="13">
        <v>24202.799999999999</v>
      </c>
      <c r="BC32" s="13">
        <v>26593.17</v>
      </c>
      <c r="BD32" s="13">
        <v>50795.97</v>
      </c>
      <c r="BE32" s="12"/>
      <c r="BF32" s="57">
        <f>77904.46-BD32</f>
        <v>27108.490000000005</v>
      </c>
      <c r="BG32" s="114">
        <f>29335</f>
        <v>29335</v>
      </c>
      <c r="BH32" s="114">
        <f>BJ32-BD32</f>
        <v>56442.92</v>
      </c>
      <c r="BI32" s="114"/>
      <c r="BJ32" s="114">
        <v>107238.89</v>
      </c>
      <c r="BM32" s="13">
        <v>22351.83</v>
      </c>
      <c r="BN32" s="13">
        <v>22962.82</v>
      </c>
      <c r="BO32" s="13">
        <v>45314.65</v>
      </c>
      <c r="BP32" s="12"/>
      <c r="BQ32" s="57">
        <v>24114.400000000001</v>
      </c>
      <c r="BR32" s="76">
        <v>26914.91</v>
      </c>
      <c r="BS32" s="76">
        <v>51029.31</v>
      </c>
      <c r="BT32" s="76"/>
      <c r="BU32" s="76">
        <v>96343.96</v>
      </c>
    </row>
    <row r="33" spans="1:73" ht="13.5" customHeight="1">
      <c r="B33" t="s">
        <v>40</v>
      </c>
      <c r="D33" s="16">
        <v>16422.71</v>
      </c>
      <c r="E33" s="186">
        <f t="shared" ref="E33:E45" si="0">+F33-D33</f>
        <v>16998.29</v>
      </c>
      <c r="F33" s="186">
        <v>33421</v>
      </c>
      <c r="H33" s="32">
        <f>51752-F33</f>
        <v>18331</v>
      </c>
      <c r="I33" s="193">
        <f t="shared" ref="I33:I45" si="1">J33-H33</f>
        <v>20738</v>
      </c>
      <c r="J33" s="193">
        <f t="shared" ref="J33:J45" si="2">L33-F33</f>
        <v>39069</v>
      </c>
      <c r="K33" s="25"/>
      <c r="L33" s="25">
        <v>72490</v>
      </c>
      <c r="N33" s="16">
        <v>20823</v>
      </c>
      <c r="O33" s="186">
        <f t="shared" ref="O33:O45" si="3">+P33-N33</f>
        <v>22346</v>
      </c>
      <c r="P33" s="186">
        <v>43169</v>
      </c>
      <c r="R33" s="32">
        <f>-P33+63418</f>
        <v>20249</v>
      </c>
      <c r="S33" s="193">
        <f t="shared" ref="S33:S45" si="4">T33-R33</f>
        <v>18807.72</v>
      </c>
      <c r="T33" s="193">
        <f t="shared" ref="T33:T45" si="5">V33-P33</f>
        <v>39056.720000000001</v>
      </c>
      <c r="U33" s="25"/>
      <c r="V33" s="25">
        <v>82225.72</v>
      </c>
      <c r="X33" s="16">
        <v>25043.78</v>
      </c>
      <c r="Y33" s="186">
        <f>Z33-X33</f>
        <v>26530.22</v>
      </c>
      <c r="Z33" s="186">
        <v>51574</v>
      </c>
      <c r="AB33" s="32">
        <f>81340.58-Z33</f>
        <v>29766.58</v>
      </c>
      <c r="AC33" s="193">
        <f t="shared" ref="AC33:AC45" si="6">AD33-AB33</f>
        <v>23988.550000000003</v>
      </c>
      <c r="AD33" s="193">
        <f t="shared" ref="AD33:AD45" si="7">AF33-Z33</f>
        <v>53755.130000000005</v>
      </c>
      <c r="AE33" s="25"/>
      <c r="AF33" s="25">
        <v>105329.13</v>
      </c>
      <c r="AH33" s="16">
        <v>25890.17</v>
      </c>
      <c r="AI33" s="16">
        <v>27835.22</v>
      </c>
      <c r="AJ33" s="16">
        <v>53725.39</v>
      </c>
      <c r="AL33" s="148">
        <v>30169.43</v>
      </c>
      <c r="AM33" s="151">
        <v>32481.510000000002</v>
      </c>
      <c r="AN33" s="151">
        <v>62650.94</v>
      </c>
      <c r="AO33" s="74"/>
      <c r="AP33" s="74">
        <v>116376.33</v>
      </c>
      <c r="AR33" s="16">
        <v>24950.62</v>
      </c>
      <c r="AS33" s="16">
        <v>24094</v>
      </c>
      <c r="AT33" s="16">
        <v>49044.81</v>
      </c>
      <c r="AV33" s="148">
        <f>75349.69-AT33</f>
        <v>26304.880000000005</v>
      </c>
      <c r="AW33" s="151">
        <f t="shared" ref="AW33:AW45" si="8">AX33-AV33</f>
        <v>28964.11</v>
      </c>
      <c r="AX33" s="151">
        <f t="shared" ref="AX33:AX45" si="9">AZ33-AT33</f>
        <v>55268.990000000005</v>
      </c>
      <c r="AY33" s="74"/>
      <c r="AZ33" s="74">
        <v>104313.8</v>
      </c>
      <c r="BB33" s="16">
        <v>21738.91</v>
      </c>
      <c r="BC33" s="16">
        <v>24667.33</v>
      </c>
      <c r="BD33" s="16">
        <v>46406.239999999998</v>
      </c>
      <c r="BF33" s="78">
        <f>71808.72-BD33</f>
        <v>25402.480000000003</v>
      </c>
      <c r="BG33" s="123">
        <f t="shared" ref="BG33:BG45" si="10">BH33-BF33</f>
        <v>26987.149999999994</v>
      </c>
      <c r="BH33" s="123">
        <f t="shared" ref="BH33:BH45" si="11">BJ33-BD33</f>
        <v>52389.63</v>
      </c>
      <c r="BI33" s="78"/>
      <c r="BJ33" s="78">
        <v>98795.87</v>
      </c>
      <c r="BM33" s="16">
        <v>20902.36</v>
      </c>
      <c r="BN33" s="16">
        <v>21323.22</v>
      </c>
      <c r="BO33" s="16">
        <v>42225.58</v>
      </c>
      <c r="BQ33" s="75">
        <v>21948.080000000002</v>
      </c>
      <c r="BR33" s="95">
        <v>23882.44</v>
      </c>
      <c r="BS33" s="95">
        <v>45830.52</v>
      </c>
      <c r="BT33" s="75"/>
      <c r="BU33" s="75">
        <v>88056.1</v>
      </c>
    </row>
    <row r="34" spans="1:73" ht="13.5" customHeight="1">
      <c r="B34" t="s">
        <v>41</v>
      </c>
      <c r="D34" s="16">
        <v>1665.3199999999997</v>
      </c>
      <c r="E34" s="186">
        <f t="shared" si="0"/>
        <v>1610.6800000000003</v>
      </c>
      <c r="F34" s="186">
        <v>3276</v>
      </c>
      <c r="H34" s="186">
        <f>6022-F34</f>
        <v>2746</v>
      </c>
      <c r="I34" s="25">
        <f t="shared" si="1"/>
        <v>2848</v>
      </c>
      <c r="J34" s="25">
        <f t="shared" si="2"/>
        <v>5594</v>
      </c>
      <c r="K34" s="25"/>
      <c r="L34" s="25">
        <v>8870</v>
      </c>
      <c r="N34" s="16">
        <v>2218</v>
      </c>
      <c r="O34" s="186">
        <f t="shared" si="3"/>
        <v>139</v>
      </c>
      <c r="P34" s="186">
        <v>2357</v>
      </c>
      <c r="R34" s="186">
        <f>-P34+3472</f>
        <v>1115</v>
      </c>
      <c r="S34" s="25">
        <f t="shared" si="4"/>
        <v>1680.46</v>
      </c>
      <c r="T34" s="25">
        <f t="shared" si="5"/>
        <v>2795.46</v>
      </c>
      <c r="U34" s="25"/>
      <c r="V34" s="25">
        <v>5152.46</v>
      </c>
      <c r="X34" s="16">
        <v>1364.72</v>
      </c>
      <c r="Y34" s="186">
        <f t="shared" ref="Y34:Y45" si="12">Z34-X34</f>
        <v>1485.28</v>
      </c>
      <c r="Z34" s="186">
        <v>2850</v>
      </c>
      <c r="AB34" s="186">
        <f>+AB32-AB33</f>
        <v>-754.25</v>
      </c>
      <c r="AC34" s="25">
        <f t="shared" si="6"/>
        <v>1399.7199999999998</v>
      </c>
      <c r="AD34" s="25">
        <f t="shared" si="7"/>
        <v>645.4699999999998</v>
      </c>
      <c r="AE34" s="25"/>
      <c r="AF34" s="25">
        <v>3495.47</v>
      </c>
      <c r="AH34" s="16">
        <v>1847.8</v>
      </c>
      <c r="AI34" s="16">
        <v>2203.6999999999998</v>
      </c>
      <c r="AJ34" s="16">
        <v>4051.5</v>
      </c>
      <c r="AL34" s="148">
        <v>2089.5700000000002</v>
      </c>
      <c r="AM34" s="74">
        <v>1602.7300000000027</v>
      </c>
      <c r="AN34" s="74">
        <v>3692.3000000000029</v>
      </c>
      <c r="AO34" s="74"/>
      <c r="AP34" s="74">
        <v>7743.8000000000029</v>
      </c>
      <c r="AR34" s="16">
        <v>559.51</v>
      </c>
      <c r="AS34" s="16">
        <v>2287</v>
      </c>
      <c r="AT34" s="16">
        <v>2846.56</v>
      </c>
      <c r="AV34" s="148">
        <f>5195.82-AT34</f>
        <v>2349.2599999999998</v>
      </c>
      <c r="AW34" s="74">
        <f t="shared" si="8"/>
        <v>2685.1199999999994</v>
      </c>
      <c r="AX34" s="74">
        <f t="shared" si="9"/>
        <v>5034.3799999999992</v>
      </c>
      <c r="AY34" s="74"/>
      <c r="AZ34" s="74">
        <v>7880.94</v>
      </c>
      <c r="BB34" s="16">
        <v>2463.89</v>
      </c>
      <c r="BC34" s="16">
        <v>1925.84</v>
      </c>
      <c r="BD34" s="16">
        <v>4389.7299999999996</v>
      </c>
      <c r="BF34" s="78">
        <f>6095.74-BD34</f>
        <v>1706.0100000000002</v>
      </c>
      <c r="BG34" s="97">
        <f t="shared" si="10"/>
        <v>2347.2800000000007</v>
      </c>
      <c r="BH34" s="97">
        <f t="shared" si="11"/>
        <v>4053.2900000000009</v>
      </c>
      <c r="BI34" s="78"/>
      <c r="BJ34" s="78">
        <v>8443.02</v>
      </c>
      <c r="BM34" s="16">
        <v>1449.47</v>
      </c>
      <c r="BN34" s="16">
        <v>1639.6</v>
      </c>
      <c r="BO34" s="16">
        <v>3089.07</v>
      </c>
      <c r="BQ34" s="75">
        <v>2166.3200000000002</v>
      </c>
      <c r="BR34" s="96">
        <v>3032.47</v>
      </c>
      <c r="BS34" s="96">
        <v>5198.79</v>
      </c>
      <c r="BT34" s="75"/>
      <c r="BU34" s="75">
        <v>8287.86</v>
      </c>
    </row>
    <row r="35" spans="1:73" ht="13.5" customHeight="1">
      <c r="B35" t="s">
        <v>42</v>
      </c>
      <c r="D35" s="16">
        <v>1398.28</v>
      </c>
      <c r="E35" s="186">
        <f t="shared" si="0"/>
        <v>1402.72</v>
      </c>
      <c r="F35" s="186">
        <v>2801</v>
      </c>
      <c r="H35" s="32">
        <f>4313-F35</f>
        <v>1512</v>
      </c>
      <c r="I35" s="25">
        <f t="shared" si="1"/>
        <v>1573</v>
      </c>
      <c r="J35" s="25">
        <f t="shared" si="2"/>
        <v>3085</v>
      </c>
      <c r="K35" s="25"/>
      <c r="L35" s="25">
        <v>5886</v>
      </c>
      <c r="N35" s="16">
        <v>1421</v>
      </c>
      <c r="O35" s="186">
        <f t="shared" si="3"/>
        <v>1390</v>
      </c>
      <c r="P35" s="186">
        <v>2811</v>
      </c>
      <c r="R35" s="32">
        <f>-P35+4265</f>
        <v>1454</v>
      </c>
      <c r="S35" s="25">
        <f t="shared" si="4"/>
        <v>1509.8000000000002</v>
      </c>
      <c r="T35" s="25">
        <f t="shared" si="5"/>
        <v>2963.8</v>
      </c>
      <c r="U35" s="25"/>
      <c r="V35" s="25">
        <v>5774.8</v>
      </c>
      <c r="X35" s="16">
        <v>1337.65</v>
      </c>
      <c r="Y35" s="186">
        <f t="shared" si="12"/>
        <v>1370.35</v>
      </c>
      <c r="Z35" s="186">
        <v>2708</v>
      </c>
      <c r="AB35" s="32">
        <f>4149.35-Z35</f>
        <v>1441.3500000000004</v>
      </c>
      <c r="AC35" s="25">
        <f t="shared" si="6"/>
        <v>1534.9699999999993</v>
      </c>
      <c r="AD35" s="25">
        <f t="shared" si="7"/>
        <v>2976.3199999999997</v>
      </c>
      <c r="AE35" s="25"/>
      <c r="AF35" s="25">
        <v>5684.32</v>
      </c>
      <c r="AH35" s="16">
        <v>1311.74</v>
      </c>
      <c r="AI35" s="16">
        <v>1345.47</v>
      </c>
      <c r="AJ35" s="16">
        <v>2657.21</v>
      </c>
      <c r="AL35" s="148">
        <v>1466.48</v>
      </c>
      <c r="AM35" s="74">
        <v>1483.5399999999995</v>
      </c>
      <c r="AN35" s="74">
        <v>2950.0199999999995</v>
      </c>
      <c r="AO35" s="74"/>
      <c r="AP35" s="74">
        <v>5607.23</v>
      </c>
      <c r="AR35" s="16">
        <v>1214.8599999999999</v>
      </c>
      <c r="AS35" s="16">
        <v>1258</v>
      </c>
      <c r="AT35" s="16">
        <v>2472.5500000000002</v>
      </c>
      <c r="AV35" s="148">
        <f>3845.71-AT35</f>
        <v>1373.1599999999999</v>
      </c>
      <c r="AW35" s="74">
        <f t="shared" si="8"/>
        <v>1520.5600000000004</v>
      </c>
      <c r="AX35" s="74">
        <f t="shared" si="9"/>
        <v>2893.7200000000003</v>
      </c>
      <c r="AY35" s="74"/>
      <c r="AZ35" s="74">
        <v>5366.27</v>
      </c>
      <c r="BB35" s="16">
        <v>1218.2</v>
      </c>
      <c r="BC35" s="16">
        <v>1219.03</v>
      </c>
      <c r="BD35" s="16">
        <v>2437.23</v>
      </c>
      <c r="BF35" s="78">
        <f>3750.38-BD35</f>
        <v>1313.15</v>
      </c>
      <c r="BG35" s="97">
        <f t="shared" si="10"/>
        <v>1414.1999999999998</v>
      </c>
      <c r="BH35" s="97">
        <f t="shared" si="11"/>
        <v>2727.35</v>
      </c>
      <c r="BI35" s="78"/>
      <c r="BJ35" s="78">
        <v>5164.58</v>
      </c>
      <c r="BM35" s="16">
        <v>1109.6400000000001</v>
      </c>
      <c r="BN35" s="16">
        <v>1215.6500000000001</v>
      </c>
      <c r="BO35" s="16">
        <v>2325.29</v>
      </c>
      <c r="BQ35" s="75">
        <v>1247.21</v>
      </c>
      <c r="BR35" s="96">
        <v>1371.34</v>
      </c>
      <c r="BS35" s="96">
        <v>2618.5500000000002</v>
      </c>
      <c r="BT35" s="75"/>
      <c r="BU35" s="75">
        <v>4943.84</v>
      </c>
    </row>
    <row r="36" spans="1:73" ht="13.5" customHeight="1" thickBot="1">
      <c r="B36" s="12" t="s">
        <v>43</v>
      </c>
      <c r="C36" s="12"/>
      <c r="D36" s="13">
        <v>267.03999999999974</v>
      </c>
      <c r="E36" s="187">
        <f t="shared" si="0"/>
        <v>207.96000000000026</v>
      </c>
      <c r="F36" s="185">
        <v>475</v>
      </c>
      <c r="G36" s="12"/>
      <c r="H36" s="187">
        <f>1709-F36</f>
        <v>1234</v>
      </c>
      <c r="I36" s="192">
        <f t="shared" si="1"/>
        <v>1275</v>
      </c>
      <c r="J36" s="192">
        <f t="shared" si="2"/>
        <v>2509</v>
      </c>
      <c r="K36" s="192"/>
      <c r="L36" s="192">
        <v>2984</v>
      </c>
      <c r="M36" s="12"/>
      <c r="N36" s="13">
        <v>797</v>
      </c>
      <c r="O36" s="187">
        <f t="shared" si="3"/>
        <v>-1252</v>
      </c>
      <c r="P36" s="185">
        <v>-455</v>
      </c>
      <c r="Q36" s="12"/>
      <c r="R36" s="187">
        <f>-P36+-793</f>
        <v>-338</v>
      </c>
      <c r="S36" s="192">
        <f t="shared" si="4"/>
        <v>170.65999999999997</v>
      </c>
      <c r="T36" s="192">
        <f t="shared" si="5"/>
        <v>-167.34000000000003</v>
      </c>
      <c r="U36" s="192"/>
      <c r="V36" s="192">
        <v>-622.34</v>
      </c>
      <c r="W36" s="12"/>
      <c r="X36" s="13">
        <v>27.07</v>
      </c>
      <c r="Y36" s="187">
        <f t="shared" si="12"/>
        <v>115.93</v>
      </c>
      <c r="Z36" s="185">
        <v>143</v>
      </c>
      <c r="AA36" s="12"/>
      <c r="AB36" s="187">
        <f>+AB34-AB35</f>
        <v>-2195.6000000000004</v>
      </c>
      <c r="AC36" s="192">
        <f t="shared" si="6"/>
        <v>-136.24999999999955</v>
      </c>
      <c r="AD36" s="192">
        <f t="shared" si="7"/>
        <v>-2331.85</v>
      </c>
      <c r="AE36" s="192"/>
      <c r="AF36" s="192">
        <v>-2188.85</v>
      </c>
      <c r="AG36" s="12"/>
      <c r="AH36" s="13">
        <v>536.05999999999995</v>
      </c>
      <c r="AI36" s="13">
        <v>858.23</v>
      </c>
      <c r="AJ36" s="13">
        <v>1394.29</v>
      </c>
      <c r="AK36" s="12"/>
      <c r="AL36" s="149">
        <v>623.09</v>
      </c>
      <c r="AM36" s="149">
        <v>119.19000000000335</v>
      </c>
      <c r="AN36" s="149">
        <v>742.28000000000338</v>
      </c>
      <c r="AO36" s="149"/>
      <c r="AP36" s="149">
        <v>2136.5700000000033</v>
      </c>
      <c r="AQ36" s="12"/>
      <c r="AR36" s="13">
        <v>-655.35</v>
      </c>
      <c r="AS36" s="13">
        <v>1029</v>
      </c>
      <c r="AT36" s="13">
        <v>374.01</v>
      </c>
      <c r="AU36" s="12"/>
      <c r="AV36" s="149">
        <f>1350.11-AT36</f>
        <v>976.09999999999991</v>
      </c>
      <c r="AW36" s="149">
        <f t="shared" si="8"/>
        <v>1164.56</v>
      </c>
      <c r="AX36" s="149">
        <f t="shared" si="9"/>
        <v>2140.66</v>
      </c>
      <c r="AY36" s="149"/>
      <c r="AZ36" s="149">
        <v>2514.67</v>
      </c>
      <c r="BA36" s="12"/>
      <c r="BB36" s="13">
        <v>1245.69</v>
      </c>
      <c r="BC36" s="13">
        <v>706.81</v>
      </c>
      <c r="BD36" s="13">
        <v>1952.5</v>
      </c>
      <c r="BE36" s="12"/>
      <c r="BF36" s="114">
        <f>2345.36-BD36</f>
        <v>392.86000000000013</v>
      </c>
      <c r="BG36" s="114">
        <f t="shared" si="10"/>
        <v>933.07999999999993</v>
      </c>
      <c r="BH36" s="114">
        <f t="shared" si="11"/>
        <v>1325.94</v>
      </c>
      <c r="BI36" s="114"/>
      <c r="BJ36" s="114">
        <v>3278.44</v>
      </c>
      <c r="BM36" s="13">
        <v>339.83000000000106</v>
      </c>
      <c r="BN36" s="13">
        <v>423.94999999999868</v>
      </c>
      <c r="BO36" s="13">
        <v>763.78</v>
      </c>
      <c r="BP36" s="12"/>
      <c r="BQ36" s="76">
        <v>919.11</v>
      </c>
      <c r="BR36" s="76">
        <v>1661.13</v>
      </c>
      <c r="BS36" s="76">
        <v>2580.2399999999998</v>
      </c>
      <c r="BT36" s="76"/>
      <c r="BU36" s="76">
        <v>3344.02</v>
      </c>
    </row>
    <row r="37" spans="1:73" ht="13.5" customHeight="1">
      <c r="B37" t="s">
        <v>44</v>
      </c>
      <c r="D37" s="16">
        <v>288.02</v>
      </c>
      <c r="E37" s="186">
        <f t="shared" si="0"/>
        <v>165.98000000000002</v>
      </c>
      <c r="F37" s="186">
        <v>454</v>
      </c>
      <c r="H37" s="32">
        <f>568-F37</f>
        <v>114</v>
      </c>
      <c r="I37" s="25">
        <f t="shared" si="1"/>
        <v>252</v>
      </c>
      <c r="J37" s="193">
        <f t="shared" si="2"/>
        <v>366</v>
      </c>
      <c r="K37" s="25"/>
      <c r="L37" s="25">
        <v>820</v>
      </c>
      <c r="N37" s="16">
        <v>307</v>
      </c>
      <c r="O37" s="186">
        <f t="shared" si="3"/>
        <v>106</v>
      </c>
      <c r="P37" s="186">
        <v>413</v>
      </c>
      <c r="R37" s="32">
        <f>-P37+607</f>
        <v>194</v>
      </c>
      <c r="S37" s="25">
        <f t="shared" si="4"/>
        <v>354.84000000000003</v>
      </c>
      <c r="T37" s="193">
        <f t="shared" si="5"/>
        <v>548.84</v>
      </c>
      <c r="U37" s="25"/>
      <c r="V37" s="25">
        <v>961.84</v>
      </c>
      <c r="X37" s="16">
        <v>233.04</v>
      </c>
      <c r="Y37" s="186">
        <f t="shared" si="12"/>
        <v>346.96000000000004</v>
      </c>
      <c r="Z37" s="186">
        <v>580</v>
      </c>
      <c r="AB37" s="32">
        <f>833.24-Z37</f>
        <v>253.24</v>
      </c>
      <c r="AC37" s="25">
        <f t="shared" si="6"/>
        <v>445.07999999999993</v>
      </c>
      <c r="AD37" s="193">
        <f t="shared" si="7"/>
        <v>698.31999999999994</v>
      </c>
      <c r="AE37" s="25"/>
      <c r="AF37" s="25">
        <v>1278.32</v>
      </c>
      <c r="AH37" s="16">
        <v>299.39</v>
      </c>
      <c r="AI37" s="16">
        <v>250.75</v>
      </c>
      <c r="AJ37" s="16">
        <v>550.14</v>
      </c>
      <c r="AL37" s="148">
        <v>298.81</v>
      </c>
      <c r="AM37" s="74">
        <v>441.68000000000012</v>
      </c>
      <c r="AN37" s="151">
        <v>740.49000000000012</v>
      </c>
      <c r="AO37" s="74"/>
      <c r="AP37" s="74">
        <v>1290.6300000000001</v>
      </c>
      <c r="AR37" s="16">
        <v>369.73</v>
      </c>
      <c r="AS37" s="16">
        <v>244</v>
      </c>
      <c r="AT37" s="16">
        <v>613.84</v>
      </c>
      <c r="AV37" s="148">
        <v>238</v>
      </c>
      <c r="AW37" s="74">
        <f t="shared" si="8"/>
        <v>386.81000000000006</v>
      </c>
      <c r="AX37" s="151">
        <f t="shared" si="9"/>
        <v>624.81000000000006</v>
      </c>
      <c r="AY37" s="74"/>
      <c r="AZ37" s="74">
        <v>1238.6500000000001</v>
      </c>
      <c r="BB37" s="16">
        <v>349.29</v>
      </c>
      <c r="BC37" s="16">
        <v>318.31</v>
      </c>
      <c r="BD37" s="16">
        <v>667.6</v>
      </c>
      <c r="BF37" s="78">
        <f>884.84-BD37</f>
        <v>217.24</v>
      </c>
      <c r="BG37" s="123">
        <f t="shared" si="10"/>
        <v>359.58000000000004</v>
      </c>
      <c r="BH37" s="123">
        <f t="shared" si="11"/>
        <v>576.82000000000005</v>
      </c>
      <c r="BI37" s="78"/>
      <c r="BJ37" s="97">
        <v>1244.42</v>
      </c>
      <c r="BM37" s="16">
        <v>361.01</v>
      </c>
      <c r="BN37" s="16">
        <v>239.04</v>
      </c>
      <c r="BO37" s="16">
        <v>600.04999999999995</v>
      </c>
      <c r="BQ37" s="75">
        <v>358.96</v>
      </c>
      <c r="BR37" s="96">
        <v>266.08999999999997</v>
      </c>
      <c r="BS37" s="95">
        <v>625.04999999999995</v>
      </c>
      <c r="BT37" s="75"/>
      <c r="BU37" s="97">
        <v>1225.0999999999999</v>
      </c>
    </row>
    <row r="38" spans="1:73" ht="13.5" customHeight="1">
      <c r="B38" t="s">
        <v>45</v>
      </c>
      <c r="D38" s="16">
        <v>129.84</v>
      </c>
      <c r="E38" s="186">
        <f t="shared" si="0"/>
        <v>89.16</v>
      </c>
      <c r="F38" s="186">
        <v>219</v>
      </c>
      <c r="H38" s="32">
        <f>363-F38</f>
        <v>144</v>
      </c>
      <c r="I38" s="25">
        <f t="shared" si="1"/>
        <v>105</v>
      </c>
      <c r="J38" s="25">
        <f t="shared" si="2"/>
        <v>249</v>
      </c>
      <c r="K38" s="25"/>
      <c r="L38" s="25">
        <v>468</v>
      </c>
      <c r="N38" s="16">
        <v>134</v>
      </c>
      <c r="O38" s="186">
        <f t="shared" si="3"/>
        <v>101</v>
      </c>
      <c r="P38" s="186">
        <v>235</v>
      </c>
      <c r="R38" s="32">
        <f>-P38+344</f>
        <v>109</v>
      </c>
      <c r="S38" s="25">
        <f t="shared" si="4"/>
        <v>81.579999999999984</v>
      </c>
      <c r="T38" s="25">
        <f t="shared" si="5"/>
        <v>190.57999999999998</v>
      </c>
      <c r="U38" s="25"/>
      <c r="V38" s="25">
        <v>425.58</v>
      </c>
      <c r="X38" s="16">
        <v>111.61</v>
      </c>
      <c r="Y38" s="186">
        <f t="shared" si="12"/>
        <v>191.39</v>
      </c>
      <c r="Z38" s="186">
        <v>303</v>
      </c>
      <c r="AB38" s="32">
        <f>494.35-Z38</f>
        <v>191.35000000000002</v>
      </c>
      <c r="AC38" s="25">
        <f t="shared" si="6"/>
        <v>96.649999999999977</v>
      </c>
      <c r="AD38" s="25">
        <f t="shared" si="7"/>
        <v>288</v>
      </c>
      <c r="AE38" s="25"/>
      <c r="AF38" s="25">
        <v>591</v>
      </c>
      <c r="AH38" s="16">
        <v>110.8</v>
      </c>
      <c r="AI38" s="16">
        <v>72.48</v>
      </c>
      <c r="AJ38" s="16">
        <v>183.28</v>
      </c>
      <c r="AL38" s="148">
        <v>124.04</v>
      </c>
      <c r="AM38" s="74">
        <v>96.590000000000018</v>
      </c>
      <c r="AN38" s="74">
        <v>220.63000000000002</v>
      </c>
      <c r="AO38" s="74"/>
      <c r="AP38" s="74">
        <v>403.91</v>
      </c>
      <c r="AR38" s="16">
        <v>97.24</v>
      </c>
      <c r="AS38" s="16">
        <v>94</v>
      </c>
      <c r="AT38" s="16">
        <v>191.67</v>
      </c>
      <c r="AV38" s="148">
        <f>324.39-AT38</f>
        <v>132.72</v>
      </c>
      <c r="AW38" s="74">
        <f t="shared" si="8"/>
        <v>145.92999999999998</v>
      </c>
      <c r="AX38" s="74">
        <f t="shared" si="9"/>
        <v>278.64999999999998</v>
      </c>
      <c r="AY38" s="74"/>
      <c r="AZ38" s="74">
        <v>470.32</v>
      </c>
      <c r="BB38" s="16">
        <v>143.52000000000001</v>
      </c>
      <c r="BC38" s="16">
        <v>89.78</v>
      </c>
      <c r="BD38" s="16">
        <v>233.3</v>
      </c>
      <c r="BF38" s="78">
        <f>353.45-BD38</f>
        <v>120.14999999999998</v>
      </c>
      <c r="BG38" s="97">
        <f t="shared" si="10"/>
        <v>91.759999999999991</v>
      </c>
      <c r="BH38" s="97">
        <f t="shared" si="11"/>
        <v>211.90999999999997</v>
      </c>
      <c r="BI38" s="78"/>
      <c r="BJ38" s="97">
        <v>445.21</v>
      </c>
      <c r="BM38" s="16">
        <v>109.59</v>
      </c>
      <c r="BN38" s="16">
        <v>102.96</v>
      </c>
      <c r="BO38" s="16">
        <v>212.55</v>
      </c>
      <c r="BQ38" s="75">
        <v>99.86</v>
      </c>
      <c r="BR38" s="96">
        <v>120.04</v>
      </c>
      <c r="BS38" s="96">
        <v>219.9</v>
      </c>
      <c r="BT38" s="75"/>
      <c r="BU38" s="97">
        <v>432.45</v>
      </c>
    </row>
    <row r="39" spans="1:73" ht="13.5" customHeight="1" thickBot="1">
      <c r="B39" s="12" t="s">
        <v>46</v>
      </c>
      <c r="C39" s="12"/>
      <c r="D39" s="13">
        <v>425.22</v>
      </c>
      <c r="E39" s="187">
        <f t="shared" si="0"/>
        <v>284.77999999999997</v>
      </c>
      <c r="F39" s="185">
        <v>710</v>
      </c>
      <c r="G39" s="12"/>
      <c r="H39" s="187">
        <f>1914-F39</f>
        <v>1204</v>
      </c>
      <c r="I39" s="192">
        <f t="shared" si="1"/>
        <v>1422</v>
      </c>
      <c r="J39" s="192">
        <f t="shared" si="2"/>
        <v>2626</v>
      </c>
      <c r="K39" s="192"/>
      <c r="L39" s="192">
        <v>3336</v>
      </c>
      <c r="M39" s="12"/>
      <c r="N39" s="13">
        <v>970</v>
      </c>
      <c r="O39" s="187">
        <f t="shared" si="3"/>
        <v>-1247</v>
      </c>
      <c r="P39" s="185">
        <v>-277</v>
      </c>
      <c r="Q39" s="12"/>
      <c r="R39" s="187">
        <f>-P39+-529</f>
        <v>-252</v>
      </c>
      <c r="S39" s="192">
        <f t="shared" si="4"/>
        <v>442.92</v>
      </c>
      <c r="T39" s="192">
        <f t="shared" si="5"/>
        <v>190.92000000000002</v>
      </c>
      <c r="U39" s="192"/>
      <c r="V39" s="192">
        <v>-86.08</v>
      </c>
      <c r="W39" s="12"/>
      <c r="X39" s="13">
        <v>148.5</v>
      </c>
      <c r="Y39" s="187">
        <f t="shared" si="12"/>
        <v>271.5</v>
      </c>
      <c r="Z39" s="185">
        <v>420</v>
      </c>
      <c r="AA39" s="12"/>
      <c r="AB39" s="187">
        <f>+AB36+AB37-AB38</f>
        <v>-2133.7100000000005</v>
      </c>
      <c r="AC39" s="192">
        <f t="shared" si="6"/>
        <v>212.57000000000039</v>
      </c>
      <c r="AD39" s="192">
        <f t="shared" si="7"/>
        <v>-1921.14</v>
      </c>
      <c r="AE39" s="192"/>
      <c r="AF39" s="192">
        <v>-1501.14</v>
      </c>
      <c r="AG39" s="12"/>
      <c r="AH39" s="13">
        <v>724.65</v>
      </c>
      <c r="AI39" s="13">
        <v>1036.5</v>
      </c>
      <c r="AJ39" s="13">
        <v>1761.15</v>
      </c>
      <c r="AK39" s="12"/>
      <c r="AL39" s="149">
        <v>797.86</v>
      </c>
      <c r="AM39" s="149">
        <v>464.2800000000035</v>
      </c>
      <c r="AN39" s="149">
        <v>1262.1400000000035</v>
      </c>
      <c r="AO39" s="149"/>
      <c r="AP39" s="149">
        <v>3023.2900000000036</v>
      </c>
      <c r="AQ39" s="12"/>
      <c r="AR39" s="13">
        <v>-382.86</v>
      </c>
      <c r="AS39" s="13">
        <v>1179</v>
      </c>
      <c r="AT39" s="13">
        <v>796.18</v>
      </c>
      <c r="AU39" s="12"/>
      <c r="AV39" s="149">
        <f>1878.03-AT39</f>
        <v>1081.8499999999999</v>
      </c>
      <c r="AW39" s="149">
        <f t="shared" si="8"/>
        <v>1404.9700000000003</v>
      </c>
      <c r="AX39" s="149">
        <f t="shared" si="9"/>
        <v>2486.8200000000002</v>
      </c>
      <c r="AY39" s="149"/>
      <c r="AZ39" s="149">
        <v>3283</v>
      </c>
      <c r="BA39" s="12"/>
      <c r="BB39" s="13">
        <v>1451.46</v>
      </c>
      <c r="BC39" s="13">
        <v>935.34</v>
      </c>
      <c r="BD39" s="13">
        <v>2386.8000000000002</v>
      </c>
      <c r="BE39" s="12"/>
      <c r="BF39" s="114">
        <f>2876.75-BD39</f>
        <v>489.94999999999982</v>
      </c>
      <c r="BG39" s="114">
        <f t="shared" si="10"/>
        <v>1200.9000000000001</v>
      </c>
      <c r="BH39" s="114">
        <f t="shared" si="11"/>
        <v>1690.85</v>
      </c>
      <c r="BI39" s="114"/>
      <c r="BJ39" s="114">
        <v>4077.65</v>
      </c>
      <c r="BM39" s="13">
        <v>591.25000000000102</v>
      </c>
      <c r="BN39" s="13">
        <v>560.02999999999861</v>
      </c>
      <c r="BO39" s="13">
        <v>1151.28</v>
      </c>
      <c r="BP39" s="12"/>
      <c r="BQ39" s="76">
        <v>1178.21</v>
      </c>
      <c r="BR39" s="76">
        <v>1807.18</v>
      </c>
      <c r="BS39" s="76">
        <v>2985.39</v>
      </c>
      <c r="BT39" s="76"/>
      <c r="BU39" s="76">
        <v>4136.67</v>
      </c>
    </row>
    <row r="40" spans="1:73" ht="13.5" customHeight="1">
      <c r="B40" t="s">
        <v>47</v>
      </c>
      <c r="D40" s="16">
        <v>16.79</v>
      </c>
      <c r="E40" s="186">
        <f t="shared" si="0"/>
        <v>24.21</v>
      </c>
      <c r="F40" s="186">
        <v>41</v>
      </c>
      <c r="H40" s="194">
        <f>127-F40</f>
        <v>86</v>
      </c>
      <c r="I40" s="193">
        <f t="shared" si="1"/>
        <v>221</v>
      </c>
      <c r="J40" s="193">
        <f t="shared" si="2"/>
        <v>307</v>
      </c>
      <c r="K40" s="25"/>
      <c r="L40" s="25">
        <v>348</v>
      </c>
      <c r="N40" s="16">
        <v>16</v>
      </c>
      <c r="O40" s="186">
        <f t="shared" si="3"/>
        <v>21</v>
      </c>
      <c r="P40" s="186">
        <v>37</v>
      </c>
      <c r="R40" s="194">
        <f>-P40+294</f>
        <v>257</v>
      </c>
      <c r="S40" s="193">
        <f t="shared" si="4"/>
        <v>152.23000000000002</v>
      </c>
      <c r="T40" s="193">
        <f t="shared" si="5"/>
        <v>409.23</v>
      </c>
      <c r="U40" s="25"/>
      <c r="V40" s="25">
        <v>446.23</v>
      </c>
      <c r="X40" s="16">
        <v>256.89</v>
      </c>
      <c r="Y40" s="186">
        <f t="shared" si="12"/>
        <v>14.110000000000014</v>
      </c>
      <c r="Z40" s="186">
        <v>271</v>
      </c>
      <c r="AB40" s="194">
        <f>283.87-Z40</f>
        <v>12.870000000000005</v>
      </c>
      <c r="AC40" s="193">
        <f t="shared" si="6"/>
        <v>312.11</v>
      </c>
      <c r="AD40" s="193">
        <f t="shared" si="7"/>
        <v>324.98</v>
      </c>
      <c r="AE40" s="25"/>
      <c r="AF40" s="25">
        <v>595.98</v>
      </c>
      <c r="AH40" s="16">
        <v>86.41</v>
      </c>
      <c r="AI40" s="16">
        <v>11.049999999999997</v>
      </c>
      <c r="AJ40" s="16">
        <v>97.46</v>
      </c>
      <c r="AL40" s="148">
        <v>53.59</v>
      </c>
      <c r="AM40" s="151">
        <v>16.810000000000016</v>
      </c>
      <c r="AN40" s="151">
        <v>70.40000000000002</v>
      </c>
      <c r="AO40" s="74"/>
      <c r="AP40" s="74">
        <v>167.86</v>
      </c>
      <c r="AR40" s="16">
        <v>30.19</v>
      </c>
      <c r="AS40" s="16">
        <v>11</v>
      </c>
      <c r="AT40" s="16">
        <v>40.78</v>
      </c>
      <c r="AV40" s="148">
        <f>64.4-AT40</f>
        <v>23.620000000000005</v>
      </c>
      <c r="AW40" s="151">
        <f t="shared" si="8"/>
        <v>89.5</v>
      </c>
      <c r="AX40" s="151">
        <f t="shared" si="9"/>
        <v>113.12</v>
      </c>
      <c r="AY40" s="74"/>
      <c r="AZ40" s="74">
        <v>153.9</v>
      </c>
      <c r="BB40" s="16">
        <v>171.36</v>
      </c>
      <c r="BC40" s="16">
        <v>5.0299999999999727</v>
      </c>
      <c r="BD40" s="16">
        <v>176.39</v>
      </c>
      <c r="BF40" s="78">
        <f>216.69-BD40</f>
        <v>40.300000000000011</v>
      </c>
      <c r="BG40" s="123">
        <f t="shared" si="10"/>
        <v>158.51</v>
      </c>
      <c r="BH40" s="123">
        <f t="shared" si="11"/>
        <v>198.81</v>
      </c>
      <c r="BI40" s="78"/>
      <c r="BJ40" s="97">
        <v>375.2</v>
      </c>
      <c r="BM40" s="16">
        <v>2421.4</v>
      </c>
      <c r="BN40" s="16">
        <v>25.549999999999727</v>
      </c>
      <c r="BO40" s="16">
        <v>2446.9499999999998</v>
      </c>
      <c r="BQ40" s="75">
        <v>41.5300000000002</v>
      </c>
      <c r="BR40" s="95">
        <v>87.690000000000055</v>
      </c>
      <c r="BS40" s="95">
        <v>129.22</v>
      </c>
      <c r="BT40" s="75"/>
      <c r="BU40" s="97">
        <v>2576.17</v>
      </c>
    </row>
    <row r="41" spans="1:73" ht="13.5" customHeight="1">
      <c r="B41" t="s">
        <v>48</v>
      </c>
      <c r="D41" s="16">
        <v>135.74</v>
      </c>
      <c r="E41" s="186">
        <f t="shared" si="0"/>
        <v>144.26</v>
      </c>
      <c r="F41" s="186">
        <v>280</v>
      </c>
      <c r="H41" s="32">
        <f>371-F41</f>
        <v>91</v>
      </c>
      <c r="I41" s="25">
        <f t="shared" si="1"/>
        <v>533</v>
      </c>
      <c r="J41" s="25">
        <f t="shared" si="2"/>
        <v>624</v>
      </c>
      <c r="K41" s="25"/>
      <c r="L41" s="25">
        <v>904</v>
      </c>
      <c r="N41" s="16">
        <v>57</v>
      </c>
      <c r="O41" s="186">
        <f t="shared" si="3"/>
        <v>115</v>
      </c>
      <c r="P41" s="186">
        <v>172</v>
      </c>
      <c r="R41" s="32">
        <f>-P41+1170</f>
        <v>998</v>
      </c>
      <c r="S41" s="25">
        <f t="shared" si="4"/>
        <v>2489.9899999999998</v>
      </c>
      <c r="T41" s="25">
        <f t="shared" si="5"/>
        <v>3487.99</v>
      </c>
      <c r="U41" s="25"/>
      <c r="V41" s="25">
        <v>3659.99</v>
      </c>
      <c r="X41" s="16">
        <v>101.48</v>
      </c>
      <c r="Y41" s="186">
        <f t="shared" si="12"/>
        <v>228.51999999999998</v>
      </c>
      <c r="Z41" s="186">
        <v>330</v>
      </c>
      <c r="AB41" s="32">
        <f>470.62-Z41</f>
        <v>140.62</v>
      </c>
      <c r="AC41" s="25">
        <f t="shared" si="6"/>
        <v>1174.3800000000001</v>
      </c>
      <c r="AD41" s="25">
        <f t="shared" si="7"/>
        <v>1315</v>
      </c>
      <c r="AE41" s="25"/>
      <c r="AF41" s="25">
        <v>1645</v>
      </c>
      <c r="AH41" s="16">
        <v>80.349999999999994</v>
      </c>
      <c r="AI41" s="16">
        <v>86.91</v>
      </c>
      <c r="AJ41" s="16">
        <v>167.26</v>
      </c>
      <c r="AL41" s="148">
        <v>66.05</v>
      </c>
      <c r="AM41" s="74">
        <v>754.53000000000009</v>
      </c>
      <c r="AN41" s="74">
        <v>820.58</v>
      </c>
      <c r="AO41" s="74"/>
      <c r="AP41" s="74">
        <v>987.84</v>
      </c>
      <c r="AR41" s="16">
        <v>78.989999999999995</v>
      </c>
      <c r="AS41" s="16">
        <v>70</v>
      </c>
      <c r="AT41" s="16">
        <v>149.11000000000001</v>
      </c>
      <c r="AV41" s="148">
        <f>179.99-AT41</f>
        <v>30.879999999999995</v>
      </c>
      <c r="AW41" s="74">
        <f t="shared" si="8"/>
        <v>536.51</v>
      </c>
      <c r="AX41" s="74">
        <f t="shared" si="9"/>
        <v>567.39</v>
      </c>
      <c r="AY41" s="74"/>
      <c r="AZ41" s="74">
        <v>716.5</v>
      </c>
      <c r="BB41" s="16">
        <v>209.47</v>
      </c>
      <c r="BC41" s="16">
        <v>60.26</v>
      </c>
      <c r="BD41" s="16">
        <v>269.73</v>
      </c>
      <c r="BF41" s="78">
        <f>339.24-BD41</f>
        <v>69.509999999999991</v>
      </c>
      <c r="BG41" s="97">
        <f t="shared" si="10"/>
        <v>568.54</v>
      </c>
      <c r="BH41" s="97">
        <f t="shared" si="11"/>
        <v>638.04999999999995</v>
      </c>
      <c r="BI41" s="78"/>
      <c r="BJ41" s="97">
        <v>907.78</v>
      </c>
      <c r="BM41" s="16">
        <v>135.52000000000001</v>
      </c>
      <c r="BN41" s="16">
        <v>86.04</v>
      </c>
      <c r="BO41" s="16">
        <v>221.56</v>
      </c>
      <c r="BQ41" s="75">
        <v>430.79</v>
      </c>
      <c r="BR41" s="96">
        <v>1988.26</v>
      </c>
      <c r="BS41" s="96">
        <v>2419.0500000000002</v>
      </c>
      <c r="BT41" s="75"/>
      <c r="BU41" s="97">
        <v>2640.61</v>
      </c>
    </row>
    <row r="42" spans="1:73" ht="13.5" customHeight="1" thickBot="1">
      <c r="B42" s="12" t="s">
        <v>49</v>
      </c>
      <c r="C42" s="12"/>
      <c r="D42" s="13">
        <v>306.27</v>
      </c>
      <c r="E42" s="187">
        <f t="shared" si="0"/>
        <v>164.73000000000002</v>
      </c>
      <c r="F42" s="185">
        <v>471</v>
      </c>
      <c r="G42" s="12"/>
      <c r="H42" s="187">
        <f>1670-F42</f>
        <v>1199</v>
      </c>
      <c r="I42" s="13">
        <f t="shared" si="1"/>
        <v>1110</v>
      </c>
      <c r="J42" s="192">
        <f t="shared" si="2"/>
        <v>2309</v>
      </c>
      <c r="K42" s="192"/>
      <c r="L42" s="192">
        <v>2780</v>
      </c>
      <c r="M42" s="12"/>
      <c r="N42" s="13">
        <v>929</v>
      </c>
      <c r="O42" s="187">
        <f t="shared" si="3"/>
        <v>-1340</v>
      </c>
      <c r="P42" s="185">
        <v>-411</v>
      </c>
      <c r="Q42" s="12"/>
      <c r="R42" s="187">
        <f>-P42+-1405</f>
        <v>-994</v>
      </c>
      <c r="S42" s="13">
        <f t="shared" si="4"/>
        <v>-1894.8400000000001</v>
      </c>
      <c r="T42" s="192">
        <f t="shared" si="5"/>
        <v>-2888.84</v>
      </c>
      <c r="U42" s="192"/>
      <c r="V42" s="192">
        <v>-3299.84</v>
      </c>
      <c r="W42" s="12"/>
      <c r="X42" s="13">
        <v>303.91000000000003</v>
      </c>
      <c r="Y42" s="187">
        <f t="shared" si="12"/>
        <v>57.089999999999975</v>
      </c>
      <c r="Z42" s="185">
        <v>361</v>
      </c>
      <c r="AA42" s="12"/>
      <c r="AB42" s="187">
        <f>+AB39+AB40-AB41</f>
        <v>-2261.4600000000005</v>
      </c>
      <c r="AC42" s="13">
        <f t="shared" si="6"/>
        <v>-649.55999999999949</v>
      </c>
      <c r="AD42" s="192">
        <f t="shared" si="7"/>
        <v>-2911.02</v>
      </c>
      <c r="AE42" s="192"/>
      <c r="AF42" s="192">
        <v>-2550.02</v>
      </c>
      <c r="AG42" s="12"/>
      <c r="AH42" s="13">
        <v>730.71</v>
      </c>
      <c r="AI42" s="13">
        <v>960.63999999999987</v>
      </c>
      <c r="AJ42" s="13">
        <v>1691.35</v>
      </c>
      <c r="AK42" s="12"/>
      <c r="AL42" s="149">
        <v>785</v>
      </c>
      <c r="AM42" s="13">
        <v>-273.03999999999633</v>
      </c>
      <c r="AN42" s="149">
        <v>511.96000000000367</v>
      </c>
      <c r="AO42" s="149"/>
      <c r="AP42" s="149">
        <v>2203.3100000000036</v>
      </c>
      <c r="AQ42" s="12"/>
      <c r="AR42" s="13">
        <v>-431.66</v>
      </c>
      <c r="AS42" s="13">
        <v>1120</v>
      </c>
      <c r="AT42" s="13">
        <v>687.85</v>
      </c>
      <c r="AU42" s="12"/>
      <c r="AV42" s="149">
        <f>1762.44-AT42</f>
        <v>1074.5900000000001</v>
      </c>
      <c r="AW42" s="13">
        <f t="shared" si="8"/>
        <v>957.96</v>
      </c>
      <c r="AX42" s="149">
        <f t="shared" si="9"/>
        <v>2032.5500000000002</v>
      </c>
      <c r="AY42" s="149"/>
      <c r="AZ42" s="149">
        <v>2720.4</v>
      </c>
      <c r="BA42" s="12"/>
      <c r="BB42" s="13">
        <v>1413.35</v>
      </c>
      <c r="BC42" s="13">
        <v>880.11</v>
      </c>
      <c r="BD42" s="13">
        <v>2293.46</v>
      </c>
      <c r="BE42" s="12"/>
      <c r="BF42" s="114">
        <f>2754.2-BD42</f>
        <v>460.73999999999978</v>
      </c>
      <c r="BG42" s="114">
        <f t="shared" si="10"/>
        <v>790.87000000000035</v>
      </c>
      <c r="BH42" s="114">
        <f t="shared" si="11"/>
        <v>1251.6100000000001</v>
      </c>
      <c r="BI42" s="114"/>
      <c r="BJ42" s="114">
        <v>3545.07</v>
      </c>
      <c r="BM42" s="13">
        <v>2877.13</v>
      </c>
      <c r="BN42" s="13">
        <v>499.53999999999837</v>
      </c>
      <c r="BO42" s="13">
        <v>3376.67</v>
      </c>
      <c r="BP42" s="12"/>
      <c r="BQ42" s="76">
        <v>788.95</v>
      </c>
      <c r="BR42" s="53">
        <v>-93.389999999999873</v>
      </c>
      <c r="BS42" s="76">
        <v>695.56</v>
      </c>
      <c r="BT42" s="76"/>
      <c r="BU42" s="76">
        <v>4072.23</v>
      </c>
    </row>
    <row r="43" spans="1:73" ht="13.5" customHeight="1">
      <c r="B43" s="21" t="s">
        <v>127</v>
      </c>
      <c r="D43" s="16">
        <v>35.51</v>
      </c>
      <c r="E43" s="186">
        <f t="shared" si="0"/>
        <v>185.49</v>
      </c>
      <c r="F43" s="186">
        <v>221</v>
      </c>
      <c r="H43" s="186">
        <f>645-F43</f>
        <v>424</v>
      </c>
      <c r="I43" s="25">
        <f t="shared" si="1"/>
        <v>321</v>
      </c>
      <c r="J43" s="193">
        <f t="shared" si="2"/>
        <v>745</v>
      </c>
      <c r="K43" s="25"/>
      <c r="L43" s="25">
        <v>966</v>
      </c>
      <c r="N43" s="16">
        <v>324</v>
      </c>
      <c r="O43" s="186">
        <f t="shared" si="3"/>
        <v>-280</v>
      </c>
      <c r="P43" s="186">
        <v>44</v>
      </c>
      <c r="R43" s="186">
        <f>-P43+100</f>
        <v>56</v>
      </c>
      <c r="S43" s="25">
        <f t="shared" si="4"/>
        <v>-271.09000000000003</v>
      </c>
      <c r="T43" s="193">
        <f t="shared" si="5"/>
        <v>-215.09</v>
      </c>
      <c r="U43" s="25"/>
      <c r="V43" s="25">
        <v>-171.09</v>
      </c>
      <c r="X43" s="16">
        <v>119.38</v>
      </c>
      <c r="Y43" s="186">
        <f t="shared" si="12"/>
        <v>4.6200000000000045</v>
      </c>
      <c r="Z43" s="186">
        <v>124</v>
      </c>
      <c r="AB43" s="186">
        <f>-548.48-Z43</f>
        <v>-672.48</v>
      </c>
      <c r="AC43" s="25">
        <f t="shared" si="6"/>
        <v>898.16000000000008</v>
      </c>
      <c r="AD43" s="193">
        <f t="shared" si="7"/>
        <v>225.68</v>
      </c>
      <c r="AE43" s="25"/>
      <c r="AF43" s="25">
        <v>349.68</v>
      </c>
      <c r="AH43" s="16">
        <v>320.08</v>
      </c>
      <c r="AI43" s="16">
        <v>336.83</v>
      </c>
      <c r="AJ43" s="16">
        <v>656.91</v>
      </c>
      <c r="AL43" s="148">
        <v>252.02</v>
      </c>
      <c r="AM43" s="74">
        <v>32.830000000000013</v>
      </c>
      <c r="AN43" s="151">
        <v>284.85000000000002</v>
      </c>
      <c r="AO43" s="74"/>
      <c r="AP43" s="74">
        <v>941.76</v>
      </c>
      <c r="AR43" s="16">
        <v>-106.91</v>
      </c>
      <c r="AS43" s="16">
        <v>403</v>
      </c>
      <c r="AT43" s="16">
        <v>296.37</v>
      </c>
      <c r="AV43" s="148">
        <f>608.5-AT43</f>
        <v>312.13</v>
      </c>
      <c r="AW43" s="74">
        <f t="shared" si="8"/>
        <v>201.29999999999995</v>
      </c>
      <c r="AX43" s="151">
        <f t="shared" si="9"/>
        <v>513.42999999999995</v>
      </c>
      <c r="AY43" s="74"/>
      <c r="AZ43" s="74">
        <v>809.8</v>
      </c>
      <c r="BB43" s="16">
        <v>565.14</v>
      </c>
      <c r="BC43" s="16">
        <v>298.08999999999997</v>
      </c>
      <c r="BD43" s="16">
        <v>863.23</v>
      </c>
      <c r="BF43" s="78">
        <f>942.18-BD43</f>
        <v>78.949999999999932</v>
      </c>
      <c r="BG43" s="123">
        <f t="shared" si="10"/>
        <v>538.54000000000008</v>
      </c>
      <c r="BH43" s="123">
        <f t="shared" si="11"/>
        <v>617.49</v>
      </c>
      <c r="BI43" s="78"/>
      <c r="BJ43" s="97">
        <v>1480.72</v>
      </c>
      <c r="BM43" s="16">
        <v>175.78</v>
      </c>
      <c r="BN43" s="16">
        <v>207.68</v>
      </c>
      <c r="BO43" s="16">
        <v>383.46</v>
      </c>
      <c r="BQ43" s="75">
        <v>283.31</v>
      </c>
      <c r="BR43" s="96">
        <v>28.23</v>
      </c>
      <c r="BS43" s="95">
        <v>311.54000000000002</v>
      </c>
      <c r="BT43" s="75"/>
      <c r="BU43" s="97">
        <v>695</v>
      </c>
    </row>
    <row r="44" spans="1:73" ht="13.5" customHeight="1">
      <c r="B44" t="s">
        <v>128</v>
      </c>
      <c r="D44" s="16">
        <v>18.43</v>
      </c>
      <c r="E44" s="186">
        <f t="shared" si="0"/>
        <v>-22.43</v>
      </c>
      <c r="F44" s="186">
        <v>-4</v>
      </c>
      <c r="H44" s="186">
        <f>79-F44</f>
        <v>83</v>
      </c>
      <c r="I44" s="112">
        <f t="shared" si="1"/>
        <v>134</v>
      </c>
      <c r="J44" s="25">
        <f t="shared" si="2"/>
        <v>217</v>
      </c>
      <c r="K44" s="25"/>
      <c r="L44" s="25">
        <v>213</v>
      </c>
      <c r="N44" s="16">
        <v>72</v>
      </c>
      <c r="O44" s="186">
        <f t="shared" si="3"/>
        <v>-78</v>
      </c>
      <c r="P44" s="186">
        <v>-6</v>
      </c>
      <c r="R44" s="186">
        <f>-P44+-371</f>
        <v>-365</v>
      </c>
      <c r="S44" s="112">
        <f t="shared" si="4"/>
        <v>27.350000000000023</v>
      </c>
      <c r="T44" s="25">
        <f t="shared" si="5"/>
        <v>-337.65</v>
      </c>
      <c r="U44" s="25"/>
      <c r="V44" s="25">
        <v>-343.65</v>
      </c>
      <c r="X44" s="16">
        <v>42.96</v>
      </c>
      <c r="Y44" s="186">
        <f t="shared" si="12"/>
        <v>17.04</v>
      </c>
      <c r="Z44" s="186">
        <v>60</v>
      </c>
      <c r="AB44" s="186">
        <f>-12.83-Z44</f>
        <v>-72.83</v>
      </c>
      <c r="AC44" s="112">
        <f t="shared" si="6"/>
        <v>-114.74999999999999</v>
      </c>
      <c r="AD44" s="25">
        <f t="shared" si="7"/>
        <v>-187.57999999999998</v>
      </c>
      <c r="AE44" s="25"/>
      <c r="AF44" s="25">
        <v>-127.58</v>
      </c>
      <c r="AH44" s="16">
        <v>53.92</v>
      </c>
      <c r="AI44" s="16">
        <v>83.46</v>
      </c>
      <c r="AJ44" s="16">
        <v>137.38</v>
      </c>
      <c r="AL44" s="148">
        <v>111.65</v>
      </c>
      <c r="AM44" s="112">
        <v>-57.900000000000006</v>
      </c>
      <c r="AN44" s="74">
        <v>53.75</v>
      </c>
      <c r="AO44" s="74"/>
      <c r="AP44" s="74">
        <v>191.13</v>
      </c>
      <c r="AR44" s="16">
        <v>4.16</v>
      </c>
      <c r="AS44" s="16">
        <v>119</v>
      </c>
      <c r="AT44" s="16">
        <v>123.06</v>
      </c>
      <c r="AV44" s="148">
        <f>234.87-AT44</f>
        <v>111.81</v>
      </c>
      <c r="AW44" s="74">
        <f t="shared" si="8"/>
        <v>80.95999999999998</v>
      </c>
      <c r="AX44" s="74">
        <f t="shared" si="9"/>
        <v>192.76999999999998</v>
      </c>
      <c r="AY44" s="74"/>
      <c r="AZ44" s="74">
        <v>315.83</v>
      </c>
      <c r="BB44" s="16">
        <v>79.81</v>
      </c>
      <c r="BC44" s="16">
        <v>83.32</v>
      </c>
      <c r="BD44" s="16">
        <v>163.13</v>
      </c>
      <c r="BF44" s="78">
        <f>224.25-BD44</f>
        <v>61.120000000000005</v>
      </c>
      <c r="BG44" s="97">
        <f t="shared" si="10"/>
        <v>134.14999999999998</v>
      </c>
      <c r="BH44" s="97">
        <f t="shared" si="11"/>
        <v>195.26999999999998</v>
      </c>
      <c r="BI44" s="78"/>
      <c r="BJ44" s="97">
        <v>358.4</v>
      </c>
      <c r="BM44" s="16">
        <v>79.78</v>
      </c>
      <c r="BN44" s="16">
        <v>46.15</v>
      </c>
      <c r="BO44" s="16">
        <v>125.93</v>
      </c>
      <c r="BQ44" s="75">
        <v>99.45</v>
      </c>
      <c r="BR44" s="96">
        <v>34.49</v>
      </c>
      <c r="BS44" s="96">
        <v>133.94</v>
      </c>
      <c r="BT44" s="75"/>
      <c r="BU44" s="97">
        <v>259.87</v>
      </c>
    </row>
    <row r="45" spans="1:73" ht="13.5" customHeight="1" thickBot="1">
      <c r="B45" s="22" t="s">
        <v>129</v>
      </c>
      <c r="C45" s="22"/>
      <c r="D45" s="23">
        <v>252.32999999999998</v>
      </c>
      <c r="E45" s="188">
        <f t="shared" si="0"/>
        <v>1.6700000000000159</v>
      </c>
      <c r="F45" s="189">
        <v>254</v>
      </c>
      <c r="G45" s="22"/>
      <c r="H45" s="188">
        <f>945-F45</f>
        <v>691</v>
      </c>
      <c r="I45" s="163">
        <f t="shared" si="1"/>
        <v>656</v>
      </c>
      <c r="J45" s="195">
        <f t="shared" si="2"/>
        <v>1347</v>
      </c>
      <c r="K45" s="195"/>
      <c r="L45" s="195">
        <v>1601</v>
      </c>
      <c r="M45" s="22"/>
      <c r="N45" s="23">
        <v>533</v>
      </c>
      <c r="O45" s="188">
        <f t="shared" si="3"/>
        <v>-982</v>
      </c>
      <c r="P45" s="189">
        <v>-449</v>
      </c>
      <c r="Q45" s="22"/>
      <c r="R45" s="188">
        <f>-P45+-1134</f>
        <v>-685</v>
      </c>
      <c r="S45" s="163">
        <f t="shared" si="4"/>
        <v>-1651.1</v>
      </c>
      <c r="T45" s="195">
        <f t="shared" si="5"/>
        <v>-2336.1</v>
      </c>
      <c r="U45" s="195"/>
      <c r="V45" s="195">
        <v>-2785.1</v>
      </c>
      <c r="W45" s="22"/>
      <c r="X45" s="23">
        <v>141.57</v>
      </c>
      <c r="Y45" s="188">
        <f t="shared" si="12"/>
        <v>35.430000000000007</v>
      </c>
      <c r="Z45" s="189">
        <v>177</v>
      </c>
      <c r="AA45" s="22"/>
      <c r="AB45" s="188">
        <f>+AB42-AB43-AB44</f>
        <v>-1516.1500000000005</v>
      </c>
      <c r="AC45" s="163">
        <f t="shared" si="6"/>
        <v>-1432.9699999999993</v>
      </c>
      <c r="AD45" s="195">
        <f t="shared" si="7"/>
        <v>-2949.12</v>
      </c>
      <c r="AE45" s="195"/>
      <c r="AF45" s="195">
        <v>-2772.12</v>
      </c>
      <c r="AG45" s="22"/>
      <c r="AH45" s="23">
        <v>356.71</v>
      </c>
      <c r="AI45" s="23">
        <v>540.34999999999991</v>
      </c>
      <c r="AJ45" s="23">
        <v>897.06</v>
      </c>
      <c r="AK45" s="22"/>
      <c r="AL45" s="150">
        <v>421.73</v>
      </c>
      <c r="AM45" s="163">
        <v>-248.36999999999625</v>
      </c>
      <c r="AN45" s="164">
        <v>173.36000000000377</v>
      </c>
      <c r="AO45" s="164"/>
      <c r="AP45" s="164">
        <v>1070.4200000000037</v>
      </c>
      <c r="AQ45" s="22"/>
      <c r="AR45" s="23">
        <v>-328.91</v>
      </c>
      <c r="AS45" s="23">
        <v>597</v>
      </c>
      <c r="AT45" s="23">
        <v>268.42</v>
      </c>
      <c r="AU45" s="22"/>
      <c r="AV45" s="150">
        <f>919.07-AT45</f>
        <v>650.65000000000009</v>
      </c>
      <c r="AW45" s="163">
        <f t="shared" si="8"/>
        <v>675.69999999999982</v>
      </c>
      <c r="AX45" s="164">
        <f t="shared" si="9"/>
        <v>1326.35</v>
      </c>
      <c r="AY45" s="164"/>
      <c r="AZ45" s="164">
        <v>1594.77</v>
      </c>
      <c r="BA45" s="22"/>
      <c r="BB45" s="23">
        <v>768.4</v>
      </c>
      <c r="BC45" s="23">
        <v>498.7</v>
      </c>
      <c r="BD45" s="23">
        <v>1267.0999999999999</v>
      </c>
      <c r="BE45" s="22"/>
      <c r="BF45" s="115">
        <f>1587.77-BD45</f>
        <v>320.67000000000007</v>
      </c>
      <c r="BG45" s="114">
        <f t="shared" si="10"/>
        <v>118.18000000000006</v>
      </c>
      <c r="BH45" s="114">
        <f t="shared" si="11"/>
        <v>438.85000000000014</v>
      </c>
      <c r="BI45" s="115"/>
      <c r="BJ45" s="115">
        <v>1705.95</v>
      </c>
      <c r="BM45" s="23">
        <v>2621.57</v>
      </c>
      <c r="BN45" s="23">
        <v>245.70999999999842</v>
      </c>
      <c r="BO45" s="23">
        <v>2867.28</v>
      </c>
      <c r="BP45" s="22"/>
      <c r="BQ45" s="77">
        <v>406.19</v>
      </c>
      <c r="BR45" s="53">
        <v>-156.11000000000001</v>
      </c>
      <c r="BS45" s="76">
        <v>250.08</v>
      </c>
      <c r="BT45" s="77"/>
      <c r="BU45" s="77">
        <v>3117.36</v>
      </c>
    </row>
    <row r="46" spans="1:73" s="3" customFormat="1" ht="17.25" customHeight="1" thickTop="1">
      <c r="A46" s="2"/>
      <c r="D46" s="24"/>
      <c r="E46" s="24"/>
      <c r="F46" s="24"/>
      <c r="N46" s="24"/>
      <c r="O46" s="24"/>
      <c r="P46" s="24"/>
      <c r="X46" s="24"/>
      <c r="Y46" s="24"/>
      <c r="Z46" s="24"/>
      <c r="AH46" s="24"/>
      <c r="AI46" s="24"/>
      <c r="AJ46" s="24"/>
      <c r="AR46" s="24"/>
      <c r="AS46" s="24"/>
      <c r="AT46" s="24"/>
      <c r="BB46" s="24"/>
      <c r="BC46" s="24"/>
      <c r="BD46" s="24"/>
      <c r="BM46" s="24"/>
      <c r="BN46" s="24"/>
      <c r="BO46" s="24"/>
    </row>
    <row r="47" spans="1:73" s="3" customFormat="1" ht="16.2">
      <c r="A47" s="4" t="s">
        <v>50</v>
      </c>
    </row>
    <row r="48" spans="1:73">
      <c r="B48" t="s">
        <v>1</v>
      </c>
      <c r="D48" s="132" t="str">
        <f>D5</f>
        <v>2016年度　（2016年4月-2017年3月）</v>
      </c>
      <c r="E48" s="132"/>
      <c r="F48" s="132"/>
      <c r="G48" s="132"/>
      <c r="H48" s="132"/>
      <c r="I48" s="132"/>
      <c r="J48" s="132"/>
      <c r="K48" s="132"/>
      <c r="L48" s="132"/>
      <c r="N48" s="132" t="str">
        <f>N5</f>
        <v>2015年度　（2015年4月-2016年3月）</v>
      </c>
      <c r="O48" s="132"/>
      <c r="P48" s="132"/>
      <c r="Q48" s="132"/>
      <c r="R48" s="132"/>
      <c r="S48" s="132"/>
      <c r="T48" s="132"/>
      <c r="U48" s="132"/>
      <c r="V48" s="132"/>
      <c r="X48" s="173" t="str">
        <f>X5</f>
        <v>2014年度　（2014年4月-2015年3月）</v>
      </c>
      <c r="Y48" s="173"/>
      <c r="Z48" s="173"/>
      <c r="AA48" s="173"/>
      <c r="AB48" s="173"/>
      <c r="AC48" s="173"/>
      <c r="AD48" s="173"/>
      <c r="AE48" s="173"/>
      <c r="AF48" s="173"/>
      <c r="AH48" s="173" t="str">
        <f>AH5</f>
        <v>2013年度　（2013年4月-2014年3月）</v>
      </c>
      <c r="AI48" s="173"/>
      <c r="AJ48" s="173"/>
      <c r="AK48" s="173"/>
      <c r="AL48" s="173"/>
      <c r="AM48" s="173"/>
      <c r="AN48" s="173"/>
      <c r="AO48" s="173"/>
      <c r="AP48" s="173"/>
      <c r="AR48" s="173" t="s">
        <v>106</v>
      </c>
      <c r="AS48" s="173"/>
      <c r="AT48" s="173"/>
      <c r="AU48" s="173"/>
      <c r="AV48" s="173"/>
      <c r="AW48" s="173"/>
      <c r="AX48" s="173"/>
      <c r="AY48" s="173"/>
      <c r="AZ48" s="173"/>
      <c r="BB48" s="129" t="s">
        <v>101</v>
      </c>
      <c r="BC48" s="129"/>
      <c r="BD48" s="129"/>
      <c r="BE48" s="129"/>
      <c r="BF48" s="129"/>
      <c r="BG48" s="129"/>
      <c r="BH48" s="129"/>
      <c r="BI48" s="129"/>
      <c r="BJ48" s="129"/>
      <c r="BM48" s="105" t="s">
        <v>100</v>
      </c>
      <c r="BN48" s="105"/>
      <c r="BO48" s="105"/>
      <c r="BP48" s="105"/>
      <c r="BQ48" s="105"/>
      <c r="BR48" s="105"/>
      <c r="BS48" s="105"/>
      <c r="BT48" s="105"/>
      <c r="BU48" s="105"/>
    </row>
    <row r="49" spans="1:73" ht="3.75" customHeight="1">
      <c r="D49" s="5"/>
      <c r="E49" s="5"/>
      <c r="F49" s="5"/>
      <c r="G49" s="5"/>
      <c r="H49" s="5"/>
      <c r="I49" s="5"/>
      <c r="J49" s="5"/>
      <c r="K49" s="5"/>
      <c r="L49" s="132"/>
      <c r="N49" s="5"/>
      <c r="O49" s="5"/>
      <c r="P49" s="5"/>
      <c r="Q49" s="5"/>
      <c r="R49" s="5"/>
      <c r="S49" s="5"/>
      <c r="T49" s="5"/>
      <c r="U49" s="5"/>
      <c r="V49" s="132"/>
      <c r="X49" s="173"/>
      <c r="Y49" s="173"/>
      <c r="Z49" s="173"/>
      <c r="AA49" s="173"/>
      <c r="AB49" s="173"/>
      <c r="AC49" s="173"/>
      <c r="AD49" s="173"/>
      <c r="AE49" s="173"/>
      <c r="AF49" s="173"/>
      <c r="AH49" s="5"/>
      <c r="AI49" s="5"/>
      <c r="AJ49" s="5"/>
      <c r="AK49" s="5"/>
      <c r="AL49" s="5"/>
      <c r="AM49" s="5"/>
      <c r="AN49" s="5"/>
      <c r="AO49" s="5"/>
      <c r="AP49" s="173"/>
      <c r="AR49" s="5"/>
      <c r="AS49" s="5"/>
      <c r="AT49" s="5"/>
      <c r="AU49" s="5"/>
      <c r="AV49" s="5"/>
      <c r="AW49" s="5"/>
      <c r="AX49" s="5"/>
      <c r="AY49" s="5"/>
      <c r="AZ49" s="173"/>
      <c r="BB49" s="5"/>
      <c r="BC49" s="5"/>
      <c r="BD49" s="5"/>
      <c r="BE49" s="5"/>
      <c r="BF49" s="5"/>
      <c r="BG49" s="5"/>
      <c r="BH49" s="5"/>
      <c r="BI49" s="5"/>
      <c r="BJ49" s="129"/>
      <c r="BM49" s="5"/>
      <c r="BN49" s="5"/>
      <c r="BO49" s="5"/>
      <c r="BP49" s="5"/>
      <c r="BQ49" s="5"/>
      <c r="BR49" s="5"/>
      <c r="BS49" s="5"/>
      <c r="BT49" s="5"/>
      <c r="BU49" s="105"/>
    </row>
    <row r="50" spans="1:73">
      <c r="D50" s="6"/>
      <c r="E50" s="6"/>
      <c r="F50" s="7" t="s">
        <v>28</v>
      </c>
      <c r="H50" s="7"/>
      <c r="I50" s="7"/>
      <c r="J50" s="7" t="s">
        <v>29</v>
      </c>
      <c r="L50" s="133" t="s">
        <v>30</v>
      </c>
      <c r="N50" s="6"/>
      <c r="O50" s="6"/>
      <c r="P50" s="7" t="s">
        <v>28</v>
      </c>
      <c r="R50" s="7"/>
      <c r="S50" s="7"/>
      <c r="T50" s="7" t="s">
        <v>29</v>
      </c>
      <c r="V50" s="133" t="s">
        <v>30</v>
      </c>
      <c r="X50" s="6"/>
      <c r="Y50" s="6"/>
      <c r="Z50" s="7" t="s">
        <v>28</v>
      </c>
      <c r="AB50" s="7"/>
      <c r="AC50" s="7"/>
      <c r="AD50" s="7" t="s">
        <v>29</v>
      </c>
      <c r="AF50" s="174" t="s">
        <v>30</v>
      </c>
      <c r="AH50" s="6"/>
      <c r="AI50" s="6"/>
      <c r="AJ50" s="7" t="s">
        <v>28</v>
      </c>
      <c r="AL50" s="7"/>
      <c r="AM50" s="7"/>
      <c r="AN50" s="7" t="s">
        <v>29</v>
      </c>
      <c r="AP50" s="174" t="s">
        <v>30</v>
      </c>
      <c r="AR50" s="6"/>
      <c r="AS50" s="6"/>
      <c r="AT50" s="7" t="s">
        <v>28</v>
      </c>
      <c r="AV50" s="7"/>
      <c r="AW50" s="7"/>
      <c r="AX50" s="7" t="s">
        <v>29</v>
      </c>
      <c r="AZ50" s="174" t="s">
        <v>30</v>
      </c>
      <c r="BB50" s="6"/>
      <c r="BC50" s="6"/>
      <c r="BD50" s="7" t="s">
        <v>28</v>
      </c>
      <c r="BF50" s="7"/>
      <c r="BG50" s="7"/>
      <c r="BH50" s="7" t="s">
        <v>29</v>
      </c>
      <c r="BJ50" s="130" t="s">
        <v>30</v>
      </c>
      <c r="BM50" s="6"/>
      <c r="BN50" s="6"/>
      <c r="BO50" s="7" t="s">
        <v>28</v>
      </c>
      <c r="BQ50" s="7"/>
      <c r="BR50" s="7"/>
      <c r="BS50" s="7" t="s">
        <v>29</v>
      </c>
      <c r="BU50" s="106" t="s">
        <v>30</v>
      </c>
    </row>
    <row r="51" spans="1:73" s="9" customFormat="1" ht="10.8">
      <c r="D51" s="9" t="s">
        <v>31</v>
      </c>
      <c r="E51" s="9" t="s">
        <v>32</v>
      </c>
      <c r="F51" s="10" t="s">
        <v>33</v>
      </c>
      <c r="H51" s="9" t="s">
        <v>7</v>
      </c>
      <c r="I51" s="9" t="s">
        <v>8</v>
      </c>
      <c r="J51" s="10"/>
      <c r="L51" s="134"/>
      <c r="N51" s="9" t="s">
        <v>31</v>
      </c>
      <c r="O51" s="9" t="s">
        <v>32</v>
      </c>
      <c r="P51" s="10" t="s">
        <v>33</v>
      </c>
      <c r="R51" s="9" t="s">
        <v>7</v>
      </c>
      <c r="S51" s="9" t="s">
        <v>8</v>
      </c>
      <c r="T51" s="10"/>
      <c r="V51" s="134"/>
      <c r="X51" s="9" t="s">
        <v>31</v>
      </c>
      <c r="Y51" s="9" t="s">
        <v>32</v>
      </c>
      <c r="Z51" s="10" t="s">
        <v>33</v>
      </c>
      <c r="AB51" s="9" t="s">
        <v>7</v>
      </c>
      <c r="AC51" s="9" t="s">
        <v>8</v>
      </c>
      <c r="AD51" s="10"/>
      <c r="AF51" s="175"/>
      <c r="AH51" s="9" t="s">
        <v>31</v>
      </c>
      <c r="AI51" s="9" t="s">
        <v>32</v>
      </c>
      <c r="AJ51" s="10" t="s">
        <v>33</v>
      </c>
      <c r="AL51" s="9" t="s">
        <v>7</v>
      </c>
      <c r="AM51" s="9" t="s">
        <v>8</v>
      </c>
      <c r="AN51" s="10"/>
      <c r="AP51" s="175"/>
      <c r="AR51" s="9" t="s">
        <v>31</v>
      </c>
      <c r="AS51" s="9" t="s">
        <v>32</v>
      </c>
      <c r="AT51" s="10" t="s">
        <v>33</v>
      </c>
      <c r="AV51" s="9" t="s">
        <v>7</v>
      </c>
      <c r="AW51" s="9" t="s">
        <v>8</v>
      </c>
      <c r="AX51" s="10"/>
      <c r="AZ51" s="175"/>
      <c r="BB51" s="9" t="s">
        <v>31</v>
      </c>
      <c r="BC51" s="9" t="s">
        <v>32</v>
      </c>
      <c r="BD51" s="10" t="s">
        <v>33</v>
      </c>
      <c r="BF51" s="9" t="s">
        <v>7</v>
      </c>
      <c r="BG51" s="9" t="s">
        <v>8</v>
      </c>
      <c r="BH51" s="10"/>
      <c r="BJ51" s="131"/>
      <c r="BM51" s="9" t="s">
        <v>31</v>
      </c>
      <c r="BN51" s="9" t="s">
        <v>32</v>
      </c>
      <c r="BO51" s="10" t="s">
        <v>33</v>
      </c>
      <c r="BQ51" s="9" t="s">
        <v>7</v>
      </c>
      <c r="BR51" s="9" t="s">
        <v>8</v>
      </c>
      <c r="BS51" s="10"/>
      <c r="BU51" s="107"/>
    </row>
    <row r="52" spans="1:73" s="9" customFormat="1" ht="10.8">
      <c r="D52" s="9" t="s">
        <v>34</v>
      </c>
      <c r="E52" s="9" t="s">
        <v>35</v>
      </c>
      <c r="F52" s="10" t="s">
        <v>36</v>
      </c>
      <c r="H52" s="9" t="s">
        <v>12</v>
      </c>
      <c r="I52" s="9" t="s">
        <v>13</v>
      </c>
      <c r="J52" s="10" t="s">
        <v>37</v>
      </c>
      <c r="L52" s="134" t="s">
        <v>38</v>
      </c>
      <c r="N52" s="9" t="s">
        <v>34</v>
      </c>
      <c r="O52" s="9" t="s">
        <v>35</v>
      </c>
      <c r="P52" s="10" t="s">
        <v>36</v>
      </c>
      <c r="R52" s="9" t="s">
        <v>12</v>
      </c>
      <c r="S52" s="9" t="s">
        <v>13</v>
      </c>
      <c r="T52" s="10" t="s">
        <v>37</v>
      </c>
      <c r="V52" s="134" t="s">
        <v>38</v>
      </c>
      <c r="X52" s="9" t="s">
        <v>34</v>
      </c>
      <c r="Y52" s="9" t="s">
        <v>35</v>
      </c>
      <c r="Z52" s="10" t="s">
        <v>36</v>
      </c>
      <c r="AB52" s="9" t="s">
        <v>12</v>
      </c>
      <c r="AC52" s="9" t="s">
        <v>13</v>
      </c>
      <c r="AD52" s="10" t="s">
        <v>37</v>
      </c>
      <c r="AF52" s="175" t="s">
        <v>38</v>
      </c>
      <c r="AH52" s="9" t="s">
        <v>34</v>
      </c>
      <c r="AI52" s="9" t="s">
        <v>35</v>
      </c>
      <c r="AJ52" s="10" t="s">
        <v>36</v>
      </c>
      <c r="AL52" s="9" t="s">
        <v>12</v>
      </c>
      <c r="AM52" s="9" t="s">
        <v>13</v>
      </c>
      <c r="AN52" s="10" t="s">
        <v>37</v>
      </c>
      <c r="AP52" s="175" t="s">
        <v>38</v>
      </c>
      <c r="AR52" s="9" t="s">
        <v>34</v>
      </c>
      <c r="AS52" s="9" t="s">
        <v>35</v>
      </c>
      <c r="AT52" s="10" t="s">
        <v>36</v>
      </c>
      <c r="AV52" s="9" t="s">
        <v>12</v>
      </c>
      <c r="AW52" s="9" t="s">
        <v>13</v>
      </c>
      <c r="AX52" s="10" t="s">
        <v>37</v>
      </c>
      <c r="AZ52" s="175" t="s">
        <v>38</v>
      </c>
      <c r="BB52" s="9" t="s">
        <v>34</v>
      </c>
      <c r="BC52" s="9" t="s">
        <v>35</v>
      </c>
      <c r="BD52" s="10" t="s">
        <v>36</v>
      </c>
      <c r="BF52" s="9" t="s">
        <v>12</v>
      </c>
      <c r="BG52" s="9" t="s">
        <v>13</v>
      </c>
      <c r="BH52" s="10" t="s">
        <v>37</v>
      </c>
      <c r="BJ52" s="131" t="s">
        <v>38</v>
      </c>
      <c r="BM52" s="9" t="s">
        <v>34</v>
      </c>
      <c r="BN52" s="9" t="s">
        <v>35</v>
      </c>
      <c r="BO52" s="10" t="s">
        <v>36</v>
      </c>
      <c r="BQ52" s="9" t="s">
        <v>12</v>
      </c>
      <c r="BR52" s="9" t="s">
        <v>13</v>
      </c>
      <c r="BS52" s="10" t="s">
        <v>37</v>
      </c>
      <c r="BU52" s="107" t="s">
        <v>38</v>
      </c>
    </row>
    <row r="53" spans="1:73" s="3" customFormat="1" ht="6.75" customHeight="1">
      <c r="A53" s="2"/>
      <c r="BH53" s="102"/>
    </row>
    <row r="54" spans="1:73" ht="13.5" customHeight="1">
      <c r="B54" t="s">
        <v>51</v>
      </c>
      <c r="D54" s="25">
        <v>-545</v>
      </c>
      <c r="E54" s="25">
        <f>+F54-D54</f>
        <v>1470</v>
      </c>
      <c r="F54" s="25">
        <v>925</v>
      </c>
      <c r="G54" s="116"/>
      <c r="H54" s="25">
        <f>1007-F54</f>
        <v>82</v>
      </c>
      <c r="I54" s="25">
        <f>J54-H54</f>
        <v>1302</v>
      </c>
      <c r="J54" s="25">
        <f>L54-F54</f>
        <v>1384</v>
      </c>
      <c r="K54" s="25"/>
      <c r="L54" s="25">
        <v>2309</v>
      </c>
      <c r="N54" s="25">
        <v>-913.11</v>
      </c>
      <c r="O54" s="25">
        <f>+P54-N54</f>
        <v>745.11</v>
      </c>
      <c r="P54" s="25">
        <v>-168</v>
      </c>
      <c r="Q54" s="116"/>
      <c r="R54" s="25">
        <f>1308-P54</f>
        <v>1476</v>
      </c>
      <c r="S54" s="25">
        <f>T54-R54</f>
        <v>4241.58</v>
      </c>
      <c r="T54" s="25">
        <f>V54-P54</f>
        <v>5717.58</v>
      </c>
      <c r="U54" s="25"/>
      <c r="V54" s="25">
        <v>5549.58</v>
      </c>
      <c r="X54" s="25">
        <v>517.70000000000005</v>
      </c>
      <c r="Y54" s="25">
        <f>Z54-X54</f>
        <v>-142.84000000000003</v>
      </c>
      <c r="Z54" s="25">
        <v>374.86</v>
      </c>
      <c r="AA54" s="116"/>
      <c r="AB54" s="25">
        <f>2298.79-Z54</f>
        <v>1923.9299999999998</v>
      </c>
      <c r="AC54" s="25">
        <f>AD54-AB54</f>
        <v>5073.4500000000007</v>
      </c>
      <c r="AD54" s="25">
        <f>AF54-Z54</f>
        <v>6997.38</v>
      </c>
      <c r="AE54" s="25"/>
      <c r="AF54" s="25">
        <v>7372.24</v>
      </c>
      <c r="AH54" s="25">
        <v>1447.06</v>
      </c>
      <c r="AI54" s="25">
        <v>998.26000000000022</v>
      </c>
      <c r="AJ54" s="25">
        <v>2445.3200000000002</v>
      </c>
      <c r="AK54" s="116"/>
      <c r="AL54" s="25">
        <f>-47.01-AJ54</f>
        <v>-2492.3300000000004</v>
      </c>
      <c r="AM54" s="25">
        <f>AN54-AL54</f>
        <v>3098.5400000000004</v>
      </c>
      <c r="AN54" s="25">
        <f>AP54-AJ54</f>
        <v>606.21</v>
      </c>
      <c r="AO54" s="25"/>
      <c r="AP54" s="25">
        <v>3051.53</v>
      </c>
      <c r="AR54" s="25">
        <v>1082.3900000000001</v>
      </c>
      <c r="AS54" s="25">
        <f>+AT54-AR54</f>
        <v>1395.43</v>
      </c>
      <c r="AT54" s="25">
        <v>2477.8200000000002</v>
      </c>
      <c r="AU54" s="116"/>
      <c r="AV54" s="25">
        <v>-1097.1400000000001</v>
      </c>
      <c r="AW54" s="25">
        <f>AX54-AV54</f>
        <v>1275.03</v>
      </c>
      <c r="AX54" s="25">
        <f>AZ54-AT54</f>
        <v>177.88999999999987</v>
      </c>
      <c r="AY54" s="25"/>
      <c r="AZ54" s="25">
        <v>2655.71</v>
      </c>
      <c r="BB54" s="25">
        <v>749.95</v>
      </c>
      <c r="BC54" s="25">
        <v>1400.39</v>
      </c>
      <c r="BD54" s="74">
        <v>2150.34</v>
      </c>
      <c r="BE54" s="116"/>
      <c r="BF54" s="25">
        <v>-1119.27</v>
      </c>
      <c r="BG54" s="25">
        <f>BH54-BF54</f>
        <v>1435.35</v>
      </c>
      <c r="BH54" s="25">
        <f>BJ54-BD54</f>
        <v>316.07999999999993</v>
      </c>
      <c r="BI54" s="25"/>
      <c r="BJ54" s="25">
        <v>2466.42</v>
      </c>
      <c r="BM54" s="25">
        <v>-475.73</v>
      </c>
      <c r="BN54" s="25">
        <v>3130.67</v>
      </c>
      <c r="BO54" s="74">
        <v>2654.94</v>
      </c>
      <c r="BP54" s="26"/>
      <c r="BQ54" s="81">
        <v>-630.72</v>
      </c>
      <c r="BR54" s="81">
        <v>89.8599999999999</v>
      </c>
      <c r="BS54" s="81">
        <v>-540.86</v>
      </c>
      <c r="BT54" s="81"/>
      <c r="BU54" s="81">
        <v>2114.08</v>
      </c>
    </row>
    <row r="55" spans="1:73" ht="13.5" customHeight="1">
      <c r="B55" t="s">
        <v>52</v>
      </c>
      <c r="D55" s="25">
        <v>-910</v>
      </c>
      <c r="E55" s="25">
        <f>+F55-D55</f>
        <v>-584</v>
      </c>
      <c r="F55" s="25">
        <v>-1494</v>
      </c>
      <c r="G55" s="116"/>
      <c r="H55" s="25">
        <f>-2093-F55</f>
        <v>-599</v>
      </c>
      <c r="I55" s="25">
        <f>J55-H55</f>
        <v>-282</v>
      </c>
      <c r="J55" s="25">
        <f>L55-F55</f>
        <v>-881</v>
      </c>
      <c r="K55" s="25"/>
      <c r="L55" s="25">
        <v>-2375</v>
      </c>
      <c r="N55" s="25">
        <v>-1081.07</v>
      </c>
      <c r="O55" s="25">
        <f>+P55-N55</f>
        <v>-750.93000000000006</v>
      </c>
      <c r="P55" s="25">
        <v>-1832</v>
      </c>
      <c r="Q55" s="116"/>
      <c r="R55" s="25">
        <f>-2295-P55</f>
        <v>-463</v>
      </c>
      <c r="S55" s="25">
        <f>T55-R55</f>
        <v>-782.07999999999993</v>
      </c>
      <c r="T55" s="25">
        <f>V55-P55</f>
        <v>-1245.08</v>
      </c>
      <c r="U55" s="25"/>
      <c r="V55" s="25">
        <v>-3077.08</v>
      </c>
      <c r="X55" s="25">
        <v>-974.31</v>
      </c>
      <c r="Y55" s="25">
        <f>Z55-X55</f>
        <v>-1230.9299999999998</v>
      </c>
      <c r="Z55" s="25">
        <v>-2205.2399999999998</v>
      </c>
      <c r="AA55" s="116"/>
      <c r="AB55" s="25">
        <f>-3050.21-Z55</f>
        <v>-844.97000000000025</v>
      </c>
      <c r="AC55" s="25">
        <f>AD55-AB55</f>
        <v>-727.96</v>
      </c>
      <c r="AD55" s="25">
        <f>AF55-Z55</f>
        <v>-1572.9300000000003</v>
      </c>
      <c r="AE55" s="25"/>
      <c r="AF55" s="25">
        <v>-3778.17</v>
      </c>
      <c r="AH55" s="25">
        <v>-1000.71</v>
      </c>
      <c r="AI55" s="25">
        <f>+AJ55-AH55</f>
        <v>-1480.37</v>
      </c>
      <c r="AJ55" s="25">
        <v>-2481.08</v>
      </c>
      <c r="AK55" s="116"/>
      <c r="AL55" s="25">
        <f>-3579.7-AJ55</f>
        <v>-1098.6199999999999</v>
      </c>
      <c r="AM55" s="25">
        <f>AN55-AL55</f>
        <v>-1218.2300000000005</v>
      </c>
      <c r="AN55" s="25">
        <f>AP55-AJ55</f>
        <v>-2316.8500000000004</v>
      </c>
      <c r="AO55" s="25"/>
      <c r="AP55" s="25">
        <v>-4797.93</v>
      </c>
      <c r="AR55" s="25">
        <v>-924.19</v>
      </c>
      <c r="AS55" s="25">
        <f>+AT55-AR55</f>
        <v>-937.28</v>
      </c>
      <c r="AT55" s="25">
        <v>-1861.47</v>
      </c>
      <c r="AU55" s="116"/>
      <c r="AV55" s="25">
        <v>-1031.05</v>
      </c>
      <c r="AW55" s="25">
        <f>AX55-AV55</f>
        <v>-1368.5800000000002</v>
      </c>
      <c r="AX55" s="25">
        <f>AZ55-AT55</f>
        <v>-2399.63</v>
      </c>
      <c r="AY55" s="25"/>
      <c r="AZ55" s="25">
        <v>-4261.1000000000004</v>
      </c>
      <c r="BB55" s="25">
        <v>-291.01</v>
      </c>
      <c r="BC55" s="25">
        <v>-521.91999999999996</v>
      </c>
      <c r="BD55" s="25">
        <v>-812.93</v>
      </c>
      <c r="BE55" s="116"/>
      <c r="BF55" s="25">
        <v>-430.39</v>
      </c>
      <c r="BG55" s="25">
        <f>BH55-BF55</f>
        <v>-742.63</v>
      </c>
      <c r="BH55" s="25">
        <f>BJ55-BD55</f>
        <v>-1173.02</v>
      </c>
      <c r="BI55" s="25"/>
      <c r="BJ55" s="25">
        <v>-1985.95</v>
      </c>
      <c r="BM55" s="25">
        <v>-609.41</v>
      </c>
      <c r="BN55" s="25">
        <v>-443.01</v>
      </c>
      <c r="BO55" s="25">
        <v>-1052.42</v>
      </c>
      <c r="BP55" s="26"/>
      <c r="BQ55" s="81">
        <v>-400.66</v>
      </c>
      <c r="BR55" s="81">
        <v>-256</v>
      </c>
      <c r="BS55" s="81">
        <v>-656.66</v>
      </c>
      <c r="BT55" s="81"/>
      <c r="BU55" s="81">
        <v>-1709.08</v>
      </c>
    </row>
    <row r="56" spans="1:73" ht="13.5" customHeight="1">
      <c r="B56" t="s">
        <v>53</v>
      </c>
      <c r="D56" s="25">
        <v>-171.51</v>
      </c>
      <c r="E56" s="25">
        <f>+F56-D56</f>
        <v>-751.49</v>
      </c>
      <c r="F56" s="25">
        <v>-923</v>
      </c>
      <c r="G56" s="116"/>
      <c r="H56" s="25">
        <f>-867-F56</f>
        <v>56</v>
      </c>
      <c r="I56" s="25">
        <f>J56-H56</f>
        <v>-741</v>
      </c>
      <c r="J56" s="25">
        <f>L56-F56</f>
        <v>-685</v>
      </c>
      <c r="K56" s="25"/>
      <c r="L56" s="25">
        <v>-1608</v>
      </c>
      <c r="N56" s="25">
        <v>1595.33</v>
      </c>
      <c r="O56" s="25">
        <f>+P56-N56</f>
        <v>-164.32999999999993</v>
      </c>
      <c r="P56" s="25">
        <v>1431</v>
      </c>
      <c r="Q56" s="116"/>
      <c r="R56" s="25">
        <f>286-P56</f>
        <v>-1145</v>
      </c>
      <c r="S56" s="25">
        <f>T56-R56</f>
        <v>-1165.73</v>
      </c>
      <c r="T56" s="25">
        <f>V56-P56</f>
        <v>-2310.73</v>
      </c>
      <c r="U56" s="25"/>
      <c r="V56" s="25">
        <v>-879.73</v>
      </c>
      <c r="X56" s="25">
        <v>589.20000000000005</v>
      </c>
      <c r="Y56" s="25">
        <f>Z56-X56</f>
        <v>1418.32</v>
      </c>
      <c r="Z56" s="25">
        <v>2007.52</v>
      </c>
      <c r="AA56" s="116"/>
      <c r="AB56" s="25">
        <f>352.75-Z56</f>
        <v>-1654.77</v>
      </c>
      <c r="AC56" s="25">
        <f>AD56-AB56</f>
        <v>-3615.85</v>
      </c>
      <c r="AD56" s="25">
        <f>AF56-Z56</f>
        <v>-5270.62</v>
      </c>
      <c r="AE56" s="25"/>
      <c r="AF56" s="25">
        <v>-3263.1</v>
      </c>
      <c r="AH56" s="25">
        <v>-733.94</v>
      </c>
      <c r="AI56" s="25">
        <v>944.30000000000007</v>
      </c>
      <c r="AJ56" s="25">
        <v>210.36</v>
      </c>
      <c r="AK56" s="116"/>
      <c r="AL56" s="25">
        <f>4007.6-AJ56</f>
        <v>3797.24</v>
      </c>
      <c r="AM56" s="25">
        <f>AN56-AL56</f>
        <v>-2206.7999999999997</v>
      </c>
      <c r="AN56" s="25">
        <f>AP56-AJ56</f>
        <v>1590.44</v>
      </c>
      <c r="AO56" s="25"/>
      <c r="AP56" s="25">
        <v>1800.8</v>
      </c>
      <c r="AR56" s="25">
        <v>-185.02</v>
      </c>
      <c r="AS56" s="25">
        <f>+AT56-AR56</f>
        <v>-129.33000000000001</v>
      </c>
      <c r="AT56" s="25">
        <v>-314.35000000000002</v>
      </c>
      <c r="AU56" s="116"/>
      <c r="AV56" s="25">
        <v>2165.4299999999998</v>
      </c>
      <c r="AW56" s="25">
        <f>AX56-AV56</f>
        <v>-310.03999999999996</v>
      </c>
      <c r="AX56" s="25">
        <f>AZ56-AT56</f>
        <v>1855.3899999999999</v>
      </c>
      <c r="AY56" s="25"/>
      <c r="AZ56" s="25">
        <v>1541.04</v>
      </c>
      <c r="BB56" s="25">
        <v>-516.01</v>
      </c>
      <c r="BC56" s="25">
        <v>-973.01</v>
      </c>
      <c r="BD56" s="25">
        <v>-1489.02</v>
      </c>
      <c r="BE56" s="116"/>
      <c r="BF56" s="25">
        <v>1886.88</v>
      </c>
      <c r="BG56" s="25">
        <f>BH56-BF56</f>
        <v>-771.04000000000019</v>
      </c>
      <c r="BH56" s="25">
        <f>BJ56-BD56</f>
        <v>1115.8399999999999</v>
      </c>
      <c r="BI56" s="25"/>
      <c r="BJ56" s="25">
        <v>-373.18</v>
      </c>
      <c r="BM56" s="25">
        <v>1091.48</v>
      </c>
      <c r="BN56" s="25">
        <v>-2612.79</v>
      </c>
      <c r="BO56" s="25">
        <v>-1521.31</v>
      </c>
      <c r="BP56" s="26"/>
      <c r="BQ56" s="81">
        <v>1172.54</v>
      </c>
      <c r="BR56" s="81">
        <v>-363.51</v>
      </c>
      <c r="BS56" s="81">
        <v>809.03</v>
      </c>
      <c r="BT56" s="81"/>
      <c r="BU56" s="81">
        <v>-712.28</v>
      </c>
    </row>
    <row r="57" spans="1:73" ht="13.5" customHeight="1">
      <c r="B57" t="s">
        <v>54</v>
      </c>
      <c r="D57" s="25">
        <v>-316.87</v>
      </c>
      <c r="E57" s="25">
        <f>+F57-D57</f>
        <v>-169.13</v>
      </c>
      <c r="F57" s="25">
        <v>-486</v>
      </c>
      <c r="G57" s="116"/>
      <c r="H57" s="25">
        <f>-345-F57</f>
        <v>141</v>
      </c>
      <c r="I57" s="25">
        <f>J57-H57</f>
        <v>61</v>
      </c>
      <c r="J57" s="25">
        <f>L57-F57</f>
        <v>202</v>
      </c>
      <c r="K57" s="25"/>
      <c r="L57" s="25">
        <v>-284</v>
      </c>
      <c r="N57" s="25">
        <v>-22.05</v>
      </c>
      <c r="O57" s="25">
        <f>+P57-N57</f>
        <v>19.05</v>
      </c>
      <c r="P57" s="25">
        <v>-3</v>
      </c>
      <c r="Q57" s="116"/>
      <c r="R57" s="25">
        <f>-49-P57</f>
        <v>-46</v>
      </c>
      <c r="S57" s="25">
        <f>T57-R57</f>
        <v>89.8</v>
      </c>
      <c r="T57" s="25">
        <f>V57-P57</f>
        <v>43.8</v>
      </c>
      <c r="U57" s="25"/>
      <c r="V57" s="25">
        <v>40.799999999999997</v>
      </c>
      <c r="X57" s="25">
        <v>-42.43</v>
      </c>
      <c r="Y57" s="25">
        <f>Z57-X57</f>
        <v>-10.740000000000002</v>
      </c>
      <c r="Z57" s="25">
        <v>-53.17</v>
      </c>
      <c r="AA57" s="116"/>
      <c r="AB57" s="25">
        <f>22.44-Z57</f>
        <v>75.61</v>
      </c>
      <c r="AC57" s="25">
        <f>AD57-AB57</f>
        <v>124.96</v>
      </c>
      <c r="AD57" s="25">
        <f>AF57-Z57</f>
        <v>200.57</v>
      </c>
      <c r="AE57" s="25"/>
      <c r="AF57" s="25">
        <v>147.4</v>
      </c>
      <c r="AH57" s="25">
        <v>88.66</v>
      </c>
      <c r="AI57" s="25">
        <v>60.990000000000009</v>
      </c>
      <c r="AJ57" s="25">
        <v>149.65</v>
      </c>
      <c r="AK57" s="116"/>
      <c r="AL57" s="25">
        <f>146.84-AJ57</f>
        <v>-2.8100000000000023</v>
      </c>
      <c r="AM57" s="25">
        <f>AN57-AL57</f>
        <v>105.6</v>
      </c>
      <c r="AN57" s="25">
        <f>AP57-AJ57</f>
        <v>102.78999999999999</v>
      </c>
      <c r="AO57" s="25"/>
      <c r="AP57" s="25">
        <v>252.44</v>
      </c>
      <c r="AR57" s="25">
        <v>77.930000000000007</v>
      </c>
      <c r="AS57" s="25">
        <f>+AT57-AR57</f>
        <v>-53.350000000000009</v>
      </c>
      <c r="AT57" s="25">
        <v>24.58</v>
      </c>
      <c r="AU57" s="116"/>
      <c r="AV57" s="25">
        <v>-20.72</v>
      </c>
      <c r="AW57" s="25">
        <f>AX57-AV57</f>
        <v>136.82</v>
      </c>
      <c r="AX57" s="25">
        <f>AZ57-AT57</f>
        <v>116.10000000000001</v>
      </c>
      <c r="AY57" s="25"/>
      <c r="AZ57" s="25">
        <v>140.68</v>
      </c>
      <c r="BB57" s="25">
        <v>25.79</v>
      </c>
      <c r="BC57" s="25">
        <v>-32.46</v>
      </c>
      <c r="BD57" s="25">
        <v>-6.67</v>
      </c>
      <c r="BE57" s="116"/>
      <c r="BF57" s="25">
        <v>-72.45</v>
      </c>
      <c r="BG57" s="25">
        <f>BH57-BF57</f>
        <v>30.540000000000006</v>
      </c>
      <c r="BH57" s="25">
        <f>BJ57-BD57</f>
        <v>-41.91</v>
      </c>
      <c r="BI57" s="25"/>
      <c r="BJ57" s="25">
        <v>-48.58</v>
      </c>
      <c r="BM57" s="25">
        <v>12.1</v>
      </c>
      <c r="BN57" s="25">
        <v>-67.040000000000006</v>
      </c>
      <c r="BO57" s="25">
        <v>-54.94</v>
      </c>
      <c r="BP57" s="26"/>
      <c r="BQ57" s="81">
        <v>-76.02</v>
      </c>
      <c r="BR57" s="81">
        <v>92.3</v>
      </c>
      <c r="BS57" s="81">
        <v>16.28</v>
      </c>
      <c r="BT57" s="81"/>
      <c r="BU57" s="81">
        <v>-38.659999999999997</v>
      </c>
    </row>
    <row r="58" spans="1:73" ht="13.5" customHeight="1">
      <c r="B58" s="27" t="s">
        <v>55</v>
      </c>
      <c r="C58" s="27"/>
      <c r="D58" s="28">
        <v>-1943.54</v>
      </c>
      <c r="E58" s="28">
        <f>+F58-D58</f>
        <v>-34.460000000000036</v>
      </c>
      <c r="F58" s="28">
        <v>-1978</v>
      </c>
      <c r="G58" s="117"/>
      <c r="H58" s="28">
        <f>-2298-F58</f>
        <v>-320</v>
      </c>
      <c r="I58" s="28">
        <f>J58-H58</f>
        <v>340</v>
      </c>
      <c r="J58" s="28">
        <f>L58-F58</f>
        <v>20</v>
      </c>
      <c r="K58" s="28"/>
      <c r="L58" s="28">
        <v>-1958</v>
      </c>
      <c r="M58" s="27"/>
      <c r="N58" s="28">
        <v>-420.9</v>
      </c>
      <c r="O58" s="28">
        <f>+P58-N58</f>
        <v>-151.10000000000002</v>
      </c>
      <c r="P58" s="28">
        <v>-572</v>
      </c>
      <c r="Q58" s="117"/>
      <c r="R58" s="28">
        <f>-750-P58</f>
        <v>-178</v>
      </c>
      <c r="S58" s="28">
        <f>T58-R58</f>
        <v>2383</v>
      </c>
      <c r="T58" s="28">
        <f>V58-P58</f>
        <v>2205</v>
      </c>
      <c r="U58" s="28"/>
      <c r="V58" s="28">
        <v>1633</v>
      </c>
      <c r="W58" s="27"/>
      <c r="X58" s="28">
        <v>90.16</v>
      </c>
      <c r="Y58" s="28">
        <f>Z58-X58</f>
        <v>33.81</v>
      </c>
      <c r="Z58" s="28">
        <v>123.97</v>
      </c>
      <c r="AA58" s="117"/>
      <c r="AB58" s="28">
        <f>-376.23-Z58</f>
        <v>-500.20000000000005</v>
      </c>
      <c r="AC58" s="28">
        <f>AD58-AB58</f>
        <v>854.6</v>
      </c>
      <c r="AD58" s="28">
        <f>AF58-Z58</f>
        <v>354.4</v>
      </c>
      <c r="AE58" s="28"/>
      <c r="AF58" s="28">
        <v>478.37</v>
      </c>
      <c r="AG58" s="27"/>
      <c r="AH58" s="28">
        <v>-198.93</v>
      </c>
      <c r="AI58" s="28">
        <v>523.18000000000006</v>
      </c>
      <c r="AJ58" s="28">
        <v>324.25</v>
      </c>
      <c r="AK58" s="117"/>
      <c r="AL58" s="28">
        <f>527.73-AJ58</f>
        <v>203.48000000000002</v>
      </c>
      <c r="AM58" s="28">
        <f>AN58-AL58</f>
        <v>-220.89000000000004</v>
      </c>
      <c r="AN58" s="28">
        <f>AP58-AJ58</f>
        <v>-17.410000000000025</v>
      </c>
      <c r="AO58" s="28"/>
      <c r="AP58" s="28">
        <v>306.83999999999997</v>
      </c>
      <c r="AQ58" s="27"/>
      <c r="AR58" s="28">
        <v>51.11</v>
      </c>
      <c r="AS58" s="28">
        <f>+AT58-AR58</f>
        <v>275.46999999999997</v>
      </c>
      <c r="AT58" s="28">
        <v>326.58</v>
      </c>
      <c r="AU58" s="117"/>
      <c r="AV58" s="28">
        <v>16.520000000000039</v>
      </c>
      <c r="AW58" s="28">
        <f>AX58-AV58</f>
        <v>-266.77000000000004</v>
      </c>
      <c r="AX58" s="28">
        <f>AZ58-AT58</f>
        <v>-250.25</v>
      </c>
      <c r="AY58" s="28"/>
      <c r="AZ58" s="28">
        <v>76.33</v>
      </c>
      <c r="BA58" s="27"/>
      <c r="BB58" s="28">
        <v>-31.28</v>
      </c>
      <c r="BC58" s="28">
        <v>-127</v>
      </c>
      <c r="BD58" s="28">
        <v>-158.28</v>
      </c>
      <c r="BE58" s="117"/>
      <c r="BF58" s="28">
        <v>264.77</v>
      </c>
      <c r="BG58" s="28">
        <f>BH58-BF58</f>
        <v>-47.779999999999973</v>
      </c>
      <c r="BH58" s="28">
        <f>BJ58-BD58</f>
        <v>216.99</v>
      </c>
      <c r="BI58" s="28"/>
      <c r="BJ58" s="28">
        <v>58.71</v>
      </c>
      <c r="BM58" s="28">
        <v>18.440000000000147</v>
      </c>
      <c r="BN58" s="28">
        <v>7.8299999999998526</v>
      </c>
      <c r="BO58" s="28">
        <v>26.27</v>
      </c>
      <c r="BP58" s="29"/>
      <c r="BQ58" s="82">
        <v>65.14</v>
      </c>
      <c r="BR58" s="82">
        <v>-437.35</v>
      </c>
      <c r="BS58" s="82">
        <v>-372.21</v>
      </c>
      <c r="BT58" s="82"/>
      <c r="BU58" s="82">
        <v>-345.94</v>
      </c>
    </row>
    <row r="59" spans="1:73" s="3" customFormat="1" ht="13.5" customHeight="1">
      <c r="A59" s="2"/>
      <c r="B59" s="27" t="s">
        <v>56</v>
      </c>
      <c r="C59" s="30"/>
      <c r="D59" s="28">
        <v>4913.55</v>
      </c>
      <c r="E59" s="28">
        <f>+D63</f>
        <v>2970.01</v>
      </c>
      <c r="F59" s="28">
        <v>4914</v>
      </c>
      <c r="G59" s="117"/>
      <c r="H59" s="28">
        <f>+F63</f>
        <v>2936</v>
      </c>
      <c r="I59" s="28">
        <f>H63</f>
        <v>2616</v>
      </c>
      <c r="J59" s="28">
        <f>F63</f>
        <v>2936</v>
      </c>
      <c r="K59" s="28"/>
      <c r="L59" s="28">
        <v>4913</v>
      </c>
      <c r="M59" s="30"/>
      <c r="N59" s="28">
        <v>3279.8</v>
      </c>
      <c r="O59" s="28">
        <f>+N63</f>
        <v>2858.9</v>
      </c>
      <c r="P59" s="28">
        <v>3280</v>
      </c>
      <c r="Q59" s="117"/>
      <c r="R59" s="28">
        <f>+P63</f>
        <v>2708</v>
      </c>
      <c r="S59" s="28">
        <f>R63</f>
        <v>2530</v>
      </c>
      <c r="T59" s="28">
        <f>P63</f>
        <v>2708</v>
      </c>
      <c r="U59" s="28"/>
      <c r="V59" s="28">
        <v>3279.8</v>
      </c>
      <c r="W59" s="30"/>
      <c r="X59" s="28">
        <v>2800.69</v>
      </c>
      <c r="Y59" s="28">
        <v>2891.4</v>
      </c>
      <c r="Z59" s="28">
        <v>2800.69</v>
      </c>
      <c r="AA59" s="117"/>
      <c r="AB59" s="28">
        <f>+Z63</f>
        <v>2925.4</v>
      </c>
      <c r="AC59" s="28">
        <f>AB63</f>
        <v>2425.1999999999998</v>
      </c>
      <c r="AD59" s="28">
        <f>Z63</f>
        <v>2925.4</v>
      </c>
      <c r="AE59" s="28"/>
      <c r="AF59" s="28">
        <v>2800.69</v>
      </c>
      <c r="AG59" s="30"/>
      <c r="AH59" s="28">
        <v>2491.31</v>
      </c>
      <c r="AI59" s="28">
        <v>2292.38</v>
      </c>
      <c r="AJ59" s="28">
        <v>2491.31</v>
      </c>
      <c r="AK59" s="117"/>
      <c r="AL59" s="28">
        <f>+AJ63</f>
        <v>2815.56</v>
      </c>
      <c r="AM59" s="28">
        <f>AL63</f>
        <v>3021.58</v>
      </c>
      <c r="AN59" s="28">
        <f>AJ63</f>
        <v>2815.56</v>
      </c>
      <c r="AO59" s="28"/>
      <c r="AP59" s="28">
        <v>2491.31</v>
      </c>
      <c r="AQ59" s="30"/>
      <c r="AR59" s="28">
        <v>2410.35</v>
      </c>
      <c r="AS59" s="28">
        <f>+AR63</f>
        <v>2465.2800000000002</v>
      </c>
      <c r="AT59" s="28">
        <v>2410.35</v>
      </c>
      <c r="AU59" s="117"/>
      <c r="AV59" s="28">
        <v>2741</v>
      </c>
      <c r="AW59" s="28">
        <f>AV63</f>
        <v>2757.41</v>
      </c>
      <c r="AX59" s="28">
        <f>AT63</f>
        <v>2740.76</v>
      </c>
      <c r="AY59" s="28"/>
      <c r="AZ59" s="28">
        <v>2410.35</v>
      </c>
      <c r="BA59" s="30"/>
      <c r="BB59" s="28">
        <v>2324.38</v>
      </c>
      <c r="BC59" s="28">
        <v>2320.5500000000002</v>
      </c>
      <c r="BD59" s="28">
        <v>2324.38</v>
      </c>
      <c r="BE59" s="117"/>
      <c r="BF59" s="28">
        <v>2194</v>
      </c>
      <c r="BG59" s="28">
        <v>2458</v>
      </c>
      <c r="BH59" s="28">
        <v>2324</v>
      </c>
      <c r="BI59" s="28"/>
      <c r="BJ59" s="28">
        <v>2324.38</v>
      </c>
      <c r="BM59" s="28">
        <v>1839.92</v>
      </c>
      <c r="BN59" s="28">
        <v>2683.56</v>
      </c>
      <c r="BO59" s="28">
        <v>1839.92</v>
      </c>
      <c r="BP59" s="29"/>
      <c r="BQ59" s="82">
        <v>2691.39</v>
      </c>
      <c r="BR59" s="82">
        <v>2756.63</v>
      </c>
      <c r="BS59" s="82">
        <v>2691.39</v>
      </c>
      <c r="BT59" s="82"/>
      <c r="BU59" s="82">
        <v>1839.92</v>
      </c>
    </row>
    <row r="60" spans="1:73" s="3" customFormat="1" ht="13.5" customHeight="1">
      <c r="A60" s="2"/>
      <c r="B60" s="31" t="s">
        <v>57</v>
      </c>
      <c r="D60" s="167"/>
      <c r="E60" s="167"/>
      <c r="F60" s="167"/>
      <c r="G60" s="168"/>
      <c r="H60" s="167"/>
      <c r="I60" s="169"/>
      <c r="J60" s="169"/>
      <c r="K60" s="25"/>
      <c r="L60" s="25">
        <v>0</v>
      </c>
      <c r="N60" s="167"/>
      <c r="O60" s="167"/>
      <c r="P60" s="167"/>
      <c r="Q60" s="168"/>
      <c r="R60" s="167"/>
      <c r="S60" s="169"/>
      <c r="T60" s="169"/>
      <c r="U60" s="25"/>
      <c r="V60" s="25">
        <v>0</v>
      </c>
      <c r="X60" s="167"/>
      <c r="Y60" s="167"/>
      <c r="Z60" s="167"/>
      <c r="AA60" s="168"/>
      <c r="AB60" s="167"/>
      <c r="AC60" s="169"/>
      <c r="AD60" s="169"/>
      <c r="AE60" s="25"/>
      <c r="AF60" s="25">
        <v>0</v>
      </c>
      <c r="AH60" s="167"/>
      <c r="AI60" s="167"/>
      <c r="AJ60" s="167"/>
      <c r="AK60" s="168"/>
      <c r="AL60" s="182">
        <v>2.54</v>
      </c>
      <c r="AM60" s="183">
        <f>AN60-AL60</f>
        <v>0</v>
      </c>
      <c r="AN60" s="183">
        <f>AP60-AJ60</f>
        <v>2.54</v>
      </c>
      <c r="AO60" s="25"/>
      <c r="AP60" s="25">
        <v>2.54</v>
      </c>
      <c r="AR60" s="32">
        <v>4.01</v>
      </c>
      <c r="AS60" s="32">
        <v>0</v>
      </c>
      <c r="AT60" s="32">
        <v>4.01</v>
      </c>
      <c r="AU60" s="118"/>
      <c r="AV60" s="32">
        <v>0</v>
      </c>
      <c r="AW60" s="25"/>
      <c r="AX60" s="25"/>
      <c r="AY60" s="25"/>
      <c r="AZ60" s="25">
        <v>4.1399999999999997</v>
      </c>
      <c r="BB60" s="32">
        <v>4.9400000000000004</v>
      </c>
      <c r="BC60" s="32"/>
      <c r="BD60" s="32">
        <v>4.9400000000000004</v>
      </c>
      <c r="BE60" s="118"/>
      <c r="BF60" s="32"/>
      <c r="BG60" s="32"/>
      <c r="BH60" s="32"/>
      <c r="BI60" s="32"/>
      <c r="BJ60" s="32">
        <v>4.9400000000000004</v>
      </c>
      <c r="BM60" s="32">
        <v>825.14</v>
      </c>
      <c r="BN60" s="32"/>
      <c r="BO60" s="32">
        <v>825.14</v>
      </c>
      <c r="BP60" s="33"/>
      <c r="BQ60" s="80"/>
      <c r="BR60" s="80">
        <v>5.2599999999999909</v>
      </c>
      <c r="BS60" s="80">
        <v>5.2599999999999909</v>
      </c>
      <c r="BT60" s="80"/>
      <c r="BU60" s="80">
        <v>830.4</v>
      </c>
    </row>
    <row r="61" spans="1:73" s="3" customFormat="1" ht="13.5" customHeight="1">
      <c r="A61" s="2"/>
      <c r="B61" s="31" t="s">
        <v>103</v>
      </c>
      <c r="D61" s="182">
        <v>0</v>
      </c>
      <c r="E61" s="32"/>
      <c r="F61" s="32">
        <v>0</v>
      </c>
      <c r="G61" s="168"/>
      <c r="H61" s="167"/>
      <c r="I61" s="169"/>
      <c r="J61" s="169"/>
      <c r="K61" s="25"/>
      <c r="L61" s="25">
        <v>0</v>
      </c>
      <c r="N61" s="182">
        <v>0</v>
      </c>
      <c r="O61" s="32"/>
      <c r="P61" s="32">
        <v>0</v>
      </c>
      <c r="Q61" s="168"/>
      <c r="R61" s="167"/>
      <c r="S61" s="169"/>
      <c r="T61" s="169"/>
      <c r="U61" s="25"/>
      <c r="V61" s="25">
        <v>0</v>
      </c>
      <c r="X61" s="182">
        <v>0.74</v>
      </c>
      <c r="Y61" s="32">
        <f>Z61-X61</f>
        <v>0</v>
      </c>
      <c r="Z61" s="32">
        <v>0.74</v>
      </c>
      <c r="AA61" s="168"/>
      <c r="AB61" s="167"/>
      <c r="AC61" s="169"/>
      <c r="AD61" s="169"/>
      <c r="AE61" s="25"/>
      <c r="AF61" s="25">
        <v>0.74</v>
      </c>
      <c r="AH61" s="167"/>
      <c r="AI61" s="167"/>
      <c r="AJ61" s="167"/>
      <c r="AK61" s="168"/>
      <c r="AL61" s="167"/>
      <c r="AM61" s="169"/>
      <c r="AN61" s="169"/>
      <c r="AO61" s="25"/>
      <c r="AP61" s="25">
        <v>0</v>
      </c>
      <c r="AR61" s="167"/>
      <c r="AS61" s="167"/>
      <c r="AT61" s="167"/>
      <c r="AU61" s="168"/>
      <c r="AV61" s="167"/>
      <c r="AW61" s="169"/>
      <c r="AX61" s="169"/>
      <c r="AY61" s="25"/>
      <c r="AZ61" s="25">
        <v>0.92</v>
      </c>
      <c r="BB61" s="32">
        <v>22.52</v>
      </c>
      <c r="BC61" s="32"/>
      <c r="BD61" s="32">
        <v>22.52</v>
      </c>
      <c r="BE61" s="118"/>
      <c r="BF61" s="32"/>
      <c r="BG61" s="32"/>
      <c r="BH61" s="32"/>
      <c r="BI61" s="32"/>
      <c r="BJ61" s="32">
        <v>22.52</v>
      </c>
      <c r="BM61" s="32"/>
      <c r="BN61" s="32"/>
      <c r="BO61" s="32"/>
      <c r="BP61" s="33"/>
      <c r="BQ61" s="80"/>
      <c r="BR61" s="80"/>
      <c r="BS61" s="80"/>
      <c r="BT61" s="80"/>
      <c r="BU61" s="80"/>
    </row>
    <row r="62" spans="1:73" s="3" customFormat="1" ht="13.5" customHeight="1">
      <c r="A62" s="2"/>
      <c r="B62" s="31" t="s">
        <v>109</v>
      </c>
      <c r="D62" s="167"/>
      <c r="E62" s="167"/>
      <c r="F62" s="167"/>
      <c r="G62" s="168"/>
      <c r="H62" s="167"/>
      <c r="I62" s="169"/>
      <c r="J62" s="169"/>
      <c r="K62" s="25"/>
      <c r="L62" s="25">
        <v>0</v>
      </c>
      <c r="N62" s="167"/>
      <c r="O62" s="167"/>
      <c r="P62" s="167"/>
      <c r="Q62" s="168"/>
      <c r="R62" s="167"/>
      <c r="S62" s="169"/>
      <c r="T62" s="169"/>
      <c r="U62" s="25"/>
      <c r="V62" s="25">
        <v>0</v>
      </c>
      <c r="X62" s="167"/>
      <c r="Y62" s="167"/>
      <c r="Z62" s="167"/>
      <c r="AA62" s="168"/>
      <c r="AB62" s="167"/>
      <c r="AC62" s="169"/>
      <c r="AD62" s="169"/>
      <c r="AE62" s="25"/>
      <c r="AF62" s="25">
        <v>0</v>
      </c>
      <c r="AH62" s="167"/>
      <c r="AI62" s="167"/>
      <c r="AJ62" s="167"/>
      <c r="AK62" s="168"/>
      <c r="AL62" s="167"/>
      <c r="AM62" s="169"/>
      <c r="AN62" s="169"/>
      <c r="AO62" s="25"/>
      <c r="AP62" s="25">
        <v>0</v>
      </c>
      <c r="AR62" s="167"/>
      <c r="AS62" s="167"/>
      <c r="AT62" s="167"/>
      <c r="AU62" s="168"/>
      <c r="AV62" s="167"/>
      <c r="AW62" s="169"/>
      <c r="AX62" s="169"/>
      <c r="AY62" s="25"/>
      <c r="AZ62" s="25">
        <v>-0.43</v>
      </c>
      <c r="BB62" s="167"/>
      <c r="BC62" s="167"/>
      <c r="BD62" s="167"/>
      <c r="BE62" s="168"/>
      <c r="BF62" s="167"/>
      <c r="BG62" s="167"/>
      <c r="BH62" s="167"/>
      <c r="BI62" s="32"/>
      <c r="BJ62" s="32">
        <v>-0.2</v>
      </c>
      <c r="BM62" s="32"/>
      <c r="BN62" s="32"/>
      <c r="BO62" s="32"/>
      <c r="BP62" s="33"/>
      <c r="BQ62" s="80"/>
      <c r="BR62" s="80"/>
      <c r="BS62" s="80"/>
      <c r="BT62" s="80"/>
      <c r="BU62" s="80"/>
    </row>
    <row r="63" spans="1:73" s="3" customFormat="1" ht="13.5" customHeight="1">
      <c r="A63" s="2"/>
      <c r="B63" s="34" t="s">
        <v>58</v>
      </c>
      <c r="C63" s="35"/>
      <c r="D63" s="36">
        <v>2970.01</v>
      </c>
      <c r="E63" s="36">
        <f>E58+E59</f>
        <v>2935.55</v>
      </c>
      <c r="F63" s="36">
        <v>2936</v>
      </c>
      <c r="G63" s="119"/>
      <c r="H63" s="108">
        <v>2616</v>
      </c>
      <c r="I63" s="162">
        <f>L63</f>
        <v>2955</v>
      </c>
      <c r="J63" s="162">
        <f>L63</f>
        <v>2955</v>
      </c>
      <c r="K63" s="162"/>
      <c r="L63" s="162">
        <v>2955</v>
      </c>
      <c r="M63" s="35"/>
      <c r="N63" s="36">
        <v>2858.9</v>
      </c>
      <c r="O63" s="36">
        <f>O58+O59</f>
        <v>2707.8</v>
      </c>
      <c r="P63" s="36">
        <v>2708</v>
      </c>
      <c r="Q63" s="119"/>
      <c r="R63" s="108">
        <f>+R59+R58</f>
        <v>2530</v>
      </c>
      <c r="S63" s="162">
        <f>V63</f>
        <v>4913.37</v>
      </c>
      <c r="T63" s="162">
        <f>V63</f>
        <v>4913.37</v>
      </c>
      <c r="U63" s="162"/>
      <c r="V63" s="162">
        <v>4913.37</v>
      </c>
      <c r="W63" s="35"/>
      <c r="X63" s="36">
        <v>2891.59</v>
      </c>
      <c r="Y63" s="36">
        <f>Y58+Y59</f>
        <v>2925.21</v>
      </c>
      <c r="Z63" s="36">
        <v>2925.4</v>
      </c>
      <c r="AA63" s="119"/>
      <c r="AB63" s="108">
        <v>2425.1999999999998</v>
      </c>
      <c r="AC63" s="162">
        <f>AF63</f>
        <v>3279.8</v>
      </c>
      <c r="AD63" s="162">
        <f>AF63</f>
        <v>3279.8</v>
      </c>
      <c r="AE63" s="162"/>
      <c r="AF63" s="162">
        <v>3279.8</v>
      </c>
      <c r="AG63" s="35"/>
      <c r="AH63" s="36">
        <v>2292.38</v>
      </c>
      <c r="AI63" s="36">
        <v>2815.56</v>
      </c>
      <c r="AJ63" s="36">
        <v>2815.56</v>
      </c>
      <c r="AK63" s="119"/>
      <c r="AL63" s="108">
        <v>3021.58</v>
      </c>
      <c r="AM63" s="162">
        <f>AP63</f>
        <v>2800.69</v>
      </c>
      <c r="AN63" s="162">
        <f>AP63</f>
        <v>2800.69</v>
      </c>
      <c r="AO63" s="162"/>
      <c r="AP63" s="162">
        <v>2800.69</v>
      </c>
      <c r="AQ63" s="35"/>
      <c r="AR63" s="36">
        <v>2465.2800000000002</v>
      </c>
      <c r="AS63" s="36">
        <v>2740.76</v>
      </c>
      <c r="AT63" s="36">
        <v>2740.76</v>
      </c>
      <c r="AU63" s="119"/>
      <c r="AV63" s="108">
        <v>2757.41</v>
      </c>
      <c r="AW63" s="162">
        <f>AZ63</f>
        <v>2491.31</v>
      </c>
      <c r="AX63" s="162">
        <f>AZ63</f>
        <v>2491.31</v>
      </c>
      <c r="AY63" s="162"/>
      <c r="AZ63" s="162">
        <v>2491.31</v>
      </c>
      <c r="BA63" s="35"/>
      <c r="BB63" s="36">
        <v>2320.5500000000002</v>
      </c>
      <c r="BC63" s="108">
        <v>2193.56</v>
      </c>
      <c r="BD63" s="108">
        <v>2193.56</v>
      </c>
      <c r="BE63" s="119"/>
      <c r="BF63" s="108">
        <v>2458.33</v>
      </c>
      <c r="BG63" s="108">
        <v>2410.35</v>
      </c>
      <c r="BH63" s="108">
        <v>2410.35</v>
      </c>
      <c r="BI63" s="108"/>
      <c r="BJ63" s="108">
        <v>2410.35</v>
      </c>
      <c r="BM63" s="36">
        <v>2683.56</v>
      </c>
      <c r="BN63" s="36">
        <v>2691.39</v>
      </c>
      <c r="BO63" s="36">
        <v>2691.39</v>
      </c>
      <c r="BP63" s="37"/>
      <c r="BQ63" s="36">
        <v>2756.63</v>
      </c>
      <c r="BR63" s="36">
        <v>2324.38</v>
      </c>
      <c r="BS63" s="36">
        <v>2324.38</v>
      </c>
      <c r="BT63" s="36"/>
      <c r="BU63" s="36">
        <v>2324.38</v>
      </c>
    </row>
    <row r="64" spans="1:73" s="3" customFormat="1" ht="17.25" customHeight="1">
      <c r="A64" s="2"/>
      <c r="D64" s="24"/>
      <c r="E64" s="24"/>
      <c r="F64" s="24"/>
      <c r="N64" s="24"/>
      <c r="O64" s="24"/>
      <c r="P64" s="24"/>
      <c r="X64" s="24"/>
      <c r="Y64" s="24"/>
      <c r="Z64" s="24"/>
      <c r="AH64" s="24"/>
      <c r="AI64" s="24"/>
      <c r="AJ64" s="24"/>
      <c r="AR64" s="24"/>
      <c r="AS64" s="24"/>
      <c r="AT64" s="24"/>
      <c r="BB64" s="24"/>
      <c r="BC64" s="24"/>
      <c r="BD64" s="24"/>
      <c r="BG64" s="122"/>
      <c r="BH64" s="122"/>
      <c r="BI64" s="122"/>
      <c r="BJ64" s="122"/>
      <c r="BM64" s="24"/>
      <c r="BN64" s="24"/>
      <c r="BO64" s="24"/>
    </row>
    <row r="65" spans="1:73" s="3" customFormat="1" ht="16.2">
      <c r="A65" s="4" t="s">
        <v>59</v>
      </c>
    </row>
    <row r="66" spans="1:73">
      <c r="D66" s="132" t="str">
        <f>D5</f>
        <v>2016年度　（2016年4月-2017年3月）</v>
      </c>
      <c r="E66" s="132"/>
      <c r="F66" s="132"/>
      <c r="G66" s="132"/>
      <c r="H66" s="132"/>
      <c r="I66" s="132"/>
      <c r="J66" s="132"/>
      <c r="K66" s="132"/>
      <c r="L66" s="132"/>
      <c r="N66" s="132" t="str">
        <f>N5</f>
        <v>2015年度　（2015年4月-2016年3月）</v>
      </c>
      <c r="O66" s="132"/>
      <c r="P66" s="132"/>
      <c r="Q66" s="132"/>
      <c r="R66" s="132"/>
      <c r="S66" s="132"/>
      <c r="T66" s="132"/>
      <c r="U66" s="132"/>
      <c r="V66" s="132"/>
      <c r="X66" s="173" t="str">
        <f>X5</f>
        <v>2014年度　（2014年4月-2015年3月）</v>
      </c>
      <c r="Y66" s="173"/>
      <c r="Z66" s="173"/>
      <c r="AA66" s="173"/>
      <c r="AB66" s="173"/>
      <c r="AC66" s="173"/>
      <c r="AD66" s="173"/>
      <c r="AE66" s="173"/>
      <c r="AF66" s="173"/>
      <c r="AH66" s="173" t="str">
        <f>AH5</f>
        <v>2013年度　（2013年4月-2014年3月）</v>
      </c>
      <c r="AI66" s="173"/>
      <c r="AJ66" s="173"/>
      <c r="AK66" s="173"/>
      <c r="AL66" s="173"/>
      <c r="AM66" s="173"/>
      <c r="AN66" s="173"/>
      <c r="AO66" s="173"/>
      <c r="AP66" s="173"/>
      <c r="AR66" s="173" t="s">
        <v>106</v>
      </c>
      <c r="AS66" s="173"/>
      <c r="AT66" s="173"/>
      <c r="AU66" s="173"/>
      <c r="AV66" s="173"/>
      <c r="AW66" s="173"/>
      <c r="AX66" s="173"/>
      <c r="AY66" s="173"/>
      <c r="AZ66" s="173"/>
      <c r="BB66" s="129" t="s">
        <v>101</v>
      </c>
      <c r="BC66" s="129"/>
      <c r="BD66" s="129"/>
      <c r="BE66" s="129"/>
      <c r="BF66" s="129"/>
      <c r="BG66" s="129"/>
      <c r="BH66" s="129"/>
      <c r="BI66" s="129"/>
      <c r="BJ66" s="129"/>
      <c r="BM66" s="105" t="s">
        <v>100</v>
      </c>
      <c r="BN66" s="105"/>
      <c r="BO66" s="105"/>
      <c r="BP66" s="105"/>
      <c r="BQ66" s="105"/>
      <c r="BR66" s="105"/>
      <c r="BS66" s="105"/>
      <c r="BT66" s="105"/>
      <c r="BU66" s="105"/>
    </row>
    <row r="67" spans="1:73" ht="3.75" customHeight="1">
      <c r="D67" s="5"/>
      <c r="E67" s="5"/>
      <c r="F67" s="5"/>
      <c r="G67" s="5"/>
      <c r="H67" s="5"/>
      <c r="I67" s="5"/>
      <c r="J67" s="5"/>
      <c r="K67" s="5"/>
      <c r="L67" s="132"/>
      <c r="N67" s="5"/>
      <c r="O67" s="5"/>
      <c r="P67" s="5"/>
      <c r="Q67" s="5"/>
      <c r="R67" s="5"/>
      <c r="S67" s="5"/>
      <c r="T67" s="5"/>
      <c r="U67" s="5"/>
      <c r="V67" s="132"/>
      <c r="X67" s="5"/>
      <c r="Y67" s="5"/>
      <c r="Z67" s="5"/>
      <c r="AA67" s="5"/>
      <c r="AB67" s="5"/>
      <c r="AC67" s="5"/>
      <c r="AD67" s="5"/>
      <c r="AE67" s="5"/>
      <c r="AF67" s="173"/>
      <c r="AH67" s="5"/>
      <c r="AI67" s="5"/>
      <c r="AJ67" s="5"/>
      <c r="AK67" s="5"/>
      <c r="AL67" s="5"/>
      <c r="AM67" s="5"/>
      <c r="AN67" s="5"/>
      <c r="AO67" s="5"/>
      <c r="AP67" s="173"/>
      <c r="AR67" s="5"/>
      <c r="AS67" s="5"/>
      <c r="AT67" s="5"/>
      <c r="AU67" s="5"/>
      <c r="AV67" s="5"/>
      <c r="AW67" s="5"/>
      <c r="AX67" s="5"/>
      <c r="AY67" s="5"/>
      <c r="AZ67" s="173"/>
      <c r="BB67" s="5"/>
      <c r="BC67" s="5"/>
      <c r="BD67" s="5"/>
      <c r="BE67" s="5"/>
      <c r="BF67" s="5"/>
      <c r="BG67" s="5"/>
      <c r="BH67" s="5"/>
      <c r="BI67" s="5"/>
      <c r="BJ67" s="129"/>
      <c r="BM67" s="5"/>
      <c r="BN67" s="5"/>
      <c r="BO67" s="5"/>
      <c r="BP67" s="5"/>
      <c r="BQ67" s="5"/>
      <c r="BR67" s="5"/>
      <c r="BS67" s="5"/>
      <c r="BT67" s="5"/>
      <c r="BU67" s="105"/>
    </row>
    <row r="68" spans="1:73">
      <c r="D68" s="6"/>
      <c r="E68" s="6"/>
      <c r="F68" s="7" t="s">
        <v>28</v>
      </c>
      <c r="H68" s="7"/>
      <c r="I68" s="7"/>
      <c r="J68" s="7" t="s">
        <v>29</v>
      </c>
      <c r="L68" s="133" t="s">
        <v>30</v>
      </c>
      <c r="N68" s="6"/>
      <c r="O68" s="6"/>
      <c r="P68" s="7" t="s">
        <v>28</v>
      </c>
      <c r="R68" s="7"/>
      <c r="S68" s="7"/>
      <c r="T68" s="7" t="s">
        <v>29</v>
      </c>
      <c r="V68" s="133" t="s">
        <v>30</v>
      </c>
      <c r="X68" s="6"/>
      <c r="Y68" s="6"/>
      <c r="Z68" s="7" t="s">
        <v>28</v>
      </c>
      <c r="AB68" s="7"/>
      <c r="AC68" s="7"/>
      <c r="AD68" s="7" t="s">
        <v>29</v>
      </c>
      <c r="AF68" s="174" t="s">
        <v>30</v>
      </c>
      <c r="AH68" s="6"/>
      <c r="AI68" s="6"/>
      <c r="AJ68" s="7" t="s">
        <v>28</v>
      </c>
      <c r="AL68" s="7"/>
      <c r="AM68" s="7"/>
      <c r="AN68" s="7" t="s">
        <v>29</v>
      </c>
      <c r="AP68" s="174" t="s">
        <v>30</v>
      </c>
      <c r="AR68" s="6"/>
      <c r="AS68" s="6"/>
      <c r="AT68" s="7" t="s">
        <v>28</v>
      </c>
      <c r="AV68" s="7"/>
      <c r="AW68" s="7"/>
      <c r="AX68" s="7" t="s">
        <v>29</v>
      </c>
      <c r="AZ68" s="174" t="s">
        <v>30</v>
      </c>
      <c r="BB68" s="6"/>
      <c r="BC68" s="6"/>
      <c r="BD68" s="7" t="s">
        <v>28</v>
      </c>
      <c r="BF68" s="7"/>
      <c r="BG68" s="7"/>
      <c r="BH68" s="7" t="s">
        <v>29</v>
      </c>
      <c r="BJ68" s="130" t="s">
        <v>30</v>
      </c>
      <c r="BM68" s="6"/>
      <c r="BN68" s="6"/>
      <c r="BO68" s="7" t="s">
        <v>28</v>
      </c>
      <c r="BQ68" s="7"/>
      <c r="BR68" s="7"/>
      <c r="BS68" s="7" t="s">
        <v>29</v>
      </c>
      <c r="BU68" s="106" t="s">
        <v>30</v>
      </c>
    </row>
    <row r="69" spans="1:73" s="9" customFormat="1" ht="10.8">
      <c r="D69" s="9" t="s">
        <v>31</v>
      </c>
      <c r="E69" s="9" t="s">
        <v>32</v>
      </c>
      <c r="F69" s="10" t="s">
        <v>33</v>
      </c>
      <c r="H69" s="9" t="s">
        <v>7</v>
      </c>
      <c r="I69" s="9" t="s">
        <v>8</v>
      </c>
      <c r="J69" s="10"/>
      <c r="L69" s="134"/>
      <c r="N69" s="9" t="s">
        <v>31</v>
      </c>
      <c r="O69" s="9" t="s">
        <v>32</v>
      </c>
      <c r="P69" s="10" t="s">
        <v>33</v>
      </c>
      <c r="R69" s="9" t="s">
        <v>7</v>
      </c>
      <c r="S69" s="9" t="s">
        <v>8</v>
      </c>
      <c r="T69" s="10"/>
      <c r="V69" s="134"/>
      <c r="X69" s="9" t="s">
        <v>31</v>
      </c>
      <c r="Y69" s="9" t="s">
        <v>32</v>
      </c>
      <c r="Z69" s="10" t="s">
        <v>33</v>
      </c>
      <c r="AB69" s="9" t="s">
        <v>7</v>
      </c>
      <c r="AC69" s="9" t="s">
        <v>8</v>
      </c>
      <c r="AD69" s="10"/>
      <c r="AF69" s="175"/>
      <c r="AH69" s="9" t="s">
        <v>31</v>
      </c>
      <c r="AI69" s="9" t="s">
        <v>32</v>
      </c>
      <c r="AJ69" s="10" t="s">
        <v>33</v>
      </c>
      <c r="AL69" s="9" t="s">
        <v>7</v>
      </c>
      <c r="AM69" s="9" t="s">
        <v>8</v>
      </c>
      <c r="AN69" s="10"/>
      <c r="AP69" s="175"/>
      <c r="AR69" s="9" t="s">
        <v>31</v>
      </c>
      <c r="AS69" s="9" t="s">
        <v>32</v>
      </c>
      <c r="AT69" s="10" t="s">
        <v>33</v>
      </c>
      <c r="AV69" s="9" t="s">
        <v>7</v>
      </c>
      <c r="AW69" s="9" t="s">
        <v>8</v>
      </c>
      <c r="AX69" s="10"/>
      <c r="AZ69" s="175"/>
      <c r="BB69" s="9" t="s">
        <v>31</v>
      </c>
      <c r="BC69" s="9" t="s">
        <v>32</v>
      </c>
      <c r="BD69" s="10" t="s">
        <v>33</v>
      </c>
      <c r="BF69" s="9" t="s">
        <v>7</v>
      </c>
      <c r="BG69" s="9" t="s">
        <v>8</v>
      </c>
      <c r="BH69" s="10"/>
      <c r="BJ69" s="131"/>
      <c r="BM69" s="9" t="s">
        <v>31</v>
      </c>
      <c r="BN69" s="9" t="s">
        <v>32</v>
      </c>
      <c r="BO69" s="10" t="s">
        <v>33</v>
      </c>
      <c r="BQ69" s="9" t="s">
        <v>7</v>
      </c>
      <c r="BR69" s="9" t="s">
        <v>8</v>
      </c>
      <c r="BS69" s="10"/>
      <c r="BU69" s="107"/>
    </row>
    <row r="70" spans="1:73" s="9" customFormat="1" ht="10.8">
      <c r="D70" s="9" t="s">
        <v>34</v>
      </c>
      <c r="E70" s="9" t="s">
        <v>35</v>
      </c>
      <c r="F70" s="10" t="s">
        <v>36</v>
      </c>
      <c r="H70" s="9" t="s">
        <v>12</v>
      </c>
      <c r="I70" s="9" t="s">
        <v>13</v>
      </c>
      <c r="J70" s="10" t="s">
        <v>37</v>
      </c>
      <c r="L70" s="134" t="s">
        <v>38</v>
      </c>
      <c r="N70" s="9" t="s">
        <v>34</v>
      </c>
      <c r="O70" s="9" t="s">
        <v>35</v>
      </c>
      <c r="P70" s="10" t="s">
        <v>36</v>
      </c>
      <c r="R70" s="9" t="s">
        <v>12</v>
      </c>
      <c r="S70" s="9" t="s">
        <v>13</v>
      </c>
      <c r="T70" s="10" t="s">
        <v>37</v>
      </c>
      <c r="V70" s="134" t="s">
        <v>38</v>
      </c>
      <c r="X70" s="9" t="s">
        <v>34</v>
      </c>
      <c r="Y70" s="9" t="s">
        <v>35</v>
      </c>
      <c r="Z70" s="10" t="s">
        <v>36</v>
      </c>
      <c r="AB70" s="9" t="s">
        <v>12</v>
      </c>
      <c r="AC70" s="9" t="s">
        <v>13</v>
      </c>
      <c r="AD70" s="10" t="s">
        <v>37</v>
      </c>
      <c r="AF70" s="175" t="s">
        <v>38</v>
      </c>
      <c r="AH70" s="9" t="s">
        <v>34</v>
      </c>
      <c r="AI70" s="9" t="s">
        <v>35</v>
      </c>
      <c r="AJ70" s="10" t="s">
        <v>36</v>
      </c>
      <c r="AL70" s="9" t="s">
        <v>12</v>
      </c>
      <c r="AM70" s="9" t="s">
        <v>13</v>
      </c>
      <c r="AN70" s="10" t="s">
        <v>37</v>
      </c>
      <c r="AP70" s="175" t="s">
        <v>38</v>
      </c>
      <c r="AR70" s="9" t="s">
        <v>34</v>
      </c>
      <c r="AS70" s="9" t="s">
        <v>35</v>
      </c>
      <c r="AT70" s="10" t="s">
        <v>36</v>
      </c>
      <c r="AV70" s="9" t="s">
        <v>12</v>
      </c>
      <c r="AW70" s="9" t="s">
        <v>13</v>
      </c>
      <c r="AX70" s="10" t="s">
        <v>37</v>
      </c>
      <c r="AZ70" s="175" t="s">
        <v>38</v>
      </c>
      <c r="BB70" s="9" t="s">
        <v>34</v>
      </c>
      <c r="BC70" s="9" t="s">
        <v>35</v>
      </c>
      <c r="BD70" s="10" t="s">
        <v>36</v>
      </c>
      <c r="BF70" s="9" t="s">
        <v>12</v>
      </c>
      <c r="BG70" s="9" t="s">
        <v>13</v>
      </c>
      <c r="BH70" s="10" t="s">
        <v>37</v>
      </c>
      <c r="BJ70" s="131" t="s">
        <v>38</v>
      </c>
      <c r="BM70" s="9" t="s">
        <v>34</v>
      </c>
      <c r="BN70" s="9" t="s">
        <v>35</v>
      </c>
      <c r="BO70" s="10" t="s">
        <v>36</v>
      </c>
      <c r="BQ70" s="9" t="s">
        <v>12</v>
      </c>
      <c r="BR70" s="9" t="s">
        <v>13</v>
      </c>
      <c r="BS70" s="10" t="s">
        <v>37</v>
      </c>
      <c r="BU70" s="107" t="s">
        <v>38</v>
      </c>
    </row>
    <row r="71" spans="1:73" s="9" customFormat="1" ht="5.0999999999999996" customHeight="1">
      <c r="F71" s="11"/>
      <c r="J71" s="11"/>
      <c r="L71" s="11"/>
      <c r="P71" s="11"/>
      <c r="T71" s="11"/>
      <c r="V71" s="11"/>
      <c r="Z71" s="11"/>
      <c r="AD71" s="11"/>
      <c r="AF71" s="11"/>
      <c r="AJ71" s="11"/>
      <c r="AN71" s="11"/>
      <c r="AP71" s="11"/>
      <c r="AT71" s="11"/>
      <c r="AX71" s="11"/>
      <c r="AZ71" s="11"/>
      <c r="BD71" s="11"/>
      <c r="BH71" s="11"/>
      <c r="BJ71" s="11"/>
      <c r="BO71" s="11"/>
      <c r="BS71" s="11"/>
      <c r="BU71" s="11"/>
    </row>
    <row r="72" spans="1:73" ht="13.5" customHeight="1">
      <c r="B72" t="s">
        <v>60</v>
      </c>
      <c r="D72" s="176">
        <v>571.63</v>
      </c>
      <c r="E72" s="141"/>
      <c r="F72" s="38">
        <v>564.4</v>
      </c>
      <c r="G72" s="40"/>
      <c r="H72" s="176">
        <v>618.98</v>
      </c>
      <c r="I72" s="142"/>
      <c r="J72" s="142"/>
      <c r="K72" s="147"/>
      <c r="L72" s="198">
        <v>647.35</v>
      </c>
      <c r="N72" s="176">
        <v>795.64</v>
      </c>
      <c r="O72" s="141"/>
      <c r="P72" s="38">
        <v>743.81</v>
      </c>
      <c r="Q72" s="40"/>
      <c r="R72" s="176">
        <f>+AF72-80.05</f>
        <v>698.88</v>
      </c>
      <c r="S72" s="142"/>
      <c r="T72" s="142"/>
      <c r="U72" s="147"/>
      <c r="V72" s="198">
        <v>602.86</v>
      </c>
      <c r="X72" s="176">
        <v>847.96</v>
      </c>
      <c r="Y72" s="141"/>
      <c r="Z72" s="38">
        <v>848.74</v>
      </c>
      <c r="AA72" s="40"/>
      <c r="AB72" s="176">
        <v>801.74</v>
      </c>
      <c r="AC72" s="142"/>
      <c r="AD72" s="142"/>
      <c r="AE72" s="147"/>
      <c r="AF72" s="198">
        <v>778.93</v>
      </c>
      <c r="AH72" s="176">
        <v>805.78</v>
      </c>
      <c r="AI72" s="141"/>
      <c r="AJ72" s="38">
        <v>835.74</v>
      </c>
      <c r="AK72" s="40"/>
      <c r="AL72" s="38">
        <v>852.38</v>
      </c>
      <c r="AM72" s="142"/>
      <c r="AN72" s="142"/>
      <c r="AO72" s="147"/>
      <c r="AP72" s="156">
        <v>858.66</v>
      </c>
      <c r="AR72" s="38">
        <v>681.96</v>
      </c>
      <c r="AS72" s="141"/>
      <c r="AT72" s="38">
        <v>696.45</v>
      </c>
      <c r="AU72" s="40"/>
      <c r="AV72" s="38">
        <v>721.78</v>
      </c>
      <c r="AW72" s="142"/>
      <c r="AX72" s="142"/>
      <c r="AY72" s="147"/>
      <c r="AZ72" s="156">
        <v>781.3</v>
      </c>
      <c r="BB72" s="38">
        <v>685.66</v>
      </c>
      <c r="BC72" s="39"/>
      <c r="BD72" s="38">
        <v>694.54</v>
      </c>
      <c r="BE72" s="40"/>
      <c r="BF72" s="38">
        <v>686.2</v>
      </c>
      <c r="BG72" s="42"/>
      <c r="BH72" s="42"/>
      <c r="BI72" s="103"/>
      <c r="BJ72" s="38">
        <v>701.31</v>
      </c>
      <c r="BM72" s="38">
        <v>651.74674514696619</v>
      </c>
      <c r="BN72" s="39"/>
      <c r="BO72" s="38">
        <v>648.08676218291919</v>
      </c>
      <c r="BP72" s="40"/>
      <c r="BQ72" s="38">
        <v>657.56</v>
      </c>
      <c r="BR72" s="42"/>
      <c r="BS72" s="42"/>
      <c r="BT72" s="41"/>
      <c r="BU72" s="38">
        <v>654.77</v>
      </c>
    </row>
    <row r="73" spans="1:73" ht="13.5" customHeight="1">
      <c r="B73" t="s">
        <v>61</v>
      </c>
      <c r="D73" s="177">
        <v>10.15</v>
      </c>
      <c r="E73" s="116">
        <f>+F73-D73</f>
        <v>4.9999999999998934E-2</v>
      </c>
      <c r="F73" s="177">
        <v>10.199999999999999</v>
      </c>
      <c r="G73" s="40"/>
      <c r="H73" s="177">
        <v>38.020000000000003</v>
      </c>
      <c r="I73" s="116">
        <f>+J73-H73</f>
        <v>16.159999999999989</v>
      </c>
      <c r="J73" s="196">
        <f>+L73-F73</f>
        <v>54.179999999999993</v>
      </c>
      <c r="K73" s="197"/>
      <c r="L73" s="196">
        <v>64.38</v>
      </c>
      <c r="N73" s="177">
        <v>21.43</v>
      </c>
      <c r="O73" s="116">
        <f>+P73-N73</f>
        <v>-39.51</v>
      </c>
      <c r="P73" s="177">
        <v>-18.079999999999998</v>
      </c>
      <c r="Q73" s="40"/>
      <c r="R73" s="177">
        <f>-45.61-P73</f>
        <v>-27.53</v>
      </c>
      <c r="S73" s="116">
        <f>+T73-R73</f>
        <v>-66.400000000000006</v>
      </c>
      <c r="T73" s="196">
        <f>+V73-P73</f>
        <v>-93.93</v>
      </c>
      <c r="U73" s="197"/>
      <c r="V73" s="196">
        <v>-112.01</v>
      </c>
      <c r="X73" s="177">
        <v>5.69</v>
      </c>
      <c r="Y73" s="38">
        <f>Z73-X73</f>
        <v>1.4099999999999993</v>
      </c>
      <c r="Z73" s="38">
        <v>7.1</v>
      </c>
      <c r="AA73" s="40"/>
      <c r="AB73" s="177">
        <f>-53.9-Z73</f>
        <v>-61</v>
      </c>
      <c r="AC73" s="116">
        <f>+AD73-AB73</f>
        <v>-57.589999999999989</v>
      </c>
      <c r="AD73" s="196">
        <f>+AF73-Z73</f>
        <v>-118.58999999999999</v>
      </c>
      <c r="AE73" s="197"/>
      <c r="AF73" s="196">
        <v>-111.49</v>
      </c>
      <c r="AH73" s="177">
        <v>14.35</v>
      </c>
      <c r="AI73" s="38">
        <v>21.73</v>
      </c>
      <c r="AJ73" s="38">
        <v>36.08</v>
      </c>
      <c r="AK73" s="40"/>
      <c r="AL73" s="40">
        <f>53.04-AJ73</f>
        <v>16.96</v>
      </c>
      <c r="AM73" s="116">
        <f>+AN73-AL73</f>
        <v>-9.990000000000002</v>
      </c>
      <c r="AN73" s="40">
        <f>+AP73-AJ73</f>
        <v>6.9699999999999989</v>
      </c>
      <c r="AO73" s="41"/>
      <c r="AP73" s="40">
        <v>43.05</v>
      </c>
      <c r="AR73" s="136">
        <v>-13.22</v>
      </c>
      <c r="AS73" s="38">
        <v>24.01</v>
      </c>
      <c r="AT73" s="38">
        <v>10.79</v>
      </c>
      <c r="AU73" s="40"/>
      <c r="AV73" s="40">
        <f>36.96-AT73</f>
        <v>26.17</v>
      </c>
      <c r="AW73" s="116">
        <f>AX73-AV73</f>
        <v>27.169999999999995</v>
      </c>
      <c r="AX73" s="40">
        <f>AZ73-AT73</f>
        <v>53.339999999999996</v>
      </c>
      <c r="AY73" s="41"/>
      <c r="AZ73" s="40">
        <v>64.13</v>
      </c>
      <c r="BB73" s="38">
        <v>30.9</v>
      </c>
      <c r="BC73" s="38">
        <v>20.05</v>
      </c>
      <c r="BD73" s="38">
        <v>50.95</v>
      </c>
      <c r="BE73" s="40"/>
      <c r="BF73" s="40">
        <v>12.9</v>
      </c>
      <c r="BG73" s="26">
        <f>BH73-BF73</f>
        <v>4.7499999999999911</v>
      </c>
      <c r="BH73" s="40">
        <f>BJ73-BD73</f>
        <v>17.649999999999991</v>
      </c>
      <c r="BI73" s="41"/>
      <c r="BJ73" s="40">
        <v>68.599999999999994</v>
      </c>
      <c r="BM73" s="38">
        <v>105.41305424572776</v>
      </c>
      <c r="BN73" s="38">
        <v>9.8812202197250656</v>
      </c>
      <c r="BO73" s="38">
        <v>115.29427446545283</v>
      </c>
      <c r="BP73" s="40"/>
      <c r="BQ73" s="40">
        <v>16.335725534547166</v>
      </c>
      <c r="BR73" s="26">
        <v>-6.28</v>
      </c>
      <c r="BS73" s="40">
        <v>10.055725534547165</v>
      </c>
      <c r="BT73" s="41"/>
      <c r="BU73" s="40">
        <v>125.35</v>
      </c>
    </row>
    <row r="74" spans="1:73" ht="3.75" customHeight="1">
      <c r="D74" s="38"/>
      <c r="E74" s="141"/>
      <c r="F74" s="38"/>
      <c r="G74" s="40"/>
      <c r="H74" s="40"/>
      <c r="I74" s="142"/>
      <c r="J74" s="40"/>
      <c r="K74" s="41"/>
      <c r="L74" s="40"/>
      <c r="N74" s="38"/>
      <c r="O74" s="141"/>
      <c r="P74" s="38"/>
      <c r="Q74" s="40"/>
      <c r="R74" s="40"/>
      <c r="S74" s="142"/>
      <c r="T74" s="40"/>
      <c r="U74" s="41"/>
      <c r="V74" s="40"/>
      <c r="X74" s="38"/>
      <c r="Y74" s="141"/>
      <c r="Z74" s="38"/>
      <c r="AA74" s="40"/>
      <c r="AB74" s="40"/>
      <c r="AC74" s="142"/>
      <c r="AD74" s="40"/>
      <c r="AE74" s="41"/>
      <c r="AF74" s="40"/>
      <c r="AH74" s="38"/>
      <c r="AI74" s="141"/>
      <c r="AJ74" s="38"/>
      <c r="AK74" s="40"/>
      <c r="AL74" s="40"/>
      <c r="AM74" s="142"/>
      <c r="AN74" s="40"/>
      <c r="AO74" s="41"/>
      <c r="AP74" s="40"/>
      <c r="AR74" s="38"/>
      <c r="AS74" s="141"/>
      <c r="AT74" s="38"/>
      <c r="AU74" s="40"/>
      <c r="AV74" s="40"/>
      <c r="AW74" s="142"/>
      <c r="AX74" s="40"/>
      <c r="AY74" s="41"/>
      <c r="AZ74" s="40"/>
      <c r="BB74" s="38"/>
      <c r="BC74" s="39"/>
      <c r="BD74" s="38"/>
      <c r="BE74" s="40"/>
      <c r="BF74" s="40"/>
      <c r="BG74" s="42"/>
      <c r="BH74" s="40"/>
      <c r="BI74" s="41"/>
      <c r="BJ74" s="40"/>
      <c r="BM74" s="38"/>
      <c r="BN74" s="38"/>
      <c r="BO74" s="38"/>
      <c r="BP74" s="40"/>
      <c r="BQ74" s="40"/>
      <c r="BR74" s="40"/>
      <c r="BS74" s="40"/>
      <c r="BT74" s="41"/>
      <c r="BU74" s="40"/>
    </row>
    <row r="75" spans="1:73" s="9" customFormat="1" ht="13.5" customHeight="1">
      <c r="B75" t="s">
        <v>62</v>
      </c>
      <c r="D75" s="135" t="s">
        <v>107</v>
      </c>
      <c r="E75" s="142"/>
      <c r="F75" s="40">
        <v>8</v>
      </c>
      <c r="G75" s="40"/>
      <c r="H75" s="135" t="s">
        <v>132</v>
      </c>
      <c r="I75" s="142"/>
      <c r="J75" s="40">
        <v>8</v>
      </c>
      <c r="K75" s="43"/>
      <c r="L75" s="40">
        <v>16</v>
      </c>
      <c r="N75" s="135" t="s">
        <v>107</v>
      </c>
      <c r="O75" s="142"/>
      <c r="P75" s="40">
        <v>8</v>
      </c>
      <c r="Q75" s="40"/>
      <c r="R75" s="135" t="s">
        <v>107</v>
      </c>
      <c r="S75" s="142"/>
      <c r="T75" s="40">
        <v>8</v>
      </c>
      <c r="U75" s="43"/>
      <c r="V75" s="40">
        <v>16</v>
      </c>
      <c r="X75" s="135" t="s">
        <v>107</v>
      </c>
      <c r="Y75" s="142"/>
      <c r="Z75" s="40">
        <v>8</v>
      </c>
      <c r="AA75" s="40"/>
      <c r="AB75" s="135" t="s">
        <v>107</v>
      </c>
      <c r="AC75" s="142"/>
      <c r="AD75" s="40">
        <v>8</v>
      </c>
      <c r="AE75" s="43"/>
      <c r="AF75" s="40">
        <v>16</v>
      </c>
      <c r="AH75" s="135" t="s">
        <v>107</v>
      </c>
      <c r="AI75" s="142"/>
      <c r="AJ75" s="40">
        <v>8</v>
      </c>
      <c r="AK75" s="40"/>
      <c r="AL75" s="135" t="s">
        <v>107</v>
      </c>
      <c r="AM75" s="142"/>
      <c r="AN75" s="40">
        <v>8</v>
      </c>
      <c r="AO75" s="43"/>
      <c r="AP75" s="40">
        <v>16</v>
      </c>
      <c r="AR75" s="135" t="s">
        <v>107</v>
      </c>
      <c r="AS75" s="142"/>
      <c r="AT75" s="40">
        <v>8</v>
      </c>
      <c r="AU75" s="40"/>
      <c r="AV75" s="135" t="s">
        <v>108</v>
      </c>
      <c r="AW75" s="142"/>
      <c r="AX75" s="40">
        <v>8</v>
      </c>
      <c r="AY75" s="43"/>
      <c r="AZ75" s="40">
        <v>16</v>
      </c>
      <c r="BB75" s="40" t="s">
        <v>88</v>
      </c>
      <c r="BC75" s="42"/>
      <c r="BD75" s="40">
        <v>8</v>
      </c>
      <c r="BE75" s="40"/>
      <c r="BF75" s="40" t="s">
        <v>104</v>
      </c>
      <c r="BG75" s="42"/>
      <c r="BH75" s="40">
        <v>8</v>
      </c>
      <c r="BI75" s="43"/>
      <c r="BJ75" s="40">
        <v>16</v>
      </c>
      <c r="BM75" s="40" t="s">
        <v>88</v>
      </c>
      <c r="BN75" s="42"/>
      <c r="BO75" s="40">
        <v>7.5</v>
      </c>
      <c r="BP75" s="40"/>
      <c r="BQ75" s="40" t="s">
        <v>88</v>
      </c>
      <c r="BR75" s="42"/>
      <c r="BS75" s="40">
        <v>8</v>
      </c>
      <c r="BT75" s="43"/>
      <c r="BU75" s="40">
        <v>15.5</v>
      </c>
    </row>
    <row r="76" spans="1:73" s="9" customFormat="1" ht="13.5" customHeight="1">
      <c r="B76" s="44"/>
      <c r="D76" s="40"/>
      <c r="E76" s="40"/>
      <c r="F76" s="40"/>
      <c r="G76" s="40"/>
      <c r="H76" s="40"/>
      <c r="I76" s="40"/>
      <c r="J76" s="40"/>
      <c r="K76" s="43"/>
      <c r="L76" s="40"/>
      <c r="N76" s="40"/>
      <c r="O76" s="40"/>
      <c r="P76" s="40"/>
      <c r="Q76" s="40"/>
      <c r="R76" s="40"/>
      <c r="S76" s="40"/>
      <c r="T76" s="40"/>
      <c r="U76" s="43"/>
      <c r="V76" s="40"/>
      <c r="X76" s="40"/>
      <c r="Y76" s="40"/>
      <c r="Z76" s="40"/>
      <c r="AA76" s="40"/>
      <c r="AB76" s="40"/>
      <c r="AC76" s="40"/>
      <c r="AD76" s="40"/>
      <c r="AE76" s="43"/>
      <c r="AF76" s="40"/>
      <c r="AH76" s="40"/>
      <c r="AI76" s="40"/>
      <c r="AJ76" s="40"/>
      <c r="AK76" s="40"/>
      <c r="AL76" s="40"/>
      <c r="AM76" s="40"/>
      <c r="AN76" s="40"/>
      <c r="AO76" s="43"/>
      <c r="AP76" s="40"/>
      <c r="AR76" s="40"/>
      <c r="AS76" s="40"/>
      <c r="AT76" s="40"/>
      <c r="AU76" s="40"/>
      <c r="AV76" s="40"/>
      <c r="AW76" s="40"/>
      <c r="AX76" s="40"/>
      <c r="AY76" s="43"/>
      <c r="AZ76" s="40"/>
      <c r="BB76" s="40"/>
      <c r="BC76" s="40"/>
      <c r="BD76" s="40"/>
      <c r="BE76" s="40"/>
      <c r="BF76" s="40"/>
      <c r="BG76" s="40"/>
      <c r="BH76" s="40"/>
      <c r="BI76" s="43"/>
      <c r="BJ76" s="40"/>
      <c r="BM76" s="40"/>
      <c r="BN76" s="40"/>
      <c r="BO76" s="40"/>
      <c r="BP76" s="40"/>
      <c r="BQ76" s="40"/>
      <c r="BR76" s="40"/>
      <c r="BS76" s="40"/>
      <c r="BT76" s="43"/>
      <c r="BU76" s="40"/>
    </row>
    <row r="77" spans="1:73" s="9" customFormat="1" ht="13.5" customHeight="1">
      <c r="B77" t="s">
        <v>63</v>
      </c>
      <c r="D77" s="40"/>
      <c r="E77" s="40"/>
      <c r="F77" s="40"/>
      <c r="G77" s="40"/>
      <c r="H77" s="40"/>
      <c r="I77" s="40"/>
      <c r="J77" s="40"/>
      <c r="K77" s="43"/>
      <c r="L77" s="40"/>
      <c r="N77" s="40"/>
      <c r="O77" s="40"/>
      <c r="P77" s="40"/>
      <c r="Q77" s="40"/>
      <c r="R77" s="40"/>
      <c r="S77" s="40"/>
      <c r="T77" s="40"/>
      <c r="U77" s="43"/>
      <c r="V77" s="40"/>
      <c r="X77" s="40"/>
      <c r="Y77" s="40"/>
      <c r="Z77" s="40"/>
      <c r="AA77" s="40"/>
      <c r="AB77" s="40"/>
      <c r="AC77" s="40"/>
      <c r="AD77" s="40"/>
      <c r="AE77" s="43"/>
      <c r="AF77" s="40"/>
      <c r="AH77" s="40"/>
      <c r="AI77" s="40"/>
      <c r="AJ77" s="40"/>
      <c r="AK77" s="40"/>
      <c r="AL77" s="40"/>
      <c r="AM77" s="40"/>
      <c r="AN77" s="40"/>
      <c r="AO77" s="43"/>
      <c r="AP77" s="40"/>
      <c r="AR77" s="40"/>
      <c r="AS77" s="40"/>
      <c r="AT77" s="40"/>
      <c r="AU77" s="40"/>
      <c r="AV77" s="40"/>
      <c r="AW77" s="40"/>
      <c r="AX77" s="40"/>
      <c r="AY77" s="43"/>
      <c r="AZ77" s="40"/>
      <c r="BB77" s="40"/>
      <c r="BC77" s="40"/>
      <c r="BD77" s="40"/>
      <c r="BE77" s="40"/>
      <c r="BF77" s="40"/>
      <c r="BG77" s="40"/>
      <c r="BH77" s="40"/>
      <c r="BI77" s="43"/>
      <c r="BJ77" s="40"/>
      <c r="BM77" s="40"/>
      <c r="BN77" s="40"/>
      <c r="BO77" s="40"/>
      <c r="BP77" s="40"/>
      <c r="BQ77" s="40"/>
      <c r="BR77" s="40"/>
      <c r="BS77" s="40"/>
      <c r="BT77" s="43"/>
      <c r="BU77" s="40"/>
    </row>
    <row r="78" spans="1:73" s="9" customFormat="1" ht="13.5" customHeight="1">
      <c r="B78" t="s">
        <v>64</v>
      </c>
      <c r="D78" s="46">
        <v>2495485.929</v>
      </c>
      <c r="E78" s="124"/>
      <c r="F78" s="46">
        <v>2495486</v>
      </c>
      <c r="G78" s="46"/>
      <c r="H78" s="46">
        <v>2495486</v>
      </c>
      <c r="I78" s="124"/>
      <c r="J78" s="124"/>
      <c r="K78" s="125"/>
      <c r="L78" s="46">
        <v>2495486</v>
      </c>
      <c r="N78" s="46">
        <v>2495485.929</v>
      </c>
      <c r="O78" s="124"/>
      <c r="P78" s="46">
        <v>2495485.929</v>
      </c>
      <c r="Q78" s="46"/>
      <c r="R78" s="46">
        <v>2495486</v>
      </c>
      <c r="S78" s="124"/>
      <c r="T78" s="124"/>
      <c r="U78" s="125"/>
      <c r="V78" s="46">
        <v>2495485.929</v>
      </c>
      <c r="X78" s="46">
        <v>2495485.929</v>
      </c>
      <c r="Y78" s="124"/>
      <c r="Z78" s="46">
        <v>2495485.929</v>
      </c>
      <c r="AA78" s="46"/>
      <c r="AB78" s="46">
        <v>2495485.929</v>
      </c>
      <c r="AC78" s="124"/>
      <c r="AD78" s="124"/>
      <c r="AE78" s="125"/>
      <c r="AF78" s="46">
        <v>2495485.929</v>
      </c>
      <c r="AH78" s="46">
        <v>2495485.929</v>
      </c>
      <c r="AI78" s="124"/>
      <c r="AJ78" s="46">
        <v>2495485.929</v>
      </c>
      <c r="AK78" s="46"/>
      <c r="AL78" s="46">
        <v>2495485.929</v>
      </c>
      <c r="AM78" s="124"/>
      <c r="AN78" s="124"/>
      <c r="AO78" s="125"/>
      <c r="AP78" s="46">
        <v>2495485.929</v>
      </c>
      <c r="AR78" s="46">
        <v>2495485.929</v>
      </c>
      <c r="AS78" s="124"/>
      <c r="AT78" s="46">
        <v>2495485.929</v>
      </c>
      <c r="AU78" s="46"/>
      <c r="AV78" s="46">
        <v>2495485.929</v>
      </c>
      <c r="AW78" s="124"/>
      <c r="AX78" s="124"/>
      <c r="AY78" s="125"/>
      <c r="AZ78" s="157">
        <v>2495486</v>
      </c>
      <c r="BB78" s="46">
        <v>2495485.929</v>
      </c>
      <c r="BC78" s="47"/>
      <c r="BD78" s="46">
        <v>2495485.929</v>
      </c>
      <c r="BE78" s="46"/>
      <c r="BF78" s="46">
        <v>2495486</v>
      </c>
      <c r="BG78" s="124"/>
      <c r="BH78" s="124"/>
      <c r="BI78" s="125"/>
      <c r="BJ78" s="46">
        <v>2495486</v>
      </c>
      <c r="BM78" s="46">
        <v>2495485.929</v>
      </c>
      <c r="BN78" s="47"/>
      <c r="BO78" s="46">
        <v>2495485.929</v>
      </c>
      <c r="BP78" s="46"/>
      <c r="BQ78" s="46">
        <v>2495485.929</v>
      </c>
      <c r="BR78" s="47"/>
      <c r="BS78" s="47"/>
      <c r="BT78" s="48"/>
      <c r="BU78" s="46">
        <v>2495485.929</v>
      </c>
    </row>
    <row r="79" spans="1:73" s="9" customFormat="1" ht="13.5" customHeight="1">
      <c r="B79" t="s">
        <v>65</v>
      </c>
      <c r="D79" s="46">
        <v>9139.65</v>
      </c>
      <c r="E79" s="124"/>
      <c r="F79" s="46">
        <v>9152</v>
      </c>
      <c r="G79" s="46"/>
      <c r="H79" s="46">
        <v>9172</v>
      </c>
      <c r="I79" s="124"/>
      <c r="J79" s="124"/>
      <c r="K79" s="125"/>
      <c r="L79" s="157">
        <v>9188</v>
      </c>
      <c r="N79" s="46">
        <v>9074.5419999999995</v>
      </c>
      <c r="O79" s="124"/>
      <c r="P79" s="46">
        <v>9089.0480000000007</v>
      </c>
      <c r="Q79" s="46"/>
      <c r="R79" s="46">
        <v>9110</v>
      </c>
      <c r="S79" s="124"/>
      <c r="T79" s="124"/>
      <c r="U79" s="125"/>
      <c r="V79" s="157">
        <v>9122.1749999999993</v>
      </c>
      <c r="X79" s="46">
        <v>9012.3459999999995</v>
      </c>
      <c r="Y79" s="124"/>
      <c r="Z79" s="46">
        <v>9020.5570000000007</v>
      </c>
      <c r="AA79" s="46"/>
      <c r="AB79" s="46">
        <v>9040.81</v>
      </c>
      <c r="AC79" s="124"/>
      <c r="AD79" s="124"/>
      <c r="AE79" s="125"/>
      <c r="AF79" s="157">
        <v>9055.7890000000007</v>
      </c>
      <c r="AH79" s="46">
        <v>8924.9159999999993</v>
      </c>
      <c r="AI79" s="124"/>
      <c r="AJ79" s="46">
        <v>8943.9</v>
      </c>
      <c r="AK79" s="46"/>
      <c r="AL79" s="46">
        <v>8967.8780000000006</v>
      </c>
      <c r="AM79" s="124"/>
      <c r="AN79" s="124"/>
      <c r="AO79" s="125"/>
      <c r="AP79" s="157">
        <v>8981.9449999999997</v>
      </c>
      <c r="AR79" s="46">
        <v>8421.9359999999997</v>
      </c>
      <c r="AS79" s="124"/>
      <c r="AT79" s="46">
        <v>8876.8639999999996</v>
      </c>
      <c r="AU79" s="46"/>
      <c r="AV79" s="46">
        <v>8894.0679999999993</v>
      </c>
      <c r="AW79" s="124"/>
      <c r="AX79" s="124"/>
      <c r="AY79" s="125"/>
      <c r="AZ79" s="157">
        <v>8907</v>
      </c>
      <c r="BB79" s="46">
        <v>8654.2530000000006</v>
      </c>
      <c r="BC79" s="47"/>
      <c r="BD79" s="46">
        <v>8637.6489999999994</v>
      </c>
      <c r="BE79" s="46"/>
      <c r="BF79" s="46">
        <v>8490</v>
      </c>
      <c r="BG79" s="124"/>
      <c r="BH79" s="124"/>
      <c r="BI79" s="125"/>
      <c r="BJ79" s="46">
        <v>8408</v>
      </c>
      <c r="BM79" s="46">
        <v>8558.2810000000009</v>
      </c>
      <c r="BN79" s="47"/>
      <c r="BO79" s="46">
        <v>8599.768</v>
      </c>
      <c r="BP79" s="46"/>
      <c r="BQ79" s="46">
        <v>8629.5740000000005</v>
      </c>
      <c r="BR79" s="47"/>
      <c r="BS79" s="47"/>
      <c r="BT79" s="48"/>
      <c r="BU79" s="46">
        <v>8643.2009999999991</v>
      </c>
    </row>
    <row r="80" spans="1:73" s="9" customFormat="1" ht="13.5" customHeight="1">
      <c r="B80" t="s">
        <v>66</v>
      </c>
      <c r="D80" s="46">
        <v>2486357.5049999999</v>
      </c>
      <c r="E80" s="124"/>
      <c r="F80" s="46">
        <v>2486349</v>
      </c>
      <c r="G80" s="46"/>
      <c r="H80" s="46">
        <v>2486342</v>
      </c>
      <c r="I80" s="124"/>
      <c r="J80" s="124"/>
      <c r="K80" s="125"/>
      <c r="L80" s="157">
        <v>2486333</v>
      </c>
      <c r="N80" s="46">
        <v>2486422.6779999998</v>
      </c>
      <c r="O80" s="124"/>
      <c r="P80" s="46">
        <v>2486413.3790000002</v>
      </c>
      <c r="Q80" s="46"/>
      <c r="R80" s="46">
        <v>2486406</v>
      </c>
      <c r="S80" s="124"/>
      <c r="T80" s="124"/>
      <c r="U80" s="125"/>
      <c r="V80" s="157">
        <v>2486396.5699999998</v>
      </c>
      <c r="X80" s="46">
        <v>2486485.7689999999</v>
      </c>
      <c r="Y80" s="124"/>
      <c r="Z80" s="46">
        <v>2486482.7829999998</v>
      </c>
      <c r="AA80" s="46"/>
      <c r="AB80" s="46">
        <v>2486474.554</v>
      </c>
      <c r="AC80" s="124"/>
      <c r="AD80" s="124"/>
      <c r="AE80" s="125"/>
      <c r="AF80" s="157">
        <v>2486465.2829999998</v>
      </c>
      <c r="AH80" s="46">
        <v>2486571.977</v>
      </c>
      <c r="AI80" s="124"/>
      <c r="AJ80" s="46">
        <v>2486561.5419999999</v>
      </c>
      <c r="AK80" s="46"/>
      <c r="AL80" s="46">
        <v>2486552.3450000002</v>
      </c>
      <c r="AM80" s="124"/>
      <c r="AN80" s="124"/>
      <c r="AO80" s="125"/>
      <c r="AP80" s="157">
        <v>2486541.9380000001</v>
      </c>
      <c r="AR80" s="46">
        <v>2487071.7740000002</v>
      </c>
      <c r="AS80" s="124"/>
      <c r="AT80" s="46">
        <v>2486659.3330000001</v>
      </c>
      <c r="AU80" s="46"/>
      <c r="AV80" s="46">
        <v>2486640.46</v>
      </c>
      <c r="AW80" s="124"/>
      <c r="AX80" s="124"/>
      <c r="AY80" s="125"/>
      <c r="AZ80" s="157">
        <v>2486627</v>
      </c>
      <c r="BB80" s="46">
        <v>2486838.2680000002</v>
      </c>
      <c r="BC80" s="47"/>
      <c r="BD80" s="46">
        <v>2486843.3429999999</v>
      </c>
      <c r="BE80" s="46"/>
      <c r="BF80" s="46">
        <v>2486864</v>
      </c>
      <c r="BG80" s="124"/>
      <c r="BH80" s="124"/>
      <c r="BI80" s="125"/>
      <c r="BJ80" s="46">
        <v>2486912</v>
      </c>
      <c r="BM80" s="46">
        <v>2486950.0449999999</v>
      </c>
      <c r="BN80" s="47"/>
      <c r="BO80" s="46">
        <v>2486923.148</v>
      </c>
      <c r="BP80" s="46"/>
      <c r="BQ80" s="46">
        <v>2486907.0120000001</v>
      </c>
      <c r="BR80" s="47"/>
      <c r="BS80" s="47"/>
      <c r="BT80" s="48"/>
      <c r="BU80" s="46">
        <v>2486892.6179999998</v>
      </c>
    </row>
    <row r="81" spans="1:73" s="9" customFormat="1">
      <c r="B81"/>
      <c r="D81" s="199"/>
      <c r="E81" s="43"/>
      <c r="F81" s="45"/>
      <c r="G81" s="43"/>
      <c r="H81" s="43"/>
      <c r="I81" s="43"/>
      <c r="J81" s="45"/>
      <c r="K81" s="43"/>
      <c r="L81" s="43"/>
      <c r="N81" s="199"/>
      <c r="O81" s="43"/>
      <c r="P81" s="45"/>
      <c r="Q81" s="43"/>
      <c r="R81" s="43"/>
      <c r="S81" s="43"/>
      <c r="T81" s="45"/>
      <c r="U81" s="43"/>
      <c r="V81" s="43"/>
      <c r="X81" s="43"/>
      <c r="Y81" s="43"/>
      <c r="Z81" s="45"/>
      <c r="AA81" s="43"/>
      <c r="AB81" s="43"/>
      <c r="AC81" s="43"/>
      <c r="AD81" s="45"/>
      <c r="AE81" s="43"/>
      <c r="AF81" s="43"/>
      <c r="AH81" s="43"/>
      <c r="AI81" s="43"/>
      <c r="AJ81" s="45"/>
      <c r="AK81" s="43"/>
      <c r="AL81" s="43"/>
      <c r="AM81" s="43"/>
      <c r="AN81" s="45"/>
      <c r="AO81" s="43"/>
      <c r="AP81" s="43"/>
      <c r="AR81" s="43"/>
      <c r="AS81" s="43"/>
      <c r="AT81" s="45"/>
      <c r="AU81" s="43"/>
      <c r="AV81" s="43"/>
      <c r="AW81" s="43"/>
      <c r="AX81" s="45"/>
      <c r="AY81" s="43"/>
      <c r="AZ81" s="43"/>
      <c r="BB81" s="43"/>
      <c r="BC81" s="43"/>
      <c r="BD81" s="45"/>
      <c r="BE81" s="43"/>
      <c r="BF81" s="43"/>
      <c r="BG81" s="43"/>
      <c r="BH81" s="45"/>
      <c r="BI81" s="43"/>
      <c r="BJ81" s="43"/>
      <c r="BM81" s="43"/>
      <c r="BN81" s="43"/>
      <c r="BO81" s="45"/>
      <c r="BP81" s="43"/>
      <c r="BQ81" s="43"/>
      <c r="BR81" s="43"/>
      <c r="BS81" s="45"/>
      <c r="BT81" s="43"/>
      <c r="BU81" s="43"/>
    </row>
    <row r="82" spans="1:73" s="9" customFormat="1">
      <c r="A82" s="4" t="s">
        <v>67</v>
      </c>
      <c r="B82"/>
      <c r="D82" s="43"/>
      <c r="E82" s="43"/>
      <c r="F82" s="45"/>
      <c r="G82" s="43"/>
      <c r="H82" s="43"/>
      <c r="I82" s="43"/>
      <c r="J82" s="45"/>
      <c r="K82" s="43"/>
      <c r="L82" s="43"/>
      <c r="N82" s="43"/>
      <c r="O82" s="43"/>
      <c r="P82" s="45"/>
      <c r="Q82" s="43"/>
      <c r="R82" s="43"/>
      <c r="S82" s="43"/>
      <c r="T82" s="45"/>
      <c r="U82" s="43"/>
      <c r="V82" s="43"/>
      <c r="X82" s="43"/>
      <c r="Y82" s="43"/>
      <c r="Z82" s="45"/>
      <c r="AA82" s="43"/>
      <c r="AB82" s="43"/>
      <c r="AC82" s="43"/>
      <c r="AD82" s="45"/>
      <c r="AE82" s="43"/>
      <c r="AF82" s="43"/>
      <c r="AH82" s="43"/>
      <c r="AI82" s="43"/>
      <c r="AJ82" s="45"/>
      <c r="AK82" s="43"/>
      <c r="AL82" s="43"/>
      <c r="AM82" s="43"/>
      <c r="AN82" s="45"/>
      <c r="AO82" s="43"/>
      <c r="AP82" s="43"/>
      <c r="AR82" s="43"/>
      <c r="AS82" s="43"/>
      <c r="AT82" s="45"/>
      <c r="AU82" s="43"/>
      <c r="AV82" s="43"/>
      <c r="AW82" s="43"/>
      <c r="AX82" s="45"/>
      <c r="AY82" s="43"/>
      <c r="AZ82" s="43"/>
      <c r="BB82" s="43"/>
      <c r="BC82" s="43"/>
      <c r="BD82" s="45"/>
      <c r="BE82" s="43"/>
      <c r="BF82" s="43"/>
      <c r="BG82" s="43"/>
      <c r="BH82" s="45"/>
      <c r="BI82" s="43"/>
      <c r="BJ82" s="43"/>
      <c r="BM82" s="43"/>
      <c r="BN82" s="43"/>
      <c r="BO82" s="45"/>
      <c r="BP82" s="43"/>
      <c r="BQ82" s="43"/>
      <c r="BR82" s="43"/>
      <c r="BS82" s="45"/>
      <c r="BT82" s="43"/>
      <c r="BU82" s="43"/>
    </row>
    <row r="83" spans="1:73" s="9" customFormat="1" ht="13.5" customHeight="1">
      <c r="B83" t="s">
        <v>68</v>
      </c>
      <c r="D83" s="46">
        <v>14212.61</v>
      </c>
      <c r="E83" s="124"/>
      <c r="F83" s="46">
        <v>14033</v>
      </c>
      <c r="G83" s="40"/>
      <c r="H83" s="46">
        <v>15389</v>
      </c>
      <c r="I83" s="124"/>
      <c r="J83" s="124"/>
      <c r="K83" s="142"/>
      <c r="L83" s="157">
        <v>16095</v>
      </c>
      <c r="N83" s="46">
        <v>19783</v>
      </c>
      <c r="O83" s="124"/>
      <c r="P83" s="46">
        <v>18494</v>
      </c>
      <c r="Q83" s="40"/>
      <c r="R83" s="46">
        <f>21844-4467</f>
        <v>17377</v>
      </c>
      <c r="S83" s="124"/>
      <c r="T83" s="124"/>
      <c r="U83" s="142"/>
      <c r="V83" s="157">
        <v>14989.24</v>
      </c>
      <c r="X83" s="46">
        <v>21084</v>
      </c>
      <c r="Y83" s="124"/>
      <c r="Z83" s="46">
        <v>21104</v>
      </c>
      <c r="AA83" s="40"/>
      <c r="AB83" s="46">
        <v>19934.740000000002</v>
      </c>
      <c r="AC83" s="124"/>
      <c r="AD83" s="124"/>
      <c r="AE83" s="142"/>
      <c r="AF83" s="157">
        <v>19368</v>
      </c>
      <c r="AH83" s="46">
        <v>20036.27</v>
      </c>
      <c r="AI83" s="124"/>
      <c r="AJ83" s="46">
        <v>20781.05</v>
      </c>
      <c r="AK83" s="40"/>
      <c r="AL83" s="46">
        <v>21194.69</v>
      </c>
      <c r="AM83" s="124"/>
      <c r="AN83" s="124"/>
      <c r="AO83" s="142"/>
      <c r="AP83" s="157">
        <v>21350.58</v>
      </c>
      <c r="AR83" s="46">
        <v>16960.72</v>
      </c>
      <c r="AS83" s="124"/>
      <c r="AT83" s="46">
        <v>17317.87</v>
      </c>
      <c r="AU83" s="40"/>
      <c r="AV83" s="46">
        <v>17947.84</v>
      </c>
      <c r="AW83" s="124"/>
      <c r="AX83" s="124"/>
      <c r="AY83" s="142"/>
      <c r="AZ83" s="157">
        <v>19427.54</v>
      </c>
      <c r="BB83" s="46">
        <v>17051.28</v>
      </c>
      <c r="BC83" s="47"/>
      <c r="BD83" s="46">
        <v>17272.150000000001</v>
      </c>
      <c r="BE83" s="40"/>
      <c r="BF83" s="46">
        <v>17065</v>
      </c>
      <c r="BG83" s="47"/>
      <c r="BH83" s="47"/>
      <c r="BI83" s="42"/>
      <c r="BJ83" s="46">
        <v>17442.03</v>
      </c>
      <c r="BM83" s="46">
        <v>16208.47</v>
      </c>
      <c r="BN83" s="47"/>
      <c r="BO83" s="46">
        <v>16117.18</v>
      </c>
      <c r="BP83" s="40"/>
      <c r="BQ83" s="46">
        <v>16352.66</v>
      </c>
      <c r="BR83" s="47"/>
      <c r="BS83" s="47"/>
      <c r="BT83" s="40"/>
      <c r="BU83" s="46">
        <v>16283</v>
      </c>
    </row>
    <row r="84" spans="1:73" s="9" customFormat="1" ht="13.5" customHeight="1">
      <c r="B84" t="s">
        <v>69</v>
      </c>
      <c r="D84" s="49">
        <v>0.22516809252217998</v>
      </c>
      <c r="E84" s="141"/>
      <c r="F84" s="49">
        <v>0.22600000000000001</v>
      </c>
      <c r="G84" s="50"/>
      <c r="H84" s="49">
        <v>0.22700000000000001</v>
      </c>
      <c r="I84" s="141"/>
      <c r="J84" s="141"/>
      <c r="K84" s="143"/>
      <c r="L84" s="49">
        <v>0.24199999999999999</v>
      </c>
      <c r="N84" s="49">
        <v>0.26400000000000001</v>
      </c>
      <c r="O84" s="141"/>
      <c r="P84" s="49">
        <v>0.25747260855643261</v>
      </c>
      <c r="Q84" s="50"/>
      <c r="R84" s="49">
        <f>+AF84-1.5/100</f>
        <v>0.246</v>
      </c>
      <c r="S84" s="141"/>
      <c r="T84" s="141"/>
      <c r="U84" s="143"/>
      <c r="V84" s="49">
        <v>0.223</v>
      </c>
      <c r="X84" s="49">
        <v>0.27400000000000002</v>
      </c>
      <c r="Y84" s="141"/>
      <c r="Z84" s="49">
        <v>0.26800000000000002</v>
      </c>
      <c r="AA84" s="50"/>
      <c r="AB84" s="49">
        <v>0.253</v>
      </c>
      <c r="AC84" s="141"/>
      <c r="AD84" s="141"/>
      <c r="AE84" s="143"/>
      <c r="AF84" s="158">
        <v>0.26100000000000001</v>
      </c>
      <c r="AH84" s="49">
        <v>0.28000000000000003</v>
      </c>
      <c r="AI84" s="141"/>
      <c r="AJ84" s="49">
        <v>0.28100000000000003</v>
      </c>
      <c r="AK84" s="50"/>
      <c r="AL84" s="49">
        <v>0.26400000000000001</v>
      </c>
      <c r="AM84" s="141"/>
      <c r="AN84" s="141"/>
      <c r="AO84" s="143"/>
      <c r="AP84" s="158">
        <v>0.27400000000000002</v>
      </c>
      <c r="AR84" s="49">
        <v>0.26500000000000001</v>
      </c>
      <c r="AS84" s="141"/>
      <c r="AT84" s="49">
        <v>0.26500000000000001</v>
      </c>
      <c r="AU84" s="50"/>
      <c r="AV84" s="49">
        <v>0.26100000000000001</v>
      </c>
      <c r="AW84" s="141"/>
      <c r="AX84" s="141"/>
      <c r="AY84" s="143"/>
      <c r="AZ84" s="158">
        <v>0.26700000000000002</v>
      </c>
      <c r="BB84" s="49">
        <v>0.26700000000000002</v>
      </c>
      <c r="BC84" s="39"/>
      <c r="BD84" s="49">
        <v>0.27300000000000002</v>
      </c>
      <c r="BE84" s="50"/>
      <c r="BF84" s="49">
        <v>0.25700000000000001</v>
      </c>
      <c r="BG84" s="39"/>
      <c r="BH84" s="39"/>
      <c r="BI84" s="104"/>
      <c r="BJ84" s="49">
        <v>0.26100000000000001</v>
      </c>
      <c r="BM84" s="49">
        <v>0.26568061061495046</v>
      </c>
      <c r="BN84" s="39"/>
      <c r="BO84" s="49">
        <v>0.27185111556891511</v>
      </c>
      <c r="BP84" s="50"/>
      <c r="BQ84" s="49">
        <v>0.25758146874422605</v>
      </c>
      <c r="BR84" s="39"/>
      <c r="BS84" s="39"/>
      <c r="BT84" s="50"/>
      <c r="BU84" s="49">
        <v>0.26011356625715382</v>
      </c>
    </row>
    <row r="85" spans="1:73" s="9" customFormat="1" ht="13.5" customHeight="1">
      <c r="B85" t="s">
        <v>70</v>
      </c>
      <c r="D85" s="46">
        <v>25045</v>
      </c>
      <c r="E85" s="124"/>
      <c r="F85" s="46">
        <v>24334</v>
      </c>
      <c r="G85" s="50"/>
      <c r="H85" s="46">
        <v>25404</v>
      </c>
      <c r="I85" s="124"/>
      <c r="J85" s="124"/>
      <c r="K85" s="143"/>
      <c r="L85" s="157">
        <v>24591</v>
      </c>
      <c r="N85" s="46">
        <v>28143</v>
      </c>
      <c r="O85" s="124"/>
      <c r="P85" s="46">
        <v>28033</v>
      </c>
      <c r="Q85" s="50"/>
      <c r="R85" s="46">
        <v>27031</v>
      </c>
      <c r="S85" s="124"/>
      <c r="T85" s="124"/>
      <c r="U85" s="143"/>
      <c r="V85" s="157">
        <v>25814</v>
      </c>
      <c r="X85" s="46">
        <v>28826</v>
      </c>
      <c r="Y85" s="124"/>
      <c r="Z85" s="46">
        <v>30270</v>
      </c>
      <c r="AA85" s="50"/>
      <c r="AB85" s="46">
        <v>29315</v>
      </c>
      <c r="AC85" s="124"/>
      <c r="AD85" s="124"/>
      <c r="AE85" s="143"/>
      <c r="AF85" s="157">
        <v>26203</v>
      </c>
      <c r="AH85" s="46">
        <v>25278</v>
      </c>
      <c r="AI85" s="124"/>
      <c r="AJ85" s="46">
        <v>26084</v>
      </c>
      <c r="AK85" s="50"/>
      <c r="AL85" s="46">
        <v>30020</v>
      </c>
      <c r="AM85" s="124"/>
      <c r="AN85" s="124"/>
      <c r="AO85" s="143"/>
      <c r="AP85" s="157">
        <v>28017</v>
      </c>
      <c r="AR85" s="46">
        <v>23357</v>
      </c>
      <c r="AS85" s="124"/>
      <c r="AT85" s="46">
        <v>23238</v>
      </c>
      <c r="AU85" s="50"/>
      <c r="AV85" s="46">
        <v>25565</v>
      </c>
      <c r="AW85" s="124"/>
      <c r="AX85" s="124"/>
      <c r="AY85" s="143"/>
      <c r="AZ85" s="157">
        <v>25493</v>
      </c>
      <c r="BB85" s="46">
        <v>22582</v>
      </c>
      <c r="BC85" s="47"/>
      <c r="BD85" s="46">
        <v>21508</v>
      </c>
      <c r="BE85" s="50"/>
      <c r="BF85" s="46">
        <v>23508</v>
      </c>
      <c r="BG85" s="47"/>
      <c r="BH85" s="47"/>
      <c r="BI85" s="104"/>
      <c r="BJ85" s="46">
        <v>22825.99</v>
      </c>
      <c r="BM85" s="46">
        <v>24209.919999999998</v>
      </c>
      <c r="BN85" s="47"/>
      <c r="BO85" s="46">
        <v>21540.91</v>
      </c>
      <c r="BP85" s="50"/>
      <c r="BQ85" s="46">
        <v>22830.81</v>
      </c>
      <c r="BR85" s="47"/>
      <c r="BS85" s="47"/>
      <c r="BT85" s="50"/>
      <c r="BU85" s="46">
        <v>22646</v>
      </c>
    </row>
    <row r="86" spans="1:73" s="9" customFormat="1" ht="13.5" customHeight="1">
      <c r="B86" t="s">
        <v>71</v>
      </c>
      <c r="D86" s="58">
        <v>22062</v>
      </c>
      <c r="E86" s="124"/>
      <c r="F86" s="46">
        <v>21388</v>
      </c>
      <c r="G86" s="50"/>
      <c r="H86" s="46">
        <v>22773</v>
      </c>
      <c r="I86" s="124"/>
      <c r="J86" s="124"/>
      <c r="K86" s="143"/>
      <c r="L86" s="157">
        <v>21617</v>
      </c>
      <c r="N86" s="58">
        <v>25272</v>
      </c>
      <c r="O86" s="124"/>
      <c r="P86" s="46">
        <v>25312</v>
      </c>
      <c r="Q86" s="50"/>
      <c r="R86" s="46">
        <v>24488</v>
      </c>
      <c r="S86" s="124"/>
      <c r="T86" s="124"/>
      <c r="U86" s="143"/>
      <c r="V86" s="157">
        <f>V85-4927</f>
        <v>20887</v>
      </c>
      <c r="X86" s="58">
        <v>25923</v>
      </c>
      <c r="Y86" s="124"/>
      <c r="Z86" s="46">
        <v>27334</v>
      </c>
      <c r="AA86" s="50"/>
      <c r="AB86" s="46">
        <v>26878</v>
      </c>
      <c r="AC86" s="124"/>
      <c r="AD86" s="124"/>
      <c r="AE86" s="143"/>
      <c r="AF86" s="157">
        <v>22910</v>
      </c>
      <c r="AH86" s="58">
        <v>22972</v>
      </c>
      <c r="AI86" s="124"/>
      <c r="AJ86" s="46">
        <v>23255</v>
      </c>
      <c r="AK86" s="50"/>
      <c r="AL86" s="46">
        <v>26985</v>
      </c>
      <c r="AM86" s="124"/>
      <c r="AN86" s="124"/>
      <c r="AO86" s="143"/>
      <c r="AP86" s="157">
        <v>25200</v>
      </c>
      <c r="AR86" s="46">
        <v>20882</v>
      </c>
      <c r="AS86" s="124"/>
      <c r="AT86" s="46">
        <v>20484</v>
      </c>
      <c r="AU86" s="50"/>
      <c r="AV86" s="46">
        <v>22796.48</v>
      </c>
      <c r="AW86" s="124"/>
      <c r="AX86" s="124"/>
      <c r="AY86" s="143"/>
      <c r="AZ86" s="157">
        <v>22992</v>
      </c>
      <c r="BB86" s="46">
        <v>20278</v>
      </c>
      <c r="BC86" s="47"/>
      <c r="BD86" s="46">
        <v>19304</v>
      </c>
      <c r="BE86" s="50"/>
      <c r="BF86" s="46">
        <v>21060</v>
      </c>
      <c r="BG86" s="47"/>
      <c r="BH86" s="47"/>
      <c r="BI86" s="104"/>
      <c r="BJ86" s="46">
        <v>20406</v>
      </c>
      <c r="BM86" s="46">
        <v>21522.29</v>
      </c>
      <c r="BN86" s="47"/>
      <c r="BO86" s="46">
        <v>18836.45</v>
      </c>
      <c r="BP86" s="50"/>
      <c r="BQ86" s="46">
        <v>20033.830000000002</v>
      </c>
      <c r="BR86" s="47"/>
      <c r="BS86" s="47"/>
      <c r="BT86" s="50"/>
      <c r="BU86" s="46">
        <v>20311</v>
      </c>
    </row>
    <row r="87" spans="1:73" s="9" customFormat="1" ht="13.5" customHeight="1">
      <c r="B87" t="s">
        <v>72</v>
      </c>
      <c r="D87" s="50">
        <v>1.5522258051125022</v>
      </c>
      <c r="E87" s="142"/>
      <c r="F87" s="50">
        <v>1.52</v>
      </c>
      <c r="G87" s="50"/>
      <c r="H87" s="50">
        <v>1.48</v>
      </c>
      <c r="I87" s="142"/>
      <c r="J87" s="142"/>
      <c r="K87" s="143"/>
      <c r="L87" s="50">
        <v>1.34</v>
      </c>
      <c r="N87" s="50">
        <v>1.28</v>
      </c>
      <c r="O87" s="142"/>
      <c r="P87" s="50">
        <v>1.3686601059803178</v>
      </c>
      <c r="Q87" s="50"/>
      <c r="R87" s="50">
        <f>+AF87+0.23</f>
        <v>1.41</v>
      </c>
      <c r="S87" s="142"/>
      <c r="T87" s="142"/>
      <c r="U87" s="143"/>
      <c r="V87" s="50">
        <v>1.39</v>
      </c>
      <c r="X87" s="50">
        <v>1.23</v>
      </c>
      <c r="Y87" s="142"/>
      <c r="Z87" s="50">
        <v>1.3</v>
      </c>
      <c r="AA87" s="50"/>
      <c r="AB87" s="50">
        <v>1.35</v>
      </c>
      <c r="AC87" s="142"/>
      <c r="AD87" s="142"/>
      <c r="AE87" s="143"/>
      <c r="AF87" s="50">
        <v>1.18</v>
      </c>
      <c r="AH87" s="50">
        <v>1.1499999999999999</v>
      </c>
      <c r="AI87" s="142"/>
      <c r="AJ87" s="50">
        <v>1.1200000000000001</v>
      </c>
      <c r="AK87" s="50"/>
      <c r="AL87" s="50">
        <v>1.27</v>
      </c>
      <c r="AM87" s="142"/>
      <c r="AN87" s="142"/>
      <c r="AO87" s="143"/>
      <c r="AP87" s="50">
        <v>1.18</v>
      </c>
      <c r="AR87" s="50">
        <v>1.23</v>
      </c>
      <c r="AS87" s="142"/>
      <c r="AT87" s="50">
        <v>1.18</v>
      </c>
      <c r="AU87" s="50"/>
      <c r="AV87" s="50">
        <v>1.27</v>
      </c>
      <c r="AW87" s="142"/>
      <c r="AX87" s="142"/>
      <c r="AY87" s="143"/>
      <c r="AZ87" s="50">
        <v>1.18</v>
      </c>
      <c r="BB87" s="50">
        <v>1.19</v>
      </c>
      <c r="BC87" s="42"/>
      <c r="BD87" s="50">
        <v>1.1200000000000001</v>
      </c>
      <c r="BE87" s="50"/>
      <c r="BF87" s="50">
        <v>1.23</v>
      </c>
      <c r="BG87" s="42"/>
      <c r="BH87" s="42"/>
      <c r="BI87" s="104"/>
      <c r="BJ87" s="50">
        <v>1.17</v>
      </c>
      <c r="BM87" s="50">
        <v>1.3278421714079118</v>
      </c>
      <c r="BN87" s="42"/>
      <c r="BO87" s="50">
        <v>1.1687187212651347</v>
      </c>
      <c r="BP87" s="50"/>
      <c r="BQ87" s="50">
        <v>1.2251113886058906</v>
      </c>
      <c r="BR87" s="42"/>
      <c r="BS87" s="42"/>
      <c r="BT87" s="50"/>
      <c r="BU87" s="50">
        <v>1.2473745624270711</v>
      </c>
    </row>
    <row r="88" spans="1:73" s="9" customFormat="1" ht="13.5" customHeight="1">
      <c r="B88"/>
      <c r="D88" s="50"/>
      <c r="E88" s="40"/>
      <c r="F88" s="50"/>
      <c r="G88" s="50"/>
      <c r="H88" s="50"/>
      <c r="I88" s="50"/>
      <c r="J88" s="51"/>
      <c r="K88" s="50"/>
      <c r="L88" s="51"/>
      <c r="N88" s="50"/>
      <c r="O88" s="40"/>
      <c r="P88" s="50"/>
      <c r="Q88" s="50"/>
      <c r="R88" s="50"/>
      <c r="S88" s="50"/>
      <c r="T88" s="51"/>
      <c r="U88" s="50"/>
      <c r="V88" s="51"/>
      <c r="X88" s="50"/>
      <c r="Y88" s="40"/>
      <c r="Z88" s="50"/>
      <c r="AA88" s="50"/>
      <c r="AB88" s="50"/>
      <c r="AC88" s="50"/>
      <c r="AD88" s="51"/>
      <c r="AE88" s="50"/>
      <c r="AF88" s="51"/>
      <c r="AH88" s="50"/>
      <c r="AI88" s="40"/>
      <c r="AJ88" s="50"/>
      <c r="AK88" s="50"/>
      <c r="AL88" s="50"/>
      <c r="AM88" s="50"/>
      <c r="AN88" s="51"/>
      <c r="AO88" s="50"/>
      <c r="AP88" s="51"/>
      <c r="AR88" s="50"/>
      <c r="AS88" s="40"/>
      <c r="AT88" s="50"/>
      <c r="AU88" s="50"/>
      <c r="AV88" s="50"/>
      <c r="AW88" s="50"/>
      <c r="AX88" s="51"/>
      <c r="AY88" s="50"/>
      <c r="AZ88" s="51"/>
      <c r="BB88" s="50"/>
      <c r="BC88" s="40"/>
      <c r="BD88" s="50"/>
      <c r="BE88" s="50"/>
      <c r="BF88" s="50"/>
      <c r="BG88" s="50"/>
      <c r="BH88" s="51"/>
      <c r="BI88" s="50"/>
      <c r="BJ88" s="51"/>
      <c r="BM88" s="50"/>
      <c r="BN88" s="40"/>
      <c r="BO88" s="50"/>
      <c r="BP88" s="50"/>
      <c r="BQ88" s="50"/>
      <c r="BR88" s="50"/>
      <c r="BS88" s="51"/>
      <c r="BT88" s="50"/>
      <c r="BU88" s="51"/>
    </row>
    <row r="89" spans="1:73" s="9" customFormat="1" ht="16.5" customHeight="1">
      <c r="B89"/>
      <c r="E89" s="46"/>
      <c r="F89" s="11"/>
      <c r="J89" s="11"/>
      <c r="L89" s="11"/>
      <c r="O89" s="46"/>
      <c r="P89" s="11"/>
      <c r="T89" s="11"/>
      <c r="V89" s="11"/>
      <c r="Y89" s="46"/>
      <c r="Z89" s="11"/>
      <c r="AD89" s="11"/>
      <c r="AF89" s="11"/>
      <c r="AI89" s="46"/>
      <c r="AJ89" s="11"/>
      <c r="AN89" s="11"/>
      <c r="AP89" s="11"/>
      <c r="AS89" s="46"/>
      <c r="AT89" s="11"/>
      <c r="AX89" s="11"/>
      <c r="AZ89" s="11"/>
      <c r="BC89" s="46"/>
      <c r="BD89" s="11"/>
      <c r="BH89" s="11"/>
      <c r="BJ89" s="11"/>
      <c r="BN89" s="46"/>
      <c r="BO89" s="11"/>
      <c r="BS89" s="11"/>
      <c r="BU89" s="11"/>
    </row>
    <row r="90" spans="1:73" s="3" customFormat="1" ht="16.2">
      <c r="A90" s="4" t="s">
        <v>73</v>
      </c>
    </row>
    <row r="91" spans="1:73">
      <c r="B91" t="s">
        <v>1</v>
      </c>
      <c r="D91" s="132" t="str">
        <f>D5</f>
        <v>2016年度　（2016年4月-2017年3月）</v>
      </c>
      <c r="E91" s="132"/>
      <c r="F91" s="132"/>
      <c r="G91" s="132"/>
      <c r="H91" s="132"/>
      <c r="I91" s="132"/>
      <c r="J91" s="132"/>
      <c r="K91" s="132"/>
      <c r="L91" s="132"/>
      <c r="N91" s="132" t="str">
        <f>N5</f>
        <v>2015年度　（2015年4月-2016年3月）</v>
      </c>
      <c r="O91" s="132"/>
      <c r="P91" s="132"/>
      <c r="Q91" s="132"/>
      <c r="R91" s="132"/>
      <c r="S91" s="132"/>
      <c r="T91" s="132"/>
      <c r="U91" s="132"/>
      <c r="V91" s="132"/>
      <c r="X91" s="173" t="str">
        <f>X5</f>
        <v>2014年度　（2014年4月-2015年3月）</v>
      </c>
      <c r="Y91" s="173"/>
      <c r="Z91" s="173"/>
      <c r="AA91" s="173"/>
      <c r="AB91" s="173"/>
      <c r="AC91" s="173"/>
      <c r="AD91" s="173"/>
      <c r="AE91" s="173"/>
      <c r="AF91" s="173"/>
      <c r="AH91" s="173" t="str">
        <f>AH5</f>
        <v>2013年度　（2013年4月-2014年3月）</v>
      </c>
      <c r="AI91" s="173"/>
      <c r="AJ91" s="173"/>
      <c r="AK91" s="173"/>
      <c r="AL91" s="173"/>
      <c r="AM91" s="173"/>
      <c r="AN91" s="173"/>
      <c r="AO91" s="173"/>
      <c r="AP91" s="173"/>
      <c r="AR91" s="173" t="s">
        <v>106</v>
      </c>
      <c r="AS91" s="173"/>
      <c r="AT91" s="173"/>
      <c r="AU91" s="173"/>
      <c r="AV91" s="173"/>
      <c r="AW91" s="173"/>
      <c r="AX91" s="173"/>
      <c r="AY91" s="173"/>
      <c r="AZ91" s="173"/>
      <c r="BB91" s="129" t="s">
        <v>101</v>
      </c>
      <c r="BC91" s="129"/>
      <c r="BD91" s="129"/>
      <c r="BE91" s="129"/>
      <c r="BF91" s="129"/>
      <c r="BG91" s="129"/>
      <c r="BH91" s="129"/>
      <c r="BI91" s="129"/>
      <c r="BJ91" s="129"/>
      <c r="BM91" s="105" t="s">
        <v>100</v>
      </c>
      <c r="BN91" s="105"/>
      <c r="BO91" s="105"/>
      <c r="BP91" s="105"/>
      <c r="BQ91" s="105"/>
      <c r="BR91" s="105"/>
      <c r="BS91" s="105"/>
      <c r="BT91" s="105"/>
      <c r="BU91" s="105"/>
    </row>
    <row r="92" spans="1:73" ht="3.75" customHeight="1">
      <c r="D92" s="5"/>
      <c r="E92" s="5"/>
      <c r="F92" s="5"/>
      <c r="G92" s="5"/>
      <c r="H92" s="5"/>
      <c r="I92" s="5"/>
      <c r="J92" s="5"/>
      <c r="K92" s="5"/>
      <c r="L92" s="132"/>
      <c r="N92" s="5"/>
      <c r="O92" s="5"/>
      <c r="P92" s="5"/>
      <c r="Q92" s="5"/>
      <c r="R92" s="5"/>
      <c r="S92" s="5"/>
      <c r="T92" s="5"/>
      <c r="U92" s="5"/>
      <c r="V92" s="132"/>
      <c r="X92" s="5"/>
      <c r="Y92" s="5"/>
      <c r="Z92" s="5"/>
      <c r="AA92" s="5"/>
      <c r="AB92" s="5"/>
      <c r="AC92" s="5"/>
      <c r="AD92" s="5"/>
      <c r="AE92" s="5"/>
      <c r="AF92" s="173"/>
      <c r="AH92" s="5"/>
      <c r="AI92" s="5"/>
      <c r="AJ92" s="5"/>
      <c r="AK92" s="5"/>
      <c r="AL92" s="5"/>
      <c r="AM92" s="5"/>
      <c r="AN92" s="5"/>
      <c r="AO92" s="5"/>
      <c r="AP92" s="173"/>
      <c r="AR92" s="5"/>
      <c r="AS92" s="5"/>
      <c r="AT92" s="5"/>
      <c r="AU92" s="5"/>
      <c r="AV92" s="5"/>
      <c r="AW92" s="5"/>
      <c r="AX92" s="5"/>
      <c r="AY92" s="5"/>
      <c r="AZ92" s="173"/>
      <c r="BB92" s="5"/>
      <c r="BC92" s="5"/>
      <c r="BD92" s="5"/>
      <c r="BE92" s="5"/>
      <c r="BF92" s="5"/>
      <c r="BG92" s="5"/>
      <c r="BH92" s="5"/>
      <c r="BI92" s="5"/>
      <c r="BJ92" s="129"/>
      <c r="BM92" s="5"/>
      <c r="BN92" s="5"/>
      <c r="BO92" s="5"/>
      <c r="BP92" s="5"/>
      <c r="BQ92" s="5"/>
      <c r="BR92" s="5"/>
      <c r="BS92" s="5"/>
      <c r="BT92" s="5"/>
      <c r="BU92" s="105"/>
    </row>
    <row r="93" spans="1:73">
      <c r="D93" s="6"/>
      <c r="E93" s="6"/>
      <c r="F93" s="7" t="s">
        <v>28</v>
      </c>
      <c r="H93" s="7"/>
      <c r="I93" s="7"/>
      <c r="J93" s="7" t="s">
        <v>29</v>
      </c>
      <c r="L93" s="133" t="s">
        <v>30</v>
      </c>
      <c r="N93" s="6"/>
      <c r="O93" s="6"/>
      <c r="P93" s="7" t="s">
        <v>28</v>
      </c>
      <c r="R93" s="7"/>
      <c r="S93" s="7"/>
      <c r="T93" s="7" t="s">
        <v>29</v>
      </c>
      <c r="V93" s="133" t="s">
        <v>30</v>
      </c>
      <c r="X93" s="6"/>
      <c r="Y93" s="6"/>
      <c r="Z93" s="7" t="s">
        <v>28</v>
      </c>
      <c r="AB93" s="7"/>
      <c r="AC93" s="7"/>
      <c r="AD93" s="7" t="s">
        <v>29</v>
      </c>
      <c r="AF93" s="174" t="s">
        <v>30</v>
      </c>
      <c r="AH93" s="6"/>
      <c r="AI93" s="6"/>
      <c r="AJ93" s="7" t="s">
        <v>28</v>
      </c>
      <c r="AL93" s="7"/>
      <c r="AM93" s="7"/>
      <c r="AN93" s="7" t="s">
        <v>29</v>
      </c>
      <c r="AP93" s="174" t="s">
        <v>30</v>
      </c>
      <c r="AR93" s="6"/>
      <c r="AS93" s="6"/>
      <c r="AT93" s="7" t="s">
        <v>28</v>
      </c>
      <c r="AV93" s="7"/>
      <c r="AW93" s="7"/>
      <c r="AX93" s="7" t="s">
        <v>29</v>
      </c>
      <c r="AZ93" s="174" t="s">
        <v>30</v>
      </c>
      <c r="BB93" s="6"/>
      <c r="BC93" s="6"/>
      <c r="BD93" s="7" t="s">
        <v>28</v>
      </c>
      <c r="BF93" s="7"/>
      <c r="BG93" s="7"/>
      <c r="BH93" s="7" t="s">
        <v>29</v>
      </c>
      <c r="BJ93" s="130" t="s">
        <v>30</v>
      </c>
      <c r="BM93" s="6"/>
      <c r="BN93" s="6"/>
      <c r="BO93" s="7" t="s">
        <v>28</v>
      </c>
      <c r="BQ93" s="7"/>
      <c r="BR93" s="7"/>
      <c r="BS93" s="7" t="s">
        <v>29</v>
      </c>
      <c r="BU93" s="106" t="s">
        <v>30</v>
      </c>
    </row>
    <row r="94" spans="1:73" s="9" customFormat="1" ht="10.8">
      <c r="D94" s="9" t="s">
        <v>31</v>
      </c>
      <c r="E94" s="9" t="s">
        <v>32</v>
      </c>
      <c r="F94" s="10" t="s">
        <v>33</v>
      </c>
      <c r="H94" s="9" t="s">
        <v>7</v>
      </c>
      <c r="I94" s="9" t="s">
        <v>8</v>
      </c>
      <c r="J94" s="10"/>
      <c r="L94" s="134"/>
      <c r="N94" s="9" t="s">
        <v>31</v>
      </c>
      <c r="O94" s="9" t="s">
        <v>32</v>
      </c>
      <c r="P94" s="10" t="s">
        <v>33</v>
      </c>
      <c r="R94" s="9" t="s">
        <v>7</v>
      </c>
      <c r="S94" s="9" t="s">
        <v>8</v>
      </c>
      <c r="T94" s="10"/>
      <c r="V94" s="134"/>
      <c r="X94" s="9" t="s">
        <v>31</v>
      </c>
      <c r="Y94" s="9" t="s">
        <v>32</v>
      </c>
      <c r="Z94" s="10" t="s">
        <v>33</v>
      </c>
      <c r="AB94" s="9" t="s">
        <v>7</v>
      </c>
      <c r="AC94" s="9" t="s">
        <v>8</v>
      </c>
      <c r="AD94" s="10"/>
      <c r="AF94" s="175"/>
      <c r="AH94" s="9" t="s">
        <v>31</v>
      </c>
      <c r="AI94" s="9" t="s">
        <v>32</v>
      </c>
      <c r="AJ94" s="10" t="s">
        <v>33</v>
      </c>
      <c r="AL94" s="9" t="s">
        <v>7</v>
      </c>
      <c r="AM94" s="9" t="s">
        <v>8</v>
      </c>
      <c r="AN94" s="10"/>
      <c r="AP94" s="175"/>
      <c r="AR94" s="9" t="s">
        <v>31</v>
      </c>
      <c r="AS94" s="9" t="s">
        <v>32</v>
      </c>
      <c r="AT94" s="10" t="s">
        <v>33</v>
      </c>
      <c r="AV94" s="9" t="s">
        <v>7</v>
      </c>
      <c r="AW94" s="9" t="s">
        <v>8</v>
      </c>
      <c r="AX94" s="10"/>
      <c r="AZ94" s="175"/>
      <c r="BB94" s="9" t="s">
        <v>31</v>
      </c>
      <c r="BC94" s="9" t="s">
        <v>32</v>
      </c>
      <c r="BD94" s="10" t="s">
        <v>33</v>
      </c>
      <c r="BF94" s="9" t="s">
        <v>7</v>
      </c>
      <c r="BG94" s="9" t="s">
        <v>8</v>
      </c>
      <c r="BH94" s="10"/>
      <c r="BJ94" s="131"/>
      <c r="BM94" s="9" t="s">
        <v>31</v>
      </c>
      <c r="BN94" s="9" t="s">
        <v>32</v>
      </c>
      <c r="BO94" s="10" t="s">
        <v>33</v>
      </c>
      <c r="BQ94" s="9" t="s">
        <v>7</v>
      </c>
      <c r="BR94" s="9" t="s">
        <v>8</v>
      </c>
      <c r="BS94" s="10"/>
      <c r="BU94" s="107"/>
    </row>
    <row r="95" spans="1:73" s="9" customFormat="1" ht="10.8">
      <c r="D95" s="9" t="s">
        <v>34</v>
      </c>
      <c r="E95" s="9" t="s">
        <v>35</v>
      </c>
      <c r="F95" s="10" t="s">
        <v>36</v>
      </c>
      <c r="H95" s="9" t="s">
        <v>12</v>
      </c>
      <c r="I95" s="9" t="s">
        <v>13</v>
      </c>
      <c r="J95" s="10" t="s">
        <v>37</v>
      </c>
      <c r="L95" s="134" t="s">
        <v>38</v>
      </c>
      <c r="N95" s="9" t="s">
        <v>34</v>
      </c>
      <c r="O95" s="9" t="s">
        <v>35</v>
      </c>
      <c r="P95" s="10" t="s">
        <v>36</v>
      </c>
      <c r="R95" s="9" t="s">
        <v>12</v>
      </c>
      <c r="S95" s="9" t="s">
        <v>13</v>
      </c>
      <c r="T95" s="10" t="s">
        <v>37</v>
      </c>
      <c r="V95" s="134" t="s">
        <v>38</v>
      </c>
      <c r="X95" s="9" t="s">
        <v>34</v>
      </c>
      <c r="Y95" s="9" t="s">
        <v>35</v>
      </c>
      <c r="Z95" s="10" t="s">
        <v>36</v>
      </c>
      <c r="AB95" s="9" t="s">
        <v>12</v>
      </c>
      <c r="AC95" s="9" t="s">
        <v>13</v>
      </c>
      <c r="AD95" s="10" t="s">
        <v>37</v>
      </c>
      <c r="AF95" s="175" t="s">
        <v>38</v>
      </c>
      <c r="AH95" s="9" t="s">
        <v>34</v>
      </c>
      <c r="AI95" s="9" t="s">
        <v>35</v>
      </c>
      <c r="AJ95" s="10" t="s">
        <v>36</v>
      </c>
      <c r="AL95" s="9" t="s">
        <v>12</v>
      </c>
      <c r="AM95" s="9" t="s">
        <v>13</v>
      </c>
      <c r="AN95" s="10" t="s">
        <v>37</v>
      </c>
      <c r="AP95" s="175" t="s">
        <v>38</v>
      </c>
      <c r="AR95" s="9" t="s">
        <v>34</v>
      </c>
      <c r="AS95" s="9" t="s">
        <v>35</v>
      </c>
      <c r="AT95" s="10" t="s">
        <v>36</v>
      </c>
      <c r="AV95" s="9" t="s">
        <v>12</v>
      </c>
      <c r="AW95" s="9" t="s">
        <v>13</v>
      </c>
      <c r="AX95" s="10" t="s">
        <v>37</v>
      </c>
      <c r="AZ95" s="175" t="s">
        <v>38</v>
      </c>
      <c r="BB95" s="9" t="s">
        <v>34</v>
      </c>
      <c r="BC95" s="9" t="s">
        <v>35</v>
      </c>
      <c r="BD95" s="10" t="s">
        <v>36</v>
      </c>
      <c r="BF95" s="9" t="s">
        <v>12</v>
      </c>
      <c r="BG95" s="9" t="s">
        <v>13</v>
      </c>
      <c r="BH95" s="10" t="s">
        <v>37</v>
      </c>
      <c r="BJ95" s="131" t="s">
        <v>38</v>
      </c>
      <c r="BM95" s="9" t="s">
        <v>34</v>
      </c>
      <c r="BN95" s="9" t="s">
        <v>35</v>
      </c>
      <c r="BO95" s="10" t="s">
        <v>36</v>
      </c>
      <c r="BQ95" s="9" t="s">
        <v>12</v>
      </c>
      <c r="BR95" s="9" t="s">
        <v>13</v>
      </c>
      <c r="BS95" s="10" t="s">
        <v>37</v>
      </c>
      <c r="BU95" s="107" t="s">
        <v>38</v>
      </c>
    </row>
    <row r="96" spans="1:73" ht="5.0999999999999996" customHeight="1">
      <c r="H96" s="52"/>
      <c r="I96" s="52"/>
      <c r="J96" s="8"/>
      <c r="R96" s="52"/>
      <c r="S96" s="52"/>
      <c r="T96" s="8"/>
      <c r="AB96" s="52"/>
      <c r="AC96" s="52"/>
      <c r="AD96" s="8"/>
      <c r="AL96" s="52"/>
      <c r="AM96" s="52"/>
      <c r="AN96" s="8"/>
      <c r="AV96" s="52"/>
      <c r="AW96" s="52"/>
      <c r="AX96" s="8"/>
      <c r="BF96" s="52"/>
      <c r="BG96" s="52"/>
      <c r="BH96" s="8"/>
      <c r="BQ96" s="52"/>
      <c r="BR96" s="52"/>
      <c r="BS96" s="8"/>
    </row>
    <row r="97" spans="2:73" ht="13.5" customHeight="1" thickBot="1">
      <c r="B97" s="12" t="s">
        <v>39</v>
      </c>
      <c r="C97" s="12"/>
      <c r="D97" s="13">
        <v>18088</v>
      </c>
      <c r="E97" s="13">
        <f>+F97-D97</f>
        <v>18610</v>
      </c>
      <c r="F97" s="13">
        <v>36698</v>
      </c>
      <c r="G97" s="12"/>
      <c r="H97" s="57">
        <f>57774-F97</f>
        <v>21076</v>
      </c>
      <c r="I97" s="57">
        <f>J97-H97</f>
        <v>23586</v>
      </c>
      <c r="J97" s="57">
        <f>L97-F97</f>
        <v>44662</v>
      </c>
      <c r="K97" s="57"/>
      <c r="L97" s="200">
        <v>81360</v>
      </c>
      <c r="M97" s="12"/>
      <c r="N97" s="13">
        <v>23041</v>
      </c>
      <c r="O97" s="13">
        <f>+P97-N97</f>
        <v>22485</v>
      </c>
      <c r="P97" s="13">
        <f>+P32</f>
        <v>45526</v>
      </c>
      <c r="Q97" s="12"/>
      <c r="R97" s="57">
        <f>+R32</f>
        <v>21364</v>
      </c>
      <c r="S97" s="57">
        <f>T97-R97</f>
        <v>20488.179999999993</v>
      </c>
      <c r="T97" s="57">
        <f>V97-P97</f>
        <v>41852.179999999993</v>
      </c>
      <c r="U97" s="57"/>
      <c r="V97" s="200">
        <v>87378.18</v>
      </c>
      <c r="W97" s="12"/>
      <c r="X97" s="13">
        <v>26408.5</v>
      </c>
      <c r="Y97" s="13">
        <f>Z97-X97</f>
        <v>28015.5</v>
      </c>
      <c r="Z97" s="13">
        <v>54424</v>
      </c>
      <c r="AA97" s="12"/>
      <c r="AB97" s="57">
        <f>83436-Z97</f>
        <v>29012</v>
      </c>
      <c r="AC97" s="57">
        <f>AD97-AB97</f>
        <v>25389</v>
      </c>
      <c r="AD97" s="57">
        <f>AF97-Z97</f>
        <v>54401</v>
      </c>
      <c r="AE97" s="57"/>
      <c r="AF97" s="57">
        <v>108825</v>
      </c>
      <c r="AG97" s="12"/>
      <c r="AH97" s="13">
        <v>27738</v>
      </c>
      <c r="AI97" s="13">
        <f>AJ97-AH97</f>
        <v>30039</v>
      </c>
      <c r="AJ97" s="13">
        <v>57777</v>
      </c>
      <c r="AK97" s="12"/>
      <c r="AL97" s="57">
        <v>32258.89</v>
      </c>
      <c r="AM97" s="57">
        <v>34084.11</v>
      </c>
      <c r="AN97" s="87">
        <v>66343</v>
      </c>
      <c r="AO97" s="87"/>
      <c r="AP97" s="87">
        <v>124120</v>
      </c>
      <c r="AQ97" s="12"/>
      <c r="AR97" s="13">
        <v>25510</v>
      </c>
      <c r="AS97" s="13">
        <f>AT97-AR97</f>
        <v>26381</v>
      </c>
      <c r="AT97" s="13">
        <v>51891</v>
      </c>
      <c r="AU97" s="12"/>
      <c r="AV97" s="57">
        <f>80546-AT97</f>
        <v>28655</v>
      </c>
      <c r="AW97" s="57">
        <f>AX97-AV97</f>
        <v>31649</v>
      </c>
      <c r="AX97" s="87">
        <f>AZ97-AT97</f>
        <v>60304</v>
      </c>
      <c r="AY97" s="87"/>
      <c r="AZ97" s="87">
        <v>112195</v>
      </c>
      <c r="BA97" s="12"/>
      <c r="BB97" s="13">
        <v>24203</v>
      </c>
      <c r="BC97" s="13">
        <v>26593</v>
      </c>
      <c r="BD97" s="13">
        <v>50796</v>
      </c>
      <c r="BE97" s="12"/>
      <c r="BF97" s="57">
        <f>77904-BD97</f>
        <v>27108</v>
      </c>
      <c r="BG97" s="57">
        <f>BH97-BF97</f>
        <v>29335</v>
      </c>
      <c r="BH97" s="87">
        <f>BJ97-BD97</f>
        <v>56443</v>
      </c>
      <c r="BI97" s="87"/>
      <c r="BJ97" s="87">
        <v>107239</v>
      </c>
      <c r="BM97" s="13">
        <v>22351.83</v>
      </c>
      <c r="BN97" s="13">
        <v>22962.82</v>
      </c>
      <c r="BO97" s="13">
        <v>45314.65</v>
      </c>
      <c r="BP97" s="12"/>
      <c r="BQ97" s="57">
        <v>24114.400000000001</v>
      </c>
      <c r="BR97" s="57">
        <v>26914.91</v>
      </c>
      <c r="BS97" s="87">
        <v>51029.31</v>
      </c>
      <c r="BT97" s="87"/>
      <c r="BU97" s="87">
        <v>96343.96</v>
      </c>
    </row>
    <row r="98" spans="2:73" ht="13.5" customHeight="1">
      <c r="B98" t="s">
        <v>111</v>
      </c>
      <c r="D98" s="16">
        <v>14496</v>
      </c>
      <c r="E98" s="16">
        <f>+F98-D98</f>
        <v>15162</v>
      </c>
      <c r="F98" s="16">
        <v>29658</v>
      </c>
      <c r="H98" s="148">
        <f>47012-F98</f>
        <v>17354</v>
      </c>
      <c r="I98" s="85">
        <f>J98-H98</f>
        <v>19250</v>
      </c>
      <c r="J98" s="85">
        <f>L98-F98</f>
        <v>36604</v>
      </c>
      <c r="K98" s="58"/>
      <c r="L98" s="181">
        <v>66262</v>
      </c>
      <c r="N98" s="16">
        <v>19045</v>
      </c>
      <c r="O98" s="16">
        <f>+P98-N98</f>
        <v>18380</v>
      </c>
      <c r="P98" s="16">
        <v>37425</v>
      </c>
      <c r="R98" s="148">
        <f>55039-P98</f>
        <v>17614</v>
      </c>
      <c r="S98" s="85">
        <f>T98-R98</f>
        <v>16185.429999999993</v>
      </c>
      <c r="T98" s="85">
        <f>V98-P98</f>
        <v>33799.429999999993</v>
      </c>
      <c r="U98" s="58"/>
      <c r="V98" s="181">
        <v>71224.429999999993</v>
      </c>
      <c r="X98" s="16">
        <v>22328.82</v>
      </c>
      <c r="Y98" s="16">
        <f>Z98-X98</f>
        <v>23841.18</v>
      </c>
      <c r="Z98" s="16">
        <v>46170</v>
      </c>
      <c r="AB98" s="148">
        <f>70751-Z98</f>
        <v>24581</v>
      </c>
      <c r="AC98" s="85">
        <f>AD98-AB98</f>
        <v>20497</v>
      </c>
      <c r="AD98" s="85">
        <f>AF98-Z98</f>
        <v>45078</v>
      </c>
      <c r="AE98" s="58"/>
      <c r="AF98" s="58">
        <v>91248</v>
      </c>
      <c r="AH98" s="16">
        <v>23968</v>
      </c>
      <c r="AI98" s="16">
        <f t="shared" ref="AI98:AI121" si="13">AJ98-AH98</f>
        <v>26124</v>
      </c>
      <c r="AJ98" s="16">
        <v>50092</v>
      </c>
      <c r="AL98" s="148">
        <v>28002.679999999993</v>
      </c>
      <c r="AM98" s="85">
        <v>29455.320000000007</v>
      </c>
      <c r="AN98" s="89">
        <v>57458</v>
      </c>
      <c r="AO98" s="88"/>
      <c r="AP98" s="88">
        <v>107550</v>
      </c>
      <c r="AR98" s="16">
        <v>21942</v>
      </c>
      <c r="AS98" s="16">
        <f>AT98-AR98</f>
        <v>22735</v>
      </c>
      <c r="AT98" s="16">
        <v>44677</v>
      </c>
      <c r="AV98" s="148">
        <f>69744-AT98</f>
        <v>25067</v>
      </c>
      <c r="AW98" s="85">
        <f>AX98-AV98</f>
        <v>27252</v>
      </c>
      <c r="AX98" s="89">
        <f>AZ98-AT98</f>
        <v>52319</v>
      </c>
      <c r="AY98" s="88"/>
      <c r="AZ98" s="88">
        <v>96996</v>
      </c>
      <c r="BB98" s="16">
        <v>20248</v>
      </c>
      <c r="BC98" s="111">
        <v>22598</v>
      </c>
      <c r="BD98" s="16">
        <v>42846</v>
      </c>
      <c r="BF98" s="78">
        <f>66060-BD98</f>
        <v>23214</v>
      </c>
      <c r="BG98" s="85">
        <f>BH98-BF98</f>
        <v>25415</v>
      </c>
      <c r="BH98" s="89">
        <f>BJ98-BD98</f>
        <v>48629</v>
      </c>
      <c r="BI98" s="88"/>
      <c r="BJ98" s="88">
        <v>91475</v>
      </c>
      <c r="BM98" s="16">
        <v>18926.52</v>
      </c>
      <c r="BN98" s="16">
        <v>19416.97</v>
      </c>
      <c r="BO98" s="16">
        <v>38343.49</v>
      </c>
      <c r="BQ98" s="78">
        <v>20325.25</v>
      </c>
      <c r="BR98" s="85">
        <v>22649.88</v>
      </c>
      <c r="BS98" s="89">
        <v>42975.13</v>
      </c>
      <c r="BT98" s="88"/>
      <c r="BU98" s="88">
        <v>81318.62</v>
      </c>
    </row>
    <row r="99" spans="2:73" ht="13.5" customHeight="1">
      <c r="B99" t="s">
        <v>112</v>
      </c>
      <c r="D99" s="16">
        <v>561</v>
      </c>
      <c r="E99" s="16">
        <f>+F99-D99</f>
        <v>313</v>
      </c>
      <c r="F99" s="16">
        <v>874</v>
      </c>
      <c r="H99" s="148">
        <f>1258-F99</f>
        <v>384</v>
      </c>
      <c r="I99" s="58">
        <f>J99-H99</f>
        <v>388</v>
      </c>
      <c r="J99" s="58">
        <f>L99-F99</f>
        <v>772</v>
      </c>
      <c r="K99" s="58"/>
      <c r="L99" s="181">
        <v>1646</v>
      </c>
      <c r="N99" s="16">
        <v>458</v>
      </c>
      <c r="O99" s="16">
        <f>+P99-N99</f>
        <v>445</v>
      </c>
      <c r="P99" s="16">
        <v>903</v>
      </c>
      <c r="R99" s="148">
        <f>1348-P99</f>
        <v>445</v>
      </c>
      <c r="S99" s="58">
        <f>T99-R99</f>
        <v>409.54999999999995</v>
      </c>
      <c r="T99" s="58">
        <f>V99-P99</f>
        <v>854.55</v>
      </c>
      <c r="U99" s="58"/>
      <c r="V99" s="181">
        <v>1757.55</v>
      </c>
      <c r="X99" s="16">
        <v>547.80999999999995</v>
      </c>
      <c r="Y99" s="16">
        <f>Z99-X99</f>
        <v>496.19000000000005</v>
      </c>
      <c r="Z99" s="16">
        <v>1044</v>
      </c>
      <c r="AB99" s="148">
        <f>1615-Z99</f>
        <v>571</v>
      </c>
      <c r="AC99" s="58">
        <f>AD99-AB99</f>
        <v>649</v>
      </c>
      <c r="AD99" s="58">
        <f>AF99-Z99</f>
        <v>1220</v>
      </c>
      <c r="AE99" s="58"/>
      <c r="AF99" s="58">
        <v>2264</v>
      </c>
      <c r="AH99" s="16">
        <v>482</v>
      </c>
      <c r="AI99" s="16">
        <f t="shared" si="13"/>
        <v>459</v>
      </c>
      <c r="AJ99" s="16">
        <v>941</v>
      </c>
      <c r="AL99" s="148">
        <v>529.1400000000001</v>
      </c>
      <c r="AM99" s="58">
        <v>551.8599999999999</v>
      </c>
      <c r="AN99" s="88">
        <v>1081</v>
      </c>
      <c r="AO99" s="88"/>
      <c r="AP99" s="88">
        <v>2022</v>
      </c>
      <c r="AR99" s="16">
        <v>510</v>
      </c>
      <c r="AS99" s="16">
        <f>AT99-AR99</f>
        <v>445</v>
      </c>
      <c r="AT99" s="16">
        <v>955</v>
      </c>
      <c r="AV99" s="148">
        <f>1353-AT99</f>
        <v>398</v>
      </c>
      <c r="AW99" s="58">
        <f>AX99-AV99</f>
        <v>378</v>
      </c>
      <c r="AX99" s="88">
        <f>AZ99-AT99</f>
        <v>776</v>
      </c>
      <c r="AY99" s="88"/>
      <c r="AZ99" s="88">
        <v>1731</v>
      </c>
      <c r="BB99" s="16">
        <v>445</v>
      </c>
      <c r="BC99" s="112">
        <v>513</v>
      </c>
      <c r="BD99" s="16">
        <v>958</v>
      </c>
      <c r="BF99" s="78">
        <f>1417-BD99</f>
        <v>459</v>
      </c>
      <c r="BG99" s="58">
        <f>BH99-BF99</f>
        <v>461</v>
      </c>
      <c r="BH99" s="88">
        <f t="shared" ref="BH99:BH121" si="14">BJ99-BD99</f>
        <v>920</v>
      </c>
      <c r="BI99" s="88"/>
      <c r="BJ99" s="88">
        <v>1878</v>
      </c>
      <c r="BM99" s="16">
        <v>385.79</v>
      </c>
      <c r="BN99" s="16">
        <v>385.28</v>
      </c>
      <c r="BO99" s="16">
        <v>771.07</v>
      </c>
      <c r="BQ99" s="78">
        <v>332.58</v>
      </c>
      <c r="BR99" s="58">
        <v>383.92</v>
      </c>
      <c r="BS99" s="88">
        <v>716.5</v>
      </c>
      <c r="BT99" s="88"/>
      <c r="BU99" s="88">
        <v>1487.57</v>
      </c>
    </row>
    <row r="100" spans="2:73" ht="13.5" customHeight="1">
      <c r="B100" t="s">
        <v>117</v>
      </c>
      <c r="D100" s="32">
        <v>2338</v>
      </c>
      <c r="E100" s="16">
        <f>+F100-D100</f>
        <v>2308</v>
      </c>
      <c r="F100" s="32">
        <v>4646</v>
      </c>
      <c r="H100" s="148">
        <f>7154-F100</f>
        <v>2508</v>
      </c>
      <c r="I100" s="58">
        <f>J100-H100</f>
        <v>2877</v>
      </c>
      <c r="J100" s="58">
        <f>L100-F100</f>
        <v>5385</v>
      </c>
      <c r="K100" s="58"/>
      <c r="L100" s="181">
        <v>10031</v>
      </c>
      <c r="N100" s="32">
        <v>2797</v>
      </c>
      <c r="O100" s="16">
        <f>+P100-N100</f>
        <v>2835</v>
      </c>
      <c r="P100" s="32">
        <v>5632</v>
      </c>
      <c r="R100" s="148">
        <f>7928-P100</f>
        <v>2296</v>
      </c>
      <c r="S100" s="58">
        <f>T100-R100</f>
        <v>2568.84</v>
      </c>
      <c r="T100" s="58">
        <f>V100-P100</f>
        <v>4864.84</v>
      </c>
      <c r="U100" s="58"/>
      <c r="V100" s="181">
        <v>10496.84</v>
      </c>
      <c r="X100" s="32">
        <v>2682.14</v>
      </c>
      <c r="Y100" s="16">
        <f>Z100-X100</f>
        <v>2817.86</v>
      </c>
      <c r="Z100" s="32">
        <v>5500</v>
      </c>
      <c r="AB100" s="148">
        <f>8420-Z100</f>
        <v>2920</v>
      </c>
      <c r="AC100" s="58">
        <f>AD100-AB100</f>
        <v>3140</v>
      </c>
      <c r="AD100" s="58">
        <f>AF100-Z100</f>
        <v>6060</v>
      </c>
      <c r="AE100" s="58"/>
      <c r="AF100" s="58">
        <v>11560</v>
      </c>
      <c r="AH100" s="16">
        <v>2529</v>
      </c>
      <c r="AI100" s="16">
        <f t="shared" si="13"/>
        <v>2536</v>
      </c>
      <c r="AJ100" s="32">
        <v>5065</v>
      </c>
      <c r="AL100" s="148">
        <v>2601.54</v>
      </c>
      <c r="AM100" s="58">
        <v>2724.46</v>
      </c>
      <c r="AN100" s="88">
        <v>5326</v>
      </c>
      <c r="AO100" s="88"/>
      <c r="AP100" s="88">
        <v>10391</v>
      </c>
      <c r="AR100" s="16">
        <v>2232</v>
      </c>
      <c r="AS100" s="16">
        <f>AT100-AR100</f>
        <v>2249</v>
      </c>
      <c r="AT100" s="32">
        <v>4481</v>
      </c>
      <c r="AV100" s="148">
        <f>6629-AT100</f>
        <v>2148</v>
      </c>
      <c r="AW100" s="58">
        <f>AX100-AV100</f>
        <v>2646</v>
      </c>
      <c r="AX100" s="88">
        <f>AZ100-AT100</f>
        <v>4794</v>
      </c>
      <c r="AY100" s="88"/>
      <c r="AZ100" s="88">
        <v>9275</v>
      </c>
      <c r="BB100" s="16">
        <v>2773</v>
      </c>
      <c r="BC100" s="112">
        <v>2597</v>
      </c>
      <c r="BD100" s="32">
        <v>5370</v>
      </c>
      <c r="BF100" s="78">
        <f>7839-BD100</f>
        <v>2469</v>
      </c>
      <c r="BG100" s="58">
        <f>BH100-BF100</f>
        <v>2133</v>
      </c>
      <c r="BH100" s="88">
        <f t="shared" si="14"/>
        <v>4602</v>
      </c>
      <c r="BI100" s="88"/>
      <c r="BJ100" s="88">
        <v>9972</v>
      </c>
      <c r="BM100" s="16">
        <v>2349.9699999999998</v>
      </c>
      <c r="BN100" s="16">
        <v>2262.5300000000002</v>
      </c>
      <c r="BO100" s="32">
        <v>4612.5</v>
      </c>
      <c r="BQ100" s="78">
        <v>2456.06</v>
      </c>
      <c r="BR100" s="58">
        <v>2337</v>
      </c>
      <c r="BS100" s="88">
        <v>4793.0600000000004</v>
      </c>
      <c r="BT100" s="88"/>
      <c r="BU100" s="88">
        <v>9405.56</v>
      </c>
    </row>
    <row r="101" spans="2:73" ht="13.5" customHeight="1">
      <c r="B101" t="s">
        <v>119</v>
      </c>
      <c r="D101" s="16">
        <v>693</v>
      </c>
      <c r="E101" s="16">
        <f>+F101-D101</f>
        <v>827</v>
      </c>
      <c r="F101" s="16">
        <v>1520</v>
      </c>
      <c r="H101" s="148">
        <f>2350-F101</f>
        <v>830</v>
      </c>
      <c r="I101" s="58">
        <f>J101-H101</f>
        <v>1071</v>
      </c>
      <c r="J101" s="58">
        <f>L101-F101</f>
        <v>1901</v>
      </c>
      <c r="K101" s="58"/>
      <c r="L101" s="181">
        <v>3421</v>
      </c>
      <c r="N101" s="16">
        <v>741</v>
      </c>
      <c r="O101" s="16">
        <f>+P101-N101</f>
        <v>825</v>
      </c>
      <c r="P101" s="16">
        <v>1566</v>
      </c>
      <c r="R101" s="148">
        <f>2575-P101</f>
        <v>1009</v>
      </c>
      <c r="S101" s="58">
        <f>T101-R101</f>
        <v>1324.3600000000001</v>
      </c>
      <c r="T101" s="58">
        <f>V101-P101</f>
        <v>2333.36</v>
      </c>
      <c r="U101" s="58"/>
      <c r="V101" s="181">
        <v>3899.36</v>
      </c>
      <c r="X101" s="16">
        <f>1021.67-171.94</f>
        <v>849.73</v>
      </c>
      <c r="Y101" s="16">
        <f>Z101-X101</f>
        <v>860.27</v>
      </c>
      <c r="Z101" s="16">
        <v>1710</v>
      </c>
      <c r="AB101" s="148">
        <f>2650-Z101</f>
        <v>940</v>
      </c>
      <c r="AC101" s="58">
        <f>AD101-AB101</f>
        <v>1103</v>
      </c>
      <c r="AD101" s="58">
        <f>AF101-Z101</f>
        <v>2043</v>
      </c>
      <c r="AE101" s="58"/>
      <c r="AF101" s="58">
        <v>3753</v>
      </c>
      <c r="AH101" s="16">
        <v>759</v>
      </c>
      <c r="AI101" s="16">
        <f t="shared" si="13"/>
        <v>920</v>
      </c>
      <c r="AJ101" s="16">
        <v>1679</v>
      </c>
      <c r="AL101" s="148">
        <v>1125</v>
      </c>
      <c r="AM101" s="58">
        <v>1353</v>
      </c>
      <c r="AN101" s="88">
        <v>2478</v>
      </c>
      <c r="AO101" s="88"/>
      <c r="AP101" s="88">
        <v>4157</v>
      </c>
      <c r="AR101" s="16">
        <v>826</v>
      </c>
      <c r="AS101" s="16">
        <f>AT101-AR101</f>
        <v>952</v>
      </c>
      <c r="AT101" s="16">
        <v>1778</v>
      </c>
      <c r="AV101" s="148">
        <f>2820-AT101</f>
        <v>1042</v>
      </c>
      <c r="AW101" s="58">
        <f>AX101-AV101</f>
        <v>1373</v>
      </c>
      <c r="AX101" s="88">
        <f>AZ101-AT101</f>
        <v>2415</v>
      </c>
      <c r="AY101" s="88"/>
      <c r="AZ101" s="88">
        <v>4193</v>
      </c>
      <c r="BB101" s="16">
        <v>737</v>
      </c>
      <c r="BC101" s="112">
        <v>885</v>
      </c>
      <c r="BD101" s="16">
        <v>1622</v>
      </c>
      <c r="BF101" s="78">
        <f>2588-BD101</f>
        <v>966</v>
      </c>
      <c r="BG101" s="58">
        <f>BH101-BF101</f>
        <v>1326</v>
      </c>
      <c r="BH101" s="88">
        <f t="shared" si="14"/>
        <v>2292</v>
      </c>
      <c r="BI101" s="88"/>
      <c r="BJ101" s="88">
        <v>3914</v>
      </c>
      <c r="BM101" s="16">
        <v>689.55</v>
      </c>
      <c r="BN101" s="16">
        <v>898.04</v>
      </c>
      <c r="BO101" s="16">
        <v>1587.59</v>
      </c>
      <c r="BQ101" s="78">
        <v>1000.51</v>
      </c>
      <c r="BR101" s="58">
        <v>1542.9</v>
      </c>
      <c r="BS101" s="88">
        <v>2543.41</v>
      </c>
      <c r="BT101" s="88"/>
      <c r="BU101" s="88">
        <v>4131</v>
      </c>
    </row>
    <row r="102" spans="2:73" ht="15.75" customHeight="1">
      <c r="D102" s="16"/>
      <c r="E102" s="16"/>
      <c r="F102" s="16"/>
      <c r="I102" s="58"/>
      <c r="J102" s="58"/>
      <c r="K102" s="58"/>
      <c r="L102" s="201"/>
      <c r="N102" s="16"/>
      <c r="O102" s="16"/>
      <c r="P102" s="16"/>
      <c r="S102" s="58"/>
      <c r="T102" s="58"/>
      <c r="U102" s="58"/>
      <c r="V102" s="201"/>
      <c r="X102" s="16"/>
      <c r="Y102" s="16"/>
      <c r="Z102" s="16"/>
      <c r="AC102" s="58"/>
      <c r="AD102" s="58"/>
      <c r="AE102" s="58"/>
      <c r="AF102" s="112"/>
      <c r="AH102" s="16"/>
      <c r="AI102" s="16"/>
      <c r="AJ102" s="16"/>
      <c r="AM102" s="58"/>
      <c r="AN102" s="88"/>
      <c r="AO102" s="88"/>
      <c r="AP102" s="98"/>
      <c r="AR102" s="16"/>
      <c r="AS102" s="16"/>
      <c r="AT102" s="16"/>
      <c r="AW102" s="58"/>
      <c r="AX102" s="88"/>
      <c r="AY102" s="88"/>
      <c r="AZ102" s="98"/>
      <c r="BB102" s="16"/>
      <c r="BC102" s="16"/>
      <c r="BD102" s="16"/>
      <c r="BG102" s="58"/>
      <c r="BH102" s="88"/>
      <c r="BI102" s="88"/>
      <c r="BJ102" s="90"/>
      <c r="BM102" s="16"/>
      <c r="BN102" s="16"/>
      <c r="BO102" s="16"/>
      <c r="BR102" s="58"/>
      <c r="BS102" s="88"/>
      <c r="BT102" s="88"/>
      <c r="BU102" s="90"/>
    </row>
    <row r="103" spans="2:73" ht="13.5" customHeight="1" thickBot="1">
      <c r="B103" s="12" t="s">
        <v>75</v>
      </c>
      <c r="C103" s="12"/>
      <c r="D103" s="13">
        <v>267</v>
      </c>
      <c r="E103" s="13">
        <f>+F103-D103</f>
        <v>208</v>
      </c>
      <c r="F103" s="13">
        <v>475</v>
      </c>
      <c r="G103" s="12"/>
      <c r="H103" s="57">
        <f>1709-F103</f>
        <v>1234</v>
      </c>
      <c r="I103" s="57">
        <f>J103-H103</f>
        <v>1275</v>
      </c>
      <c r="J103" s="57">
        <f>L103-F103</f>
        <v>2509</v>
      </c>
      <c r="K103" s="57"/>
      <c r="L103" s="200">
        <v>2984</v>
      </c>
      <c r="M103" s="12"/>
      <c r="N103" s="13">
        <v>797</v>
      </c>
      <c r="O103" s="13">
        <f>+P103-N103</f>
        <v>-1252</v>
      </c>
      <c r="P103" s="13">
        <f>+P36</f>
        <v>-455</v>
      </c>
      <c r="Q103" s="12"/>
      <c r="R103" s="57">
        <f>+R36</f>
        <v>-338</v>
      </c>
      <c r="S103" s="57">
        <f>T103-R103</f>
        <v>171</v>
      </c>
      <c r="T103" s="57">
        <f>V103-P103</f>
        <v>-167</v>
      </c>
      <c r="U103" s="57"/>
      <c r="V103" s="200">
        <v>-622</v>
      </c>
      <c r="W103" s="12"/>
      <c r="X103" s="13">
        <v>27</v>
      </c>
      <c r="Y103" s="13">
        <f>Z103-X103</f>
        <v>116</v>
      </c>
      <c r="Z103" s="13">
        <v>143</v>
      </c>
      <c r="AA103" s="12"/>
      <c r="AB103" s="57">
        <f>-2054-Z103</f>
        <v>-2197</v>
      </c>
      <c r="AC103" s="57">
        <f>AD103-AB103</f>
        <v>-135</v>
      </c>
      <c r="AD103" s="57">
        <f>AF103-Z103</f>
        <v>-2332</v>
      </c>
      <c r="AE103" s="57"/>
      <c r="AF103" s="57">
        <v>-2189</v>
      </c>
      <c r="AG103" s="12"/>
      <c r="AH103" s="13">
        <v>536</v>
      </c>
      <c r="AI103" s="13">
        <f t="shared" si="13"/>
        <v>858</v>
      </c>
      <c r="AJ103" s="13">
        <v>1394</v>
      </c>
      <c r="AK103" s="12"/>
      <c r="AL103" s="57">
        <v>623.38000000000011</v>
      </c>
      <c r="AM103" s="57">
        <v>119.61999999999989</v>
      </c>
      <c r="AN103" s="87">
        <v>743</v>
      </c>
      <c r="AO103" s="87"/>
      <c r="AP103" s="87">
        <v>2137</v>
      </c>
      <c r="AQ103" s="12"/>
      <c r="AR103" s="13">
        <v>-655</v>
      </c>
      <c r="AS103" s="13">
        <f>AT103-AR103</f>
        <v>1029</v>
      </c>
      <c r="AT103" s="13">
        <v>374</v>
      </c>
      <c r="AU103" s="12"/>
      <c r="AV103" s="57">
        <f>1350-AT103</f>
        <v>976</v>
      </c>
      <c r="AW103" s="57">
        <f>AX103-AV103</f>
        <v>1165</v>
      </c>
      <c r="AX103" s="87">
        <f>AZ103-AT103</f>
        <v>2141</v>
      </c>
      <c r="AY103" s="87"/>
      <c r="AZ103" s="87">
        <v>2515</v>
      </c>
      <c r="BA103" s="12"/>
      <c r="BB103" s="13">
        <v>1245</v>
      </c>
      <c r="BC103" s="13">
        <v>708</v>
      </c>
      <c r="BD103" s="13">
        <v>1953</v>
      </c>
      <c r="BE103" s="12"/>
      <c r="BF103" s="57">
        <f>2345-BD103</f>
        <v>392</v>
      </c>
      <c r="BG103" s="57">
        <f>BH103-BF103</f>
        <v>934</v>
      </c>
      <c r="BH103" s="88">
        <f t="shared" si="14"/>
        <v>1326</v>
      </c>
      <c r="BI103" s="87"/>
      <c r="BJ103" s="87">
        <v>3279</v>
      </c>
      <c r="BM103" s="13">
        <v>339.83000000000106</v>
      </c>
      <c r="BN103" s="13">
        <v>423.94999999999868</v>
      </c>
      <c r="BO103" s="13">
        <v>763.78</v>
      </c>
      <c r="BP103" s="12"/>
      <c r="BQ103" s="57">
        <v>919.11</v>
      </c>
      <c r="BR103" s="57">
        <v>1661.11</v>
      </c>
      <c r="BS103" s="87">
        <v>2580.2199999999998</v>
      </c>
      <c r="BT103" s="87"/>
      <c r="BU103" s="87">
        <v>3344</v>
      </c>
    </row>
    <row r="104" spans="2:73" ht="13.5" customHeight="1">
      <c r="B104" t="s">
        <v>111</v>
      </c>
      <c r="D104" s="16">
        <v>247</v>
      </c>
      <c r="E104" s="16">
        <f>+F104-D104</f>
        <v>61</v>
      </c>
      <c r="F104" s="16">
        <v>308</v>
      </c>
      <c r="H104" s="16">
        <f>1252-F104</f>
        <v>944</v>
      </c>
      <c r="I104" s="85">
        <f>J104-H104</f>
        <v>898</v>
      </c>
      <c r="J104" s="16">
        <f>L104-F104</f>
        <v>1842</v>
      </c>
      <c r="K104" s="58"/>
      <c r="L104" s="181">
        <v>2150</v>
      </c>
      <c r="N104" s="16">
        <v>506</v>
      </c>
      <c r="O104" s="16">
        <f>+P104-N104</f>
        <v>-1416</v>
      </c>
      <c r="P104" s="16">
        <v>-910</v>
      </c>
      <c r="R104" s="16">
        <f>-1417-P104</f>
        <v>-507</v>
      </c>
      <c r="S104" s="85">
        <f>T104-R104</f>
        <v>3</v>
      </c>
      <c r="T104" s="16">
        <f>V104-P104</f>
        <v>-504</v>
      </c>
      <c r="U104" s="58"/>
      <c r="V104" s="181">
        <v>-1414</v>
      </c>
      <c r="X104" s="16">
        <v>-280</v>
      </c>
      <c r="Y104" s="16">
        <f>Z104-X104</f>
        <v>-189</v>
      </c>
      <c r="Z104" s="16">
        <v>-469</v>
      </c>
      <c r="AB104" s="16">
        <f>-3060-Z104</f>
        <v>-2591</v>
      </c>
      <c r="AC104" s="85">
        <f>AD104-AB104</f>
        <v>-593</v>
      </c>
      <c r="AD104" s="16">
        <f>AF104-Z104</f>
        <v>-3184</v>
      </c>
      <c r="AE104" s="58"/>
      <c r="AF104" s="58">
        <v>-3653</v>
      </c>
      <c r="AH104" s="16">
        <v>246</v>
      </c>
      <c r="AI104" s="16">
        <f t="shared" si="13"/>
        <v>561</v>
      </c>
      <c r="AJ104" s="16">
        <v>807</v>
      </c>
      <c r="AL104" s="148">
        <v>190</v>
      </c>
      <c r="AM104" s="85">
        <v>-198</v>
      </c>
      <c r="AN104" s="16">
        <v>-8</v>
      </c>
      <c r="AO104" s="88"/>
      <c r="AP104" s="88">
        <v>799</v>
      </c>
      <c r="AR104" s="16">
        <v>-985</v>
      </c>
      <c r="AS104" s="16">
        <f>AT104-AR104</f>
        <v>752</v>
      </c>
      <c r="AT104" s="16">
        <v>-233</v>
      </c>
      <c r="AV104" s="148">
        <f>452-AT104</f>
        <v>685</v>
      </c>
      <c r="AW104" s="85">
        <f>AX104-AV104</f>
        <v>937</v>
      </c>
      <c r="AX104" s="89">
        <f>AZ104-AT104</f>
        <v>1622</v>
      </c>
      <c r="AY104" s="88"/>
      <c r="AZ104" s="88">
        <v>1389</v>
      </c>
      <c r="BB104" s="16">
        <v>971</v>
      </c>
      <c r="BC104" s="112">
        <v>336</v>
      </c>
      <c r="BD104" s="16">
        <v>1307</v>
      </c>
      <c r="BF104" s="78">
        <f>1422-BD104</f>
        <v>115</v>
      </c>
      <c r="BG104" s="85">
        <f>BH104-BF104</f>
        <v>660</v>
      </c>
      <c r="BH104" s="89">
        <f t="shared" si="14"/>
        <v>775</v>
      </c>
      <c r="BI104" s="88"/>
      <c r="BJ104" s="88">
        <v>2082</v>
      </c>
      <c r="BM104" s="16">
        <v>143.69999999999999</v>
      </c>
      <c r="BN104" s="16">
        <v>225.3</v>
      </c>
      <c r="BO104" s="16">
        <v>369</v>
      </c>
      <c r="BQ104" s="78">
        <v>717</v>
      </c>
      <c r="BR104" s="85">
        <v>1305</v>
      </c>
      <c r="BS104" s="89">
        <v>2022</v>
      </c>
      <c r="BT104" s="88"/>
      <c r="BU104" s="88">
        <v>2391</v>
      </c>
    </row>
    <row r="105" spans="2:73" ht="13.5" customHeight="1">
      <c r="B105" t="s">
        <v>112</v>
      </c>
      <c r="D105" s="16">
        <v>-19</v>
      </c>
      <c r="E105" s="16">
        <f>+F105-D105</f>
        <v>31</v>
      </c>
      <c r="F105" s="16">
        <v>12</v>
      </c>
      <c r="H105" s="148">
        <f>144-F105</f>
        <v>132</v>
      </c>
      <c r="I105" s="58">
        <f>J105-H105</f>
        <v>104</v>
      </c>
      <c r="J105" s="58">
        <f>L105-F105</f>
        <v>236</v>
      </c>
      <c r="K105" s="58"/>
      <c r="L105" s="181">
        <v>248</v>
      </c>
      <c r="N105" s="16">
        <v>117</v>
      </c>
      <c r="O105" s="16">
        <f>+P105-N105</f>
        <v>29</v>
      </c>
      <c r="P105" s="16">
        <v>146</v>
      </c>
      <c r="R105" s="148">
        <f>207-P105</f>
        <v>61</v>
      </c>
      <c r="S105" s="58">
        <f>T105-R105</f>
        <v>9</v>
      </c>
      <c r="T105" s="58">
        <f>V105-P105</f>
        <v>70</v>
      </c>
      <c r="U105" s="58"/>
      <c r="V105" s="181">
        <v>216</v>
      </c>
      <c r="X105" s="16">
        <v>186</v>
      </c>
      <c r="Y105" s="16">
        <f>Z105-X105</f>
        <v>155</v>
      </c>
      <c r="Z105" s="16">
        <v>341</v>
      </c>
      <c r="AB105" s="148">
        <f>526-Z105</f>
        <v>185</v>
      </c>
      <c r="AC105" s="58">
        <f>AD105-AB105</f>
        <v>228</v>
      </c>
      <c r="AD105" s="58">
        <f>AF105-Z105</f>
        <v>413</v>
      </c>
      <c r="AE105" s="58"/>
      <c r="AF105" s="58">
        <v>754</v>
      </c>
      <c r="AH105" s="16">
        <v>247</v>
      </c>
      <c r="AI105" s="16">
        <f t="shared" si="13"/>
        <v>179</v>
      </c>
      <c r="AJ105" s="16">
        <v>426</v>
      </c>
      <c r="AL105" s="148">
        <v>256</v>
      </c>
      <c r="AM105" s="58">
        <v>152</v>
      </c>
      <c r="AN105" s="88">
        <v>408</v>
      </c>
      <c r="AO105" s="88"/>
      <c r="AP105" s="88">
        <v>834</v>
      </c>
      <c r="AR105" s="16">
        <v>300</v>
      </c>
      <c r="AS105" s="16">
        <f>AT105-AR105</f>
        <v>202</v>
      </c>
      <c r="AT105" s="16">
        <v>502</v>
      </c>
      <c r="AV105" s="148">
        <f>680-AT105</f>
        <v>178</v>
      </c>
      <c r="AW105" s="58">
        <f>AX105-AV105</f>
        <v>125</v>
      </c>
      <c r="AX105" s="88">
        <f>AZ105-AT105</f>
        <v>303</v>
      </c>
      <c r="AY105" s="88"/>
      <c r="AZ105" s="88">
        <v>805</v>
      </c>
      <c r="BB105" s="16">
        <v>216</v>
      </c>
      <c r="BC105" s="112">
        <v>272</v>
      </c>
      <c r="BD105" s="16">
        <v>488</v>
      </c>
      <c r="BF105" s="78">
        <f>700-BD105</f>
        <v>212</v>
      </c>
      <c r="BG105" s="58">
        <f>BH105-BF105</f>
        <v>205</v>
      </c>
      <c r="BH105" s="88">
        <f t="shared" si="14"/>
        <v>417</v>
      </c>
      <c r="BI105" s="88"/>
      <c r="BJ105" s="88">
        <v>905</v>
      </c>
      <c r="BM105" s="16">
        <v>138.33000000000001</v>
      </c>
      <c r="BN105" s="16">
        <v>110.67</v>
      </c>
      <c r="BO105" s="16">
        <v>249</v>
      </c>
      <c r="BQ105" s="78">
        <v>107</v>
      </c>
      <c r="BR105" s="58">
        <v>163</v>
      </c>
      <c r="BS105" s="88">
        <v>270</v>
      </c>
      <c r="BT105" s="88"/>
      <c r="BU105" s="88">
        <v>519</v>
      </c>
    </row>
    <row r="106" spans="2:73" ht="13.5" customHeight="1">
      <c r="B106" t="s">
        <v>118</v>
      </c>
      <c r="D106" s="16">
        <v>-51</v>
      </c>
      <c r="E106" s="16">
        <f>+F106-D106</f>
        <v>-2</v>
      </c>
      <c r="F106" s="16">
        <v>-53</v>
      </c>
      <c r="H106" s="16">
        <f>8-F106</f>
        <v>61</v>
      </c>
      <c r="I106" s="58">
        <f>J106-H106</f>
        <v>154</v>
      </c>
      <c r="J106" s="58">
        <f>L106-F106</f>
        <v>215</v>
      </c>
      <c r="K106" s="58"/>
      <c r="L106" s="181">
        <v>162</v>
      </c>
      <c r="N106" s="16">
        <v>113</v>
      </c>
      <c r="O106" s="16">
        <f>+P106-N106</f>
        <v>55</v>
      </c>
      <c r="P106" s="16">
        <v>168</v>
      </c>
      <c r="R106" s="16">
        <f>141-P106</f>
        <v>-27</v>
      </c>
      <c r="S106" s="58">
        <f>T106-R106</f>
        <v>-3</v>
      </c>
      <c r="T106" s="58">
        <f>V106-P106</f>
        <v>-30</v>
      </c>
      <c r="U106" s="58"/>
      <c r="V106" s="181">
        <v>138</v>
      </c>
      <c r="X106" s="16">
        <v>50</v>
      </c>
      <c r="Y106" s="16">
        <f>Z106-X106</f>
        <v>62</v>
      </c>
      <c r="Z106" s="16">
        <v>112</v>
      </c>
      <c r="AB106" s="148">
        <f>230-Z106</f>
        <v>118</v>
      </c>
      <c r="AC106" s="58">
        <f>AD106-AB106</f>
        <v>102</v>
      </c>
      <c r="AD106" s="58">
        <f>AF106-Z106</f>
        <v>220</v>
      </c>
      <c r="AE106" s="58"/>
      <c r="AF106" s="58">
        <v>332</v>
      </c>
      <c r="AH106" s="16">
        <v>12</v>
      </c>
      <c r="AI106" s="16">
        <f t="shared" si="13"/>
        <v>46</v>
      </c>
      <c r="AJ106" s="16">
        <v>58</v>
      </c>
      <c r="AL106" s="148">
        <v>58</v>
      </c>
      <c r="AM106" s="58">
        <v>22</v>
      </c>
      <c r="AN106" s="88">
        <v>80</v>
      </c>
      <c r="AO106" s="88"/>
      <c r="AP106" s="88">
        <v>138</v>
      </c>
      <c r="AR106" s="16">
        <v>5</v>
      </c>
      <c r="AS106" s="16">
        <f>AT106-AR106</f>
        <v>22</v>
      </c>
      <c r="AT106" s="16">
        <v>27</v>
      </c>
      <c r="AV106" s="148">
        <f>52-AT106</f>
        <v>25</v>
      </c>
      <c r="AW106" s="58">
        <f>AX106-AV106</f>
        <v>17</v>
      </c>
      <c r="AX106" s="88">
        <f>AZ106-AT106</f>
        <v>42</v>
      </c>
      <c r="AY106" s="88"/>
      <c r="AZ106" s="88">
        <v>69</v>
      </c>
      <c r="BB106" s="16">
        <v>56</v>
      </c>
      <c r="BC106" s="112">
        <v>64</v>
      </c>
      <c r="BD106" s="16">
        <v>120</v>
      </c>
      <c r="BF106" s="78">
        <f>123-BD106</f>
        <v>3</v>
      </c>
      <c r="BG106" s="58">
        <f>BH106-BF106</f>
        <v>22</v>
      </c>
      <c r="BH106" s="88">
        <f t="shared" si="14"/>
        <v>25</v>
      </c>
      <c r="BI106" s="88"/>
      <c r="BJ106" s="88">
        <v>145</v>
      </c>
      <c r="BM106" s="16">
        <v>47.07</v>
      </c>
      <c r="BN106" s="16">
        <v>60.93</v>
      </c>
      <c r="BO106" s="16">
        <v>108</v>
      </c>
      <c r="BQ106" s="78">
        <v>44</v>
      </c>
      <c r="BR106" s="58">
        <v>55</v>
      </c>
      <c r="BS106" s="88">
        <v>99</v>
      </c>
      <c r="BT106" s="88"/>
      <c r="BU106" s="88">
        <v>207</v>
      </c>
    </row>
    <row r="107" spans="2:73" ht="13.5" customHeight="1">
      <c r="B107" t="s">
        <v>119</v>
      </c>
      <c r="D107" s="16">
        <v>90</v>
      </c>
      <c r="E107" s="16">
        <f>+F107-D107</f>
        <v>118</v>
      </c>
      <c r="F107" s="16">
        <v>208</v>
      </c>
      <c r="H107" s="148">
        <f>305-F107</f>
        <v>97</v>
      </c>
      <c r="I107" s="58">
        <f>J107-H107</f>
        <v>119</v>
      </c>
      <c r="J107" s="58">
        <f>L107-F107</f>
        <v>216</v>
      </c>
      <c r="K107" s="58"/>
      <c r="L107" s="181">
        <v>424</v>
      </c>
      <c r="N107" s="16">
        <v>61</v>
      </c>
      <c r="O107" s="16">
        <f>+P107-N107</f>
        <v>80</v>
      </c>
      <c r="P107" s="16">
        <f>+P103-SUM(P104:P106)</f>
        <v>141</v>
      </c>
      <c r="R107" s="148">
        <f>+R103-SUM(R104:R106)</f>
        <v>135</v>
      </c>
      <c r="S107" s="58">
        <f>T107-R107</f>
        <v>162</v>
      </c>
      <c r="T107" s="58">
        <f>V107-P107</f>
        <v>297</v>
      </c>
      <c r="U107" s="58"/>
      <c r="V107" s="181">
        <v>438</v>
      </c>
      <c r="X107" s="16">
        <v>71</v>
      </c>
      <c r="Y107" s="16">
        <f>Z107-X107</f>
        <v>88</v>
      </c>
      <c r="Z107" s="16">
        <v>159</v>
      </c>
      <c r="AB107" s="148">
        <f>250-Z107</f>
        <v>91</v>
      </c>
      <c r="AC107" s="58">
        <f>AD107-AB107</f>
        <v>128</v>
      </c>
      <c r="AD107" s="58">
        <f>AF107-Z107</f>
        <v>219</v>
      </c>
      <c r="AE107" s="58"/>
      <c r="AF107" s="58">
        <v>378</v>
      </c>
      <c r="AH107" s="16">
        <v>31</v>
      </c>
      <c r="AI107" s="16">
        <f t="shared" si="13"/>
        <v>72</v>
      </c>
      <c r="AJ107" s="16">
        <v>103</v>
      </c>
      <c r="AL107" s="148">
        <v>119</v>
      </c>
      <c r="AM107" s="58">
        <v>144</v>
      </c>
      <c r="AN107" s="88">
        <v>263</v>
      </c>
      <c r="AO107" s="88"/>
      <c r="AP107" s="88">
        <v>366</v>
      </c>
      <c r="AR107" s="16">
        <v>25</v>
      </c>
      <c r="AS107" s="16">
        <f>AT107-AR107</f>
        <v>53</v>
      </c>
      <c r="AT107" s="16">
        <v>78</v>
      </c>
      <c r="AV107" s="148">
        <f>166-AT107</f>
        <v>88</v>
      </c>
      <c r="AW107" s="58">
        <f>AX107-AV107</f>
        <v>86</v>
      </c>
      <c r="AX107" s="88">
        <f>AZ107-AT107</f>
        <v>174</v>
      </c>
      <c r="AY107" s="88"/>
      <c r="AZ107" s="88">
        <v>252</v>
      </c>
      <c r="BB107" s="16">
        <v>2</v>
      </c>
      <c r="BC107" s="112">
        <v>36</v>
      </c>
      <c r="BD107" s="16">
        <v>38</v>
      </c>
      <c r="BF107" s="78">
        <f>100-BD107</f>
        <v>62</v>
      </c>
      <c r="BG107" s="58">
        <f>BH107-BF107</f>
        <v>47</v>
      </c>
      <c r="BH107" s="88">
        <f t="shared" si="14"/>
        <v>109</v>
      </c>
      <c r="BI107" s="88"/>
      <c r="BJ107" s="88">
        <v>147</v>
      </c>
      <c r="BM107" s="16">
        <v>10.73</v>
      </c>
      <c r="BN107" s="16">
        <v>27.27</v>
      </c>
      <c r="BO107" s="16">
        <v>38</v>
      </c>
      <c r="BQ107" s="78">
        <v>51</v>
      </c>
      <c r="BR107" s="58">
        <v>138</v>
      </c>
      <c r="BS107" s="88">
        <v>189</v>
      </c>
      <c r="BT107" s="88"/>
      <c r="BU107" s="88">
        <v>227</v>
      </c>
    </row>
    <row r="108" spans="2:73" ht="13.5" customHeight="1">
      <c r="D108" s="16"/>
      <c r="E108" s="16"/>
      <c r="F108" s="16"/>
      <c r="H108" s="148"/>
      <c r="I108" s="58"/>
      <c r="J108" s="58"/>
      <c r="K108" s="58"/>
      <c r="L108" s="201"/>
      <c r="N108" s="16"/>
      <c r="O108" s="16"/>
      <c r="P108" s="16"/>
      <c r="R108" s="148"/>
      <c r="S108" s="58"/>
      <c r="T108" s="58"/>
      <c r="U108" s="58"/>
      <c r="V108" s="201"/>
      <c r="X108" s="16"/>
      <c r="Y108" s="16"/>
      <c r="Z108" s="16"/>
      <c r="AB108" s="148"/>
      <c r="AC108" s="58"/>
      <c r="AD108" s="58"/>
      <c r="AE108" s="58"/>
      <c r="AF108" s="112"/>
      <c r="AH108" s="16"/>
      <c r="AI108" s="16"/>
      <c r="AJ108" s="16"/>
      <c r="AL108" s="148"/>
      <c r="AM108" s="58"/>
      <c r="AN108" s="88"/>
      <c r="AO108" s="88"/>
      <c r="AP108" s="98"/>
      <c r="AR108" s="16"/>
      <c r="AS108" s="16"/>
      <c r="AT108" s="16"/>
      <c r="AW108" s="58"/>
      <c r="AX108" s="88"/>
      <c r="AY108" s="88"/>
      <c r="AZ108" s="98"/>
      <c r="BB108" s="16"/>
      <c r="BC108" s="16"/>
      <c r="BD108" s="16"/>
      <c r="BG108" s="58"/>
      <c r="BH108" s="88"/>
      <c r="BI108" s="88"/>
      <c r="BJ108" s="90"/>
      <c r="BM108" s="16"/>
      <c r="BN108" s="16"/>
      <c r="BO108" s="16"/>
      <c r="BR108" s="58"/>
      <c r="BS108" s="88"/>
      <c r="BT108" s="88"/>
      <c r="BU108" s="90"/>
    </row>
    <row r="109" spans="2:73" ht="13.5" customHeight="1" thickBot="1">
      <c r="B109" s="12" t="s">
        <v>76</v>
      </c>
      <c r="C109" s="12"/>
      <c r="D109" s="13">
        <v>158</v>
      </c>
      <c r="E109" s="13">
        <f>+F109-D109</f>
        <v>77</v>
      </c>
      <c r="F109" s="13">
        <v>235</v>
      </c>
      <c r="G109" s="12"/>
      <c r="H109" s="13">
        <f>205-F109</f>
        <v>-30</v>
      </c>
      <c r="I109" s="57">
        <f>J109-H109</f>
        <v>147</v>
      </c>
      <c r="J109" s="57">
        <f>L109-F109</f>
        <v>117</v>
      </c>
      <c r="K109" s="57"/>
      <c r="L109" s="181">
        <f>L115-L103</f>
        <v>352</v>
      </c>
      <c r="M109" s="12"/>
      <c r="N109" s="13">
        <v>173</v>
      </c>
      <c r="O109" s="13">
        <f>+P109-N109</f>
        <v>5</v>
      </c>
      <c r="P109" s="13">
        <v>178</v>
      </c>
      <c r="Q109" s="12"/>
      <c r="R109" s="57">
        <f>264-P109</f>
        <v>86</v>
      </c>
      <c r="S109" s="57">
        <f>T109-R109</f>
        <v>272</v>
      </c>
      <c r="T109" s="57">
        <f>V109-P109</f>
        <v>358</v>
      </c>
      <c r="U109" s="57"/>
      <c r="V109" s="181">
        <v>536</v>
      </c>
      <c r="W109" s="12"/>
      <c r="X109" s="13">
        <v>122</v>
      </c>
      <c r="Y109" s="13">
        <f>Y115-Y103</f>
        <v>155</v>
      </c>
      <c r="Z109" s="13">
        <f>X109+Y109</f>
        <v>277</v>
      </c>
      <c r="AA109" s="12"/>
      <c r="AB109" s="57">
        <f>339-Z109</f>
        <v>62</v>
      </c>
      <c r="AC109" s="57">
        <f>AD109-AB109</f>
        <v>349</v>
      </c>
      <c r="AD109" s="57">
        <f>AF109-Z109</f>
        <v>411</v>
      </c>
      <c r="AE109" s="57"/>
      <c r="AF109" s="58">
        <v>688</v>
      </c>
      <c r="AG109" s="12"/>
      <c r="AH109" s="13">
        <v>189</v>
      </c>
      <c r="AI109" s="13">
        <f t="shared" si="13"/>
        <v>178</v>
      </c>
      <c r="AJ109" s="13">
        <v>367</v>
      </c>
      <c r="AK109" s="12"/>
      <c r="AL109" s="57">
        <v>174.63</v>
      </c>
      <c r="AM109" s="57">
        <v>344.37</v>
      </c>
      <c r="AN109" s="87">
        <v>519</v>
      </c>
      <c r="AO109" s="87"/>
      <c r="AP109" s="88">
        <v>886</v>
      </c>
      <c r="AQ109" s="12"/>
      <c r="AR109" s="13">
        <v>272</v>
      </c>
      <c r="AS109" s="13">
        <f>AT109-AR109</f>
        <v>150</v>
      </c>
      <c r="AT109" s="13">
        <v>422</v>
      </c>
      <c r="AU109" s="12"/>
      <c r="AV109" s="57">
        <v>106</v>
      </c>
      <c r="AW109" s="57">
        <f>AX109-AV109</f>
        <v>240</v>
      </c>
      <c r="AX109" s="87">
        <f>AZ109-AT109</f>
        <v>346</v>
      </c>
      <c r="AY109" s="87"/>
      <c r="AZ109" s="88">
        <v>768</v>
      </c>
      <c r="BA109" s="12"/>
      <c r="BB109" s="13">
        <v>206</v>
      </c>
      <c r="BC109" s="13">
        <v>228</v>
      </c>
      <c r="BD109" s="13">
        <v>434</v>
      </c>
      <c r="BE109" s="12"/>
      <c r="BF109" s="57">
        <f>532-BD109</f>
        <v>98</v>
      </c>
      <c r="BG109" s="57">
        <f>BH109-BF109</f>
        <v>267</v>
      </c>
      <c r="BH109" s="88">
        <f t="shared" si="14"/>
        <v>365</v>
      </c>
      <c r="BI109" s="87"/>
      <c r="BJ109" s="88">
        <v>799</v>
      </c>
      <c r="BM109" s="13">
        <v>251.42</v>
      </c>
      <c r="BN109" s="13">
        <v>136.08000000000001</v>
      </c>
      <c r="BO109" s="13">
        <v>387.5</v>
      </c>
      <c r="BP109" s="12"/>
      <c r="BQ109" s="57">
        <v>259.10000000000002</v>
      </c>
      <c r="BR109" s="57">
        <v>146.4</v>
      </c>
      <c r="BS109" s="87">
        <v>405.5</v>
      </c>
      <c r="BT109" s="87"/>
      <c r="BU109" s="88">
        <v>793</v>
      </c>
    </row>
    <row r="110" spans="2:73" ht="13.5" customHeight="1">
      <c r="B110" t="s">
        <v>111</v>
      </c>
      <c r="D110" s="16">
        <v>127</v>
      </c>
      <c r="E110" s="16">
        <f>+F110-D110</f>
        <v>87</v>
      </c>
      <c r="F110" s="16">
        <v>214</v>
      </c>
      <c r="H110" s="16">
        <f>146-F110</f>
        <v>-68</v>
      </c>
      <c r="I110" s="85">
        <f>J110-H110</f>
        <v>132</v>
      </c>
      <c r="J110" s="85">
        <f>L110-F110</f>
        <v>64</v>
      </c>
      <c r="K110" s="58"/>
      <c r="L110" s="208">
        <f>L116-L104</f>
        <v>278</v>
      </c>
      <c r="N110" s="16">
        <v>97</v>
      </c>
      <c r="O110" s="16">
        <f>+P110-N110</f>
        <v>89</v>
      </c>
      <c r="P110" s="16">
        <v>186</v>
      </c>
      <c r="R110" s="58">
        <f>262-P110</f>
        <v>76</v>
      </c>
      <c r="S110" s="85">
        <f>T110-R110</f>
        <v>181</v>
      </c>
      <c r="T110" s="85">
        <f>V110-P110</f>
        <v>257</v>
      </c>
      <c r="U110" s="58"/>
      <c r="V110" s="208">
        <v>443</v>
      </c>
      <c r="X110" s="16">
        <v>37</v>
      </c>
      <c r="Y110" s="16">
        <f>Y116-Y104</f>
        <v>79</v>
      </c>
      <c r="Z110" s="16">
        <f>X110+Y110</f>
        <v>116</v>
      </c>
      <c r="AB110" s="58">
        <f>111-Z110</f>
        <v>-5</v>
      </c>
      <c r="AC110" s="85">
        <f>AD110-AB110</f>
        <v>196</v>
      </c>
      <c r="AD110" s="85">
        <f>AF110-Z110</f>
        <v>191</v>
      </c>
      <c r="AE110" s="58"/>
      <c r="AF110" s="85">
        <v>307</v>
      </c>
      <c r="AH110" s="16">
        <v>15</v>
      </c>
      <c r="AI110" s="16">
        <f t="shared" si="13"/>
        <v>92</v>
      </c>
      <c r="AJ110" s="16">
        <v>107</v>
      </c>
      <c r="AL110" s="58">
        <v>21.710000000000036</v>
      </c>
      <c r="AM110" s="85">
        <v>154.28999999999996</v>
      </c>
      <c r="AN110" s="89">
        <v>176</v>
      </c>
      <c r="AO110" s="88"/>
      <c r="AP110" s="89">
        <v>283</v>
      </c>
      <c r="AR110" s="16">
        <v>76</v>
      </c>
      <c r="AS110" s="16">
        <f>AT110-AR110</f>
        <v>61</v>
      </c>
      <c r="AT110" s="16">
        <v>137</v>
      </c>
      <c r="AV110">
        <v>21</v>
      </c>
      <c r="AW110" s="85">
        <f>AX110-AV110</f>
        <v>69</v>
      </c>
      <c r="AX110" s="89">
        <f>AZ110-AT110</f>
        <v>90</v>
      </c>
      <c r="AY110" s="88"/>
      <c r="AZ110" s="89">
        <f>AZ116-AZ104</f>
        <v>227</v>
      </c>
      <c r="BB110" s="16">
        <v>38</v>
      </c>
      <c r="BC110" s="112">
        <v>80</v>
      </c>
      <c r="BD110" s="16">
        <v>118</v>
      </c>
      <c r="BF110" s="58">
        <f>170-BD110</f>
        <v>52</v>
      </c>
      <c r="BG110" s="85">
        <f>BH110-BF110</f>
        <v>73</v>
      </c>
      <c r="BH110" s="89">
        <f t="shared" si="14"/>
        <v>125</v>
      </c>
      <c r="BI110" s="88"/>
      <c r="BJ110" s="89">
        <v>243</v>
      </c>
      <c r="BM110" s="16">
        <v>17.45</v>
      </c>
      <c r="BN110" s="16">
        <v>41.55</v>
      </c>
      <c r="BO110" s="16">
        <v>59</v>
      </c>
      <c r="BQ110">
        <v>54</v>
      </c>
      <c r="BR110" s="85">
        <v>33</v>
      </c>
      <c r="BS110" s="89">
        <v>87</v>
      </c>
      <c r="BT110" s="88"/>
      <c r="BU110" s="89">
        <v>146</v>
      </c>
    </row>
    <row r="111" spans="2:73" ht="13.5" customHeight="1">
      <c r="B111" t="s">
        <v>112</v>
      </c>
      <c r="D111" s="16">
        <v>-14</v>
      </c>
      <c r="E111" s="16">
        <f>+F111-D111</f>
        <v>-18</v>
      </c>
      <c r="F111" s="16">
        <v>-32</v>
      </c>
      <c r="H111" s="16">
        <f>-59-F111</f>
        <v>-27</v>
      </c>
      <c r="I111" s="58">
        <f>J111-H111</f>
        <v>-6</v>
      </c>
      <c r="J111" s="58">
        <f>L111-F111</f>
        <v>-33</v>
      </c>
      <c r="K111" s="58"/>
      <c r="L111" s="181">
        <f>L117-L105</f>
        <v>-65</v>
      </c>
      <c r="N111" s="16">
        <v>6</v>
      </c>
      <c r="O111" s="16">
        <f>+P111-N111</f>
        <v>21</v>
      </c>
      <c r="P111" s="16">
        <v>27</v>
      </c>
      <c r="R111" s="16">
        <f>9-P111</f>
        <v>-18</v>
      </c>
      <c r="S111" s="58">
        <f>T111-R111</f>
        <v>57</v>
      </c>
      <c r="T111" s="58">
        <f>V111-P111</f>
        <v>39</v>
      </c>
      <c r="U111" s="58"/>
      <c r="V111" s="181">
        <v>66</v>
      </c>
      <c r="X111" s="16">
        <v>14</v>
      </c>
      <c r="Y111" s="16">
        <f>Y117-Y105</f>
        <v>-8</v>
      </c>
      <c r="Z111" s="16">
        <f>X111+Y111</f>
        <v>6</v>
      </c>
      <c r="AB111" s="16">
        <f>24-Z111</f>
        <v>18</v>
      </c>
      <c r="AC111" s="58">
        <f>AD111-AB111</f>
        <v>71</v>
      </c>
      <c r="AD111" s="58">
        <f>AF111-Z111</f>
        <v>89</v>
      </c>
      <c r="AE111" s="58"/>
      <c r="AF111" s="58">
        <v>95</v>
      </c>
      <c r="AH111" s="16">
        <v>63</v>
      </c>
      <c r="AI111" s="16">
        <f t="shared" si="13"/>
        <v>42</v>
      </c>
      <c r="AJ111" s="16">
        <v>105</v>
      </c>
      <c r="AL111" s="16">
        <v>26.360000000000014</v>
      </c>
      <c r="AM111" s="58">
        <v>89.639999999999986</v>
      </c>
      <c r="AN111" s="88">
        <v>116</v>
      </c>
      <c r="AO111" s="88"/>
      <c r="AP111" s="88">
        <v>221</v>
      </c>
      <c r="AR111" s="16">
        <v>66</v>
      </c>
      <c r="AS111" s="16">
        <f>AT111-AR111</f>
        <v>14</v>
      </c>
      <c r="AT111" s="16">
        <v>80</v>
      </c>
      <c r="AV111" s="16">
        <v>-14</v>
      </c>
      <c r="AW111" s="58">
        <f>AX111-AV111</f>
        <v>65</v>
      </c>
      <c r="AX111" s="88">
        <f>AZ111-AT111</f>
        <v>51</v>
      </c>
      <c r="AY111" s="88"/>
      <c r="AZ111" s="88">
        <f>AZ117-AZ105</f>
        <v>131</v>
      </c>
      <c r="BB111" s="16">
        <v>13</v>
      </c>
      <c r="BC111" s="112">
        <v>18</v>
      </c>
      <c r="BD111" s="16">
        <v>31</v>
      </c>
      <c r="BF111" s="58">
        <f>59-BD111</f>
        <v>28</v>
      </c>
      <c r="BG111" s="58">
        <f>BH111-BF111</f>
        <v>11</v>
      </c>
      <c r="BH111" s="88">
        <f t="shared" si="14"/>
        <v>39</v>
      </c>
      <c r="BI111" s="88"/>
      <c r="BJ111" s="88">
        <v>70</v>
      </c>
      <c r="BM111" s="16">
        <v>36</v>
      </c>
      <c r="BN111" s="16">
        <v>36</v>
      </c>
      <c r="BO111" s="16">
        <v>72</v>
      </c>
      <c r="BQ111">
        <v>5</v>
      </c>
      <c r="BR111" s="58">
        <v>-1</v>
      </c>
      <c r="BS111" s="88">
        <v>4</v>
      </c>
      <c r="BT111" s="88"/>
      <c r="BU111" s="88">
        <v>76</v>
      </c>
    </row>
    <row r="112" spans="2:73" ht="13.5" customHeight="1">
      <c r="B112" t="s">
        <v>74</v>
      </c>
      <c r="D112" s="16">
        <v>37</v>
      </c>
      <c r="E112" s="16">
        <f>+F112-D112</f>
        <v>21</v>
      </c>
      <c r="F112" s="16">
        <v>58</v>
      </c>
      <c r="H112" s="16">
        <f>104-F112</f>
        <v>46</v>
      </c>
      <c r="I112" s="58">
        <f>J112-H112</f>
        <v>-16</v>
      </c>
      <c r="J112" s="58">
        <f>L112-F112</f>
        <v>30</v>
      </c>
      <c r="K112" s="58"/>
      <c r="L112" s="181">
        <f>L118-L106</f>
        <v>88</v>
      </c>
      <c r="N112" s="16">
        <v>43</v>
      </c>
      <c r="O112" s="16">
        <f>+P112-N112</f>
        <v>-105</v>
      </c>
      <c r="P112" s="16">
        <v>-62</v>
      </c>
      <c r="R112" s="178">
        <f>-53-P112</f>
        <v>9</v>
      </c>
      <c r="S112" s="58">
        <f>T112-R112</f>
        <v>48</v>
      </c>
      <c r="T112" s="58">
        <f>V112-P112</f>
        <v>57</v>
      </c>
      <c r="U112" s="58"/>
      <c r="V112" s="181">
        <v>-5</v>
      </c>
      <c r="X112" s="16">
        <v>47</v>
      </c>
      <c r="Y112" s="16">
        <f>Y118-Y106</f>
        <v>80</v>
      </c>
      <c r="Z112" s="16">
        <f>X112+Y112</f>
        <v>127</v>
      </c>
      <c r="AB112" s="178">
        <f>155-Z112</f>
        <v>28</v>
      </c>
      <c r="AC112" s="58">
        <f>AD112-AB112</f>
        <v>79</v>
      </c>
      <c r="AD112" s="58">
        <f>AF112-Z112</f>
        <v>107</v>
      </c>
      <c r="AE112" s="58"/>
      <c r="AF112" s="58">
        <v>234</v>
      </c>
      <c r="AH112" s="16">
        <v>89</v>
      </c>
      <c r="AI112" s="16">
        <f t="shared" si="13"/>
        <v>49</v>
      </c>
      <c r="AJ112" s="16">
        <v>138</v>
      </c>
      <c r="AL112" s="178">
        <v>107.48000000000002</v>
      </c>
      <c r="AM112" s="58">
        <v>90.519999999999982</v>
      </c>
      <c r="AN112" s="88">
        <v>198</v>
      </c>
      <c r="AO112" s="88"/>
      <c r="AP112" s="88">
        <v>336</v>
      </c>
      <c r="AR112" s="16">
        <v>113</v>
      </c>
      <c r="AS112" s="16">
        <f>AT112-AR112</f>
        <v>77</v>
      </c>
      <c r="AT112" s="16">
        <v>190</v>
      </c>
      <c r="AV112">
        <v>83</v>
      </c>
      <c r="AW112" s="58">
        <f>AX112-AV112</f>
        <v>98</v>
      </c>
      <c r="AX112" s="88">
        <f>AZ112-AT112</f>
        <v>181</v>
      </c>
      <c r="AY112" s="88"/>
      <c r="AZ112" s="88">
        <f>AZ118-AZ106</f>
        <v>371</v>
      </c>
      <c r="BB112" s="16">
        <v>133</v>
      </c>
      <c r="BC112" s="112">
        <v>135</v>
      </c>
      <c r="BD112" s="16">
        <v>268</v>
      </c>
      <c r="BF112" s="58">
        <f>271-BD112</f>
        <v>3</v>
      </c>
      <c r="BG112" s="58">
        <f>BH112-BF112</f>
        <v>184</v>
      </c>
      <c r="BH112" s="88">
        <f t="shared" si="14"/>
        <v>187</v>
      </c>
      <c r="BI112" s="88"/>
      <c r="BJ112" s="88">
        <v>455</v>
      </c>
      <c r="BM112" s="16">
        <v>127.41</v>
      </c>
      <c r="BN112" s="16">
        <v>69.59</v>
      </c>
      <c r="BO112" s="16">
        <v>197</v>
      </c>
      <c r="BQ112">
        <v>191</v>
      </c>
      <c r="BR112" s="58">
        <v>112</v>
      </c>
      <c r="BS112" s="88">
        <v>303</v>
      </c>
      <c r="BT112" s="88"/>
      <c r="BU112" s="88">
        <v>500</v>
      </c>
    </row>
    <row r="113" spans="2:73" ht="13.5" customHeight="1">
      <c r="B113" t="s">
        <v>119</v>
      </c>
      <c r="D113" s="16">
        <v>8</v>
      </c>
      <c r="E113" s="16">
        <f>+F113-D113</f>
        <v>-13</v>
      </c>
      <c r="F113" s="16">
        <v>-5</v>
      </c>
      <c r="H113" s="16">
        <f>14-F113</f>
        <v>19</v>
      </c>
      <c r="I113" s="58">
        <f>J113-H113</f>
        <v>37</v>
      </c>
      <c r="J113" s="58">
        <f>L113-F113</f>
        <v>56</v>
      </c>
      <c r="K113" s="58"/>
      <c r="L113" s="181">
        <f>L119-L107</f>
        <v>51</v>
      </c>
      <c r="N113" s="16">
        <v>27</v>
      </c>
      <c r="O113" s="16">
        <f>+P113-N113</f>
        <v>0</v>
      </c>
      <c r="P113" s="16">
        <f>+P109-SUM(P110:P112)</f>
        <v>27</v>
      </c>
      <c r="R113" s="178">
        <f>+R109-SUM(R110:R112)</f>
        <v>19</v>
      </c>
      <c r="S113" s="58">
        <f>T113-R113</f>
        <v>-14</v>
      </c>
      <c r="T113" s="58">
        <f>V113-P113</f>
        <v>5</v>
      </c>
      <c r="U113" s="58"/>
      <c r="V113" s="181">
        <v>32</v>
      </c>
      <c r="X113" s="16">
        <v>24</v>
      </c>
      <c r="Y113" s="16">
        <f>Y119-Y107</f>
        <v>4</v>
      </c>
      <c r="Z113" s="16">
        <f>X113+Y113</f>
        <v>28</v>
      </c>
      <c r="AB113" s="178">
        <f>49-Z113</f>
        <v>21</v>
      </c>
      <c r="AC113" s="58">
        <f>AD113-AB113</f>
        <v>3</v>
      </c>
      <c r="AD113" s="58">
        <f>AF113-Z113</f>
        <v>24</v>
      </c>
      <c r="AE113" s="58"/>
      <c r="AF113" s="58">
        <v>52</v>
      </c>
      <c r="AH113" s="16">
        <v>22</v>
      </c>
      <c r="AI113" s="16">
        <f t="shared" si="13"/>
        <v>-5</v>
      </c>
      <c r="AJ113" s="16">
        <v>17</v>
      </c>
      <c r="AL113" s="178">
        <v>20</v>
      </c>
      <c r="AM113" s="58">
        <v>9</v>
      </c>
      <c r="AN113" s="88">
        <v>29</v>
      </c>
      <c r="AO113" s="88"/>
      <c r="AP113" s="88">
        <v>46</v>
      </c>
      <c r="AR113" s="16">
        <v>17</v>
      </c>
      <c r="AS113" s="16">
        <f>AT113-AR113</f>
        <v>-2</v>
      </c>
      <c r="AT113" s="16">
        <v>15</v>
      </c>
      <c r="AV113">
        <v>16</v>
      </c>
      <c r="AW113" s="58">
        <f>AX113-AV113</f>
        <v>8</v>
      </c>
      <c r="AX113" s="88">
        <f>AZ113-AT113</f>
        <v>24</v>
      </c>
      <c r="AY113" s="88"/>
      <c r="AZ113" s="88">
        <f>AZ119-AZ107</f>
        <v>39</v>
      </c>
      <c r="BB113" s="16">
        <v>22</v>
      </c>
      <c r="BC113" s="112">
        <v>-5</v>
      </c>
      <c r="BD113" s="16">
        <v>17</v>
      </c>
      <c r="BF113" s="58">
        <f>32-BD113</f>
        <v>15</v>
      </c>
      <c r="BG113" s="58">
        <f>BH113-BF113</f>
        <v>-1</v>
      </c>
      <c r="BH113" s="88">
        <f t="shared" si="14"/>
        <v>14</v>
      </c>
      <c r="BI113" s="88"/>
      <c r="BJ113" s="88">
        <v>31</v>
      </c>
      <c r="BM113" s="16">
        <v>71.099999999999994</v>
      </c>
      <c r="BN113" s="16">
        <v>-12.1</v>
      </c>
      <c r="BO113" s="16">
        <v>59</v>
      </c>
      <c r="BQ113">
        <v>10</v>
      </c>
      <c r="BR113" s="58">
        <v>2</v>
      </c>
      <c r="BS113" s="88">
        <v>12</v>
      </c>
      <c r="BT113" s="88"/>
      <c r="BU113" s="88">
        <v>71</v>
      </c>
    </row>
    <row r="114" spans="2:73" ht="5.0999999999999996" customHeight="1">
      <c r="D114" s="16"/>
      <c r="E114" s="16"/>
      <c r="F114" s="16"/>
      <c r="I114" s="58"/>
      <c r="J114" s="58"/>
      <c r="K114" s="58"/>
      <c r="L114" s="201"/>
      <c r="N114" s="16"/>
      <c r="O114" s="16"/>
      <c r="P114" s="16"/>
      <c r="S114" s="58"/>
      <c r="T114" s="58"/>
      <c r="U114" s="58"/>
      <c r="V114" s="201"/>
      <c r="X114" s="16"/>
      <c r="Y114" s="16"/>
      <c r="Z114" s="16"/>
      <c r="AC114" s="58"/>
      <c r="AD114" s="58"/>
      <c r="AE114" s="58"/>
      <c r="AF114" s="112"/>
      <c r="AH114" s="16"/>
      <c r="AI114" s="16"/>
      <c r="AJ114" s="16"/>
      <c r="AM114" s="58"/>
      <c r="AN114" s="88"/>
      <c r="AO114" s="88"/>
      <c r="AP114" s="98"/>
      <c r="AR114" s="16"/>
      <c r="AS114" s="16"/>
      <c r="AT114" s="16"/>
      <c r="AW114" s="58"/>
      <c r="AX114" s="88"/>
      <c r="AY114" s="88"/>
      <c r="AZ114" s="98"/>
      <c r="BB114" s="16"/>
      <c r="BC114" s="16"/>
      <c r="BD114" s="16"/>
      <c r="BG114" s="58"/>
      <c r="BH114" s="88"/>
      <c r="BI114" s="88"/>
      <c r="BJ114" s="98"/>
      <c r="BM114" s="16"/>
      <c r="BN114" s="16"/>
      <c r="BO114" s="16"/>
      <c r="BR114" s="58"/>
      <c r="BS114" s="88"/>
      <c r="BT114" s="88"/>
      <c r="BU114" s="98"/>
    </row>
    <row r="115" spans="2:73" ht="13.5" customHeight="1" thickBot="1">
      <c r="B115" s="55" t="s">
        <v>77</v>
      </c>
      <c r="C115" s="12"/>
      <c r="D115" s="13">
        <v>425</v>
      </c>
      <c r="E115" s="13">
        <f>+F115-D115</f>
        <v>285</v>
      </c>
      <c r="F115" s="13">
        <v>710</v>
      </c>
      <c r="G115" s="12"/>
      <c r="H115" s="57">
        <f>1914-F115</f>
        <v>1204</v>
      </c>
      <c r="I115" s="57">
        <f>J115-H115</f>
        <v>1422</v>
      </c>
      <c r="J115" s="57">
        <f>L115-F115</f>
        <v>2626</v>
      </c>
      <c r="K115" s="57"/>
      <c r="L115" s="200">
        <v>3336</v>
      </c>
      <c r="M115" s="12"/>
      <c r="N115" s="13">
        <v>970</v>
      </c>
      <c r="O115" s="13">
        <f>+P115-N115</f>
        <v>-1247</v>
      </c>
      <c r="P115" s="13">
        <f>+P39</f>
        <v>-277</v>
      </c>
      <c r="Q115" s="12"/>
      <c r="R115" s="57">
        <f>+R39</f>
        <v>-252</v>
      </c>
      <c r="S115" s="57">
        <f>T115-R115</f>
        <v>442.92</v>
      </c>
      <c r="T115" s="57">
        <f>V115-P115</f>
        <v>190.92000000000002</v>
      </c>
      <c r="U115" s="57"/>
      <c r="V115" s="200">
        <v>-86.08</v>
      </c>
      <c r="W115" s="12"/>
      <c r="X115" s="13">
        <v>149</v>
      </c>
      <c r="Y115" s="13">
        <f>Z115-X115</f>
        <v>271</v>
      </c>
      <c r="Z115" s="13">
        <v>420</v>
      </c>
      <c r="AA115" s="12"/>
      <c r="AB115" s="57">
        <f>-1715-Z115</f>
        <v>-2135</v>
      </c>
      <c r="AC115" s="57">
        <f>AD115-AB115</f>
        <v>214</v>
      </c>
      <c r="AD115" s="57">
        <f>AF115-Z115</f>
        <v>-1921</v>
      </c>
      <c r="AE115" s="57"/>
      <c r="AF115" s="57">
        <v>-1501</v>
      </c>
      <c r="AG115" s="12"/>
      <c r="AH115" s="13">
        <v>725</v>
      </c>
      <c r="AI115" s="13">
        <f t="shared" si="13"/>
        <v>1036</v>
      </c>
      <c r="AJ115" s="13">
        <v>1761</v>
      </c>
      <c r="AK115" s="12"/>
      <c r="AL115" s="57">
        <v>798.01000000000022</v>
      </c>
      <c r="AM115" s="57">
        <v>463.98999999999978</v>
      </c>
      <c r="AN115" s="87">
        <v>1262</v>
      </c>
      <c r="AO115" s="87"/>
      <c r="AP115" s="87">
        <v>3023</v>
      </c>
      <c r="AQ115" s="12"/>
      <c r="AR115" s="13">
        <v>-383</v>
      </c>
      <c r="AS115" s="13">
        <f>AT115-AR115</f>
        <v>1179</v>
      </c>
      <c r="AT115" s="13">
        <v>796</v>
      </c>
      <c r="AU115" s="12"/>
      <c r="AV115" s="57">
        <f>1878-AT115</f>
        <v>1082</v>
      </c>
      <c r="AW115" s="57">
        <f>AX115-AV115</f>
        <v>1405</v>
      </c>
      <c r="AX115" s="87">
        <f t="shared" ref="AX115:AX121" si="15">AZ115-AT115</f>
        <v>2487</v>
      </c>
      <c r="AY115" s="87"/>
      <c r="AZ115" s="87">
        <v>3283</v>
      </c>
      <c r="BA115" s="12"/>
      <c r="BB115" s="13">
        <v>1451</v>
      </c>
      <c r="BC115" s="13">
        <v>936</v>
      </c>
      <c r="BD115" s="13">
        <v>2387</v>
      </c>
      <c r="BE115" s="12"/>
      <c r="BF115" s="57">
        <f>2877-BD115</f>
        <v>490</v>
      </c>
      <c r="BG115" s="57">
        <f>BH115-BF115</f>
        <v>1201</v>
      </c>
      <c r="BH115" s="88">
        <f t="shared" si="14"/>
        <v>1691</v>
      </c>
      <c r="BI115" s="87"/>
      <c r="BJ115" s="87">
        <v>4078</v>
      </c>
      <c r="BM115" s="13">
        <v>591.25000000000102</v>
      </c>
      <c r="BN115" s="13">
        <v>560.02999999999861</v>
      </c>
      <c r="BO115" s="13">
        <v>1151.28</v>
      </c>
      <c r="BP115" s="12"/>
      <c r="BQ115" s="57">
        <v>1178.21</v>
      </c>
      <c r="BR115" s="57">
        <v>1807.51</v>
      </c>
      <c r="BS115" s="87">
        <v>2985.72</v>
      </c>
      <c r="BT115" s="87"/>
      <c r="BU115" s="87">
        <v>4137</v>
      </c>
    </row>
    <row r="116" spans="2:73" ht="13.5" customHeight="1">
      <c r="B116" t="s">
        <v>111</v>
      </c>
      <c r="D116" s="16">
        <v>374</v>
      </c>
      <c r="E116" s="16">
        <f>+F116-D116</f>
        <v>148</v>
      </c>
      <c r="F116" s="16">
        <v>522</v>
      </c>
      <c r="H116" s="16">
        <f>1398-F116</f>
        <v>876</v>
      </c>
      <c r="I116" s="85">
        <f>J116-H116</f>
        <v>1030</v>
      </c>
      <c r="J116" s="85">
        <f>L116-F116</f>
        <v>1906</v>
      </c>
      <c r="K116" s="58"/>
      <c r="L116" s="181">
        <v>2428</v>
      </c>
      <c r="N116" s="16">
        <v>603</v>
      </c>
      <c r="O116" s="16">
        <f>+P116-N116</f>
        <v>-1327</v>
      </c>
      <c r="P116" s="16">
        <v>-724</v>
      </c>
      <c r="R116" s="16">
        <f>-1155-P116</f>
        <v>-431</v>
      </c>
      <c r="S116" s="85">
        <f>T116-R116</f>
        <v>184.36</v>
      </c>
      <c r="T116" s="85">
        <f>V116-P116</f>
        <v>-246.64</v>
      </c>
      <c r="U116" s="58"/>
      <c r="V116" s="181">
        <v>-970.64</v>
      </c>
      <c r="X116" s="16">
        <v>-243</v>
      </c>
      <c r="Y116" s="16">
        <f>Z116-X116</f>
        <v>-110</v>
      </c>
      <c r="Z116" s="16">
        <v>-353</v>
      </c>
      <c r="AB116" s="16">
        <f>-2949-Z116</f>
        <v>-2596</v>
      </c>
      <c r="AC116" s="85">
        <f>AD116-AB116</f>
        <v>-397</v>
      </c>
      <c r="AD116" s="85">
        <f>AF116-Z116</f>
        <v>-2993</v>
      </c>
      <c r="AE116" s="58"/>
      <c r="AF116" s="58">
        <v>-3346</v>
      </c>
      <c r="AH116" s="16">
        <v>261</v>
      </c>
      <c r="AI116" s="16">
        <f t="shared" si="13"/>
        <v>653</v>
      </c>
      <c r="AJ116" s="16">
        <v>914</v>
      </c>
      <c r="AL116" s="16">
        <v>211.71000000000004</v>
      </c>
      <c r="AM116" s="85">
        <v>-43.710000000000036</v>
      </c>
      <c r="AN116" s="89">
        <v>168</v>
      </c>
      <c r="AO116" s="88"/>
      <c r="AP116" s="88">
        <v>1082</v>
      </c>
      <c r="AR116" s="16">
        <v>-909</v>
      </c>
      <c r="AS116" s="16">
        <f>AT116-AR116</f>
        <v>813</v>
      </c>
      <c r="AT116" s="16">
        <v>-96</v>
      </c>
      <c r="AV116" s="16">
        <f>610-AT116</f>
        <v>706</v>
      </c>
      <c r="AW116" s="85">
        <f>AX116-AV116</f>
        <v>1006</v>
      </c>
      <c r="AX116" s="89">
        <f t="shared" si="15"/>
        <v>1712</v>
      </c>
      <c r="AY116" s="88"/>
      <c r="AZ116" s="88">
        <v>1616</v>
      </c>
      <c r="BB116" s="16">
        <v>1009</v>
      </c>
      <c r="BC116" s="112">
        <v>416</v>
      </c>
      <c r="BD116" s="16">
        <v>1425</v>
      </c>
      <c r="BF116" s="16">
        <f>1592-BD116</f>
        <v>167</v>
      </c>
      <c r="BG116" s="85">
        <f>BH116-BF116</f>
        <v>733</v>
      </c>
      <c r="BH116" s="89">
        <f t="shared" si="14"/>
        <v>900</v>
      </c>
      <c r="BI116" s="88"/>
      <c r="BJ116" s="88">
        <v>2325</v>
      </c>
      <c r="BM116" s="16">
        <v>161.15</v>
      </c>
      <c r="BN116" s="16">
        <v>266.87</v>
      </c>
      <c r="BO116" s="16">
        <v>428.02</v>
      </c>
      <c r="BQ116" s="16">
        <v>770.6</v>
      </c>
      <c r="BR116" s="85">
        <v>1338.38</v>
      </c>
      <c r="BS116" s="89">
        <v>2108.98</v>
      </c>
      <c r="BT116" s="88"/>
      <c r="BU116" s="88">
        <v>2537</v>
      </c>
    </row>
    <row r="117" spans="2:73" ht="13.5" customHeight="1">
      <c r="B117" t="s">
        <v>112</v>
      </c>
      <c r="D117" s="16">
        <v>-33</v>
      </c>
      <c r="E117" s="16">
        <f>+F117-D117</f>
        <v>13</v>
      </c>
      <c r="F117" s="16">
        <v>-20</v>
      </c>
      <c r="H117" s="148">
        <f>85-F117</f>
        <v>105</v>
      </c>
      <c r="I117" s="58">
        <f>J117-H117</f>
        <v>98</v>
      </c>
      <c r="J117" s="58">
        <f>L117-F117</f>
        <v>203</v>
      </c>
      <c r="K117" s="58"/>
      <c r="L117" s="181">
        <v>183</v>
      </c>
      <c r="N117" s="16">
        <v>123</v>
      </c>
      <c r="O117" s="16">
        <f>+P117-N117</f>
        <v>50</v>
      </c>
      <c r="P117" s="16">
        <v>173</v>
      </c>
      <c r="R117" s="148">
        <f>216-P117</f>
        <v>43</v>
      </c>
      <c r="S117" s="58">
        <f>T117-R117</f>
        <v>65.610000000000014</v>
      </c>
      <c r="T117" s="58">
        <f>V117-P117</f>
        <v>108.61000000000001</v>
      </c>
      <c r="U117" s="58"/>
      <c r="V117" s="181">
        <v>281.61</v>
      </c>
      <c r="X117" s="16">
        <v>200</v>
      </c>
      <c r="Y117" s="16">
        <f>Z117-X117</f>
        <v>147</v>
      </c>
      <c r="Z117" s="16">
        <v>347</v>
      </c>
      <c r="AB117" s="148">
        <f>550-Z117</f>
        <v>203</v>
      </c>
      <c r="AC117" s="58">
        <f>AD117-AB117</f>
        <v>299</v>
      </c>
      <c r="AD117" s="58">
        <f>AF117-Z117</f>
        <v>502</v>
      </c>
      <c r="AE117" s="58"/>
      <c r="AF117" s="58">
        <v>849</v>
      </c>
      <c r="AH117" s="16">
        <v>310</v>
      </c>
      <c r="AI117" s="16">
        <f t="shared" si="13"/>
        <v>221</v>
      </c>
      <c r="AJ117" s="16">
        <v>531</v>
      </c>
      <c r="AL117" s="148">
        <v>282.36</v>
      </c>
      <c r="AM117" s="58">
        <v>241.64</v>
      </c>
      <c r="AN117" s="88">
        <v>524</v>
      </c>
      <c r="AO117" s="88"/>
      <c r="AP117" s="88">
        <v>1055</v>
      </c>
      <c r="AR117" s="16">
        <v>366</v>
      </c>
      <c r="AS117" s="16">
        <f>AT117-AR117</f>
        <v>216</v>
      </c>
      <c r="AT117" s="16">
        <v>582</v>
      </c>
      <c r="AV117" s="148">
        <f>746-AT117</f>
        <v>164</v>
      </c>
      <c r="AW117" s="58">
        <f>AX117-AV117</f>
        <v>190</v>
      </c>
      <c r="AX117" s="88">
        <f t="shared" si="15"/>
        <v>354</v>
      </c>
      <c r="AY117" s="88"/>
      <c r="AZ117" s="88">
        <v>936</v>
      </c>
      <c r="BB117" s="16">
        <v>229</v>
      </c>
      <c r="BC117" s="112">
        <v>290</v>
      </c>
      <c r="BD117" s="16">
        <v>519</v>
      </c>
      <c r="BF117" s="78">
        <f>759-BD117</f>
        <v>240</v>
      </c>
      <c r="BG117" s="58">
        <f>BH117-BF117</f>
        <v>216</v>
      </c>
      <c r="BH117" s="88">
        <f t="shared" si="14"/>
        <v>456</v>
      </c>
      <c r="BI117" s="88"/>
      <c r="BJ117" s="88">
        <v>975</v>
      </c>
      <c r="BM117" s="16">
        <v>173.79</v>
      </c>
      <c r="BN117" s="16">
        <v>147.63</v>
      </c>
      <c r="BO117" s="16">
        <v>321.42</v>
      </c>
      <c r="BQ117" s="78">
        <v>111.16</v>
      </c>
      <c r="BR117" s="58">
        <v>162.41999999999999</v>
      </c>
      <c r="BS117" s="88">
        <v>273.58</v>
      </c>
      <c r="BT117" s="88"/>
      <c r="BU117" s="88">
        <v>595</v>
      </c>
    </row>
    <row r="118" spans="2:73" ht="13.5" customHeight="1">
      <c r="B118" t="s">
        <v>74</v>
      </c>
      <c r="D118" s="16">
        <v>-14</v>
      </c>
      <c r="E118" s="16">
        <f>+F118-D118</f>
        <v>19</v>
      </c>
      <c r="F118" s="16">
        <v>5</v>
      </c>
      <c r="H118" s="16">
        <f>112-F118</f>
        <v>107</v>
      </c>
      <c r="I118" s="58">
        <f>J118-H118</f>
        <v>138</v>
      </c>
      <c r="J118" s="58">
        <f>L118-F118</f>
        <v>245</v>
      </c>
      <c r="K118" s="58"/>
      <c r="L118" s="181">
        <v>250</v>
      </c>
      <c r="N118" s="16">
        <v>156</v>
      </c>
      <c r="O118" s="16">
        <f>+P118-N118</f>
        <v>-50</v>
      </c>
      <c r="P118" s="16">
        <v>106</v>
      </c>
      <c r="R118" s="16">
        <f>88-P118</f>
        <v>-18</v>
      </c>
      <c r="S118" s="58">
        <f>T118-R118</f>
        <v>44.639999999999986</v>
      </c>
      <c r="T118" s="58">
        <f>V118-P118</f>
        <v>26.639999999999986</v>
      </c>
      <c r="U118" s="58"/>
      <c r="V118" s="181">
        <v>132.63999999999999</v>
      </c>
      <c r="X118" s="16">
        <v>97</v>
      </c>
      <c r="Y118" s="16">
        <f>Z118-X118</f>
        <v>142</v>
      </c>
      <c r="Z118" s="16">
        <v>239</v>
      </c>
      <c r="AB118" s="148">
        <f>385-Z118</f>
        <v>146</v>
      </c>
      <c r="AC118" s="58">
        <f>AD118-AB118</f>
        <v>181</v>
      </c>
      <c r="AD118" s="58">
        <f>AF118-Z118</f>
        <v>327</v>
      </c>
      <c r="AE118" s="58"/>
      <c r="AF118" s="58">
        <v>566</v>
      </c>
      <c r="AH118" s="16">
        <v>101</v>
      </c>
      <c r="AI118" s="16">
        <f t="shared" si="13"/>
        <v>95</v>
      </c>
      <c r="AJ118" s="16">
        <v>196</v>
      </c>
      <c r="AL118" s="148">
        <v>165.48000000000002</v>
      </c>
      <c r="AM118" s="58">
        <v>112.51999999999998</v>
      </c>
      <c r="AN118" s="88">
        <v>278</v>
      </c>
      <c r="AO118" s="88"/>
      <c r="AP118" s="88">
        <v>474</v>
      </c>
      <c r="AR118" s="16">
        <v>121</v>
      </c>
      <c r="AS118" s="16">
        <f>AT118-AR118</f>
        <v>95</v>
      </c>
      <c r="AT118" s="16">
        <v>216</v>
      </c>
      <c r="AV118" s="148">
        <f>322-AT118</f>
        <v>106</v>
      </c>
      <c r="AW118" s="58">
        <f>AX118-AV118</f>
        <v>118</v>
      </c>
      <c r="AX118" s="88">
        <f t="shared" si="15"/>
        <v>224</v>
      </c>
      <c r="AY118" s="88"/>
      <c r="AZ118" s="88">
        <v>440</v>
      </c>
      <c r="BB118" s="16">
        <v>189</v>
      </c>
      <c r="BC118" s="112">
        <v>199</v>
      </c>
      <c r="BD118" s="16">
        <v>388</v>
      </c>
      <c r="BF118" s="78">
        <f>394-BD118</f>
        <v>6</v>
      </c>
      <c r="BG118" s="58">
        <f>BH118-BF118</f>
        <v>206</v>
      </c>
      <c r="BH118" s="88">
        <f t="shared" si="14"/>
        <v>212</v>
      </c>
      <c r="BI118" s="88"/>
      <c r="BJ118" s="88">
        <v>600</v>
      </c>
      <c r="BM118" s="16">
        <v>174.48</v>
      </c>
      <c r="BN118" s="16">
        <v>130.09</v>
      </c>
      <c r="BO118" s="16">
        <v>304.57</v>
      </c>
      <c r="BQ118" s="78">
        <v>234.86</v>
      </c>
      <c r="BR118" s="58">
        <v>167.57</v>
      </c>
      <c r="BS118" s="88">
        <v>402.43</v>
      </c>
      <c r="BT118" s="88"/>
      <c r="BU118" s="88">
        <v>707</v>
      </c>
    </row>
    <row r="119" spans="2:73" ht="13.5" customHeight="1">
      <c r="B119" t="s">
        <v>119</v>
      </c>
      <c r="D119" s="16">
        <v>98</v>
      </c>
      <c r="E119" s="16">
        <f>+F119-D119</f>
        <v>105</v>
      </c>
      <c r="F119" s="16">
        <v>203</v>
      </c>
      <c r="H119" s="148">
        <f>319-F119</f>
        <v>116</v>
      </c>
      <c r="I119" s="58">
        <f>J119-H119</f>
        <v>156</v>
      </c>
      <c r="J119" s="58">
        <f>L119-F119</f>
        <v>272</v>
      </c>
      <c r="K119" s="58"/>
      <c r="L119" s="181">
        <v>475</v>
      </c>
      <c r="N119" s="16">
        <v>88</v>
      </c>
      <c r="O119" s="16">
        <f>+P119-N119</f>
        <v>80</v>
      </c>
      <c r="P119" s="16">
        <f>+P115-SUM(P116:P118)</f>
        <v>168</v>
      </c>
      <c r="R119" s="148">
        <f>+R115-SUM(R116:R118)</f>
        <v>154</v>
      </c>
      <c r="S119" s="58">
        <f>T119-R119</f>
        <v>148.31</v>
      </c>
      <c r="T119" s="58">
        <f>V119-P119</f>
        <v>302.31</v>
      </c>
      <c r="U119" s="58"/>
      <c r="V119" s="181">
        <f>448.56+21.75</f>
        <v>470.31</v>
      </c>
      <c r="X119" s="16">
        <v>95</v>
      </c>
      <c r="Y119" s="16">
        <f>Z119-X119</f>
        <v>92</v>
      </c>
      <c r="Z119" s="16">
        <v>187</v>
      </c>
      <c r="AB119" s="148">
        <f>299-Z119</f>
        <v>112</v>
      </c>
      <c r="AC119" s="58">
        <f>AD119-AB119</f>
        <v>131</v>
      </c>
      <c r="AD119" s="58">
        <f>AF119-Z119</f>
        <v>243</v>
      </c>
      <c r="AE119" s="58"/>
      <c r="AF119" s="58">
        <v>430</v>
      </c>
      <c r="AH119" s="16">
        <v>53</v>
      </c>
      <c r="AI119" s="16">
        <f t="shared" si="13"/>
        <v>67</v>
      </c>
      <c r="AJ119" s="16">
        <v>120</v>
      </c>
      <c r="AL119" s="148">
        <v>139</v>
      </c>
      <c r="AM119" s="58">
        <v>153</v>
      </c>
      <c r="AN119" s="88">
        <v>292</v>
      </c>
      <c r="AO119" s="88"/>
      <c r="AP119" s="88">
        <v>412</v>
      </c>
      <c r="AR119" s="16">
        <v>39</v>
      </c>
      <c r="AS119" s="16">
        <f>AT119-AR119</f>
        <v>55</v>
      </c>
      <c r="AT119" s="16">
        <v>94</v>
      </c>
      <c r="AV119" s="148">
        <f>200-AT119</f>
        <v>106</v>
      </c>
      <c r="AW119" s="58">
        <f>AX119-AV119</f>
        <v>91</v>
      </c>
      <c r="AX119" s="88">
        <f t="shared" si="15"/>
        <v>197</v>
      </c>
      <c r="AY119" s="88"/>
      <c r="AZ119" s="88">
        <v>291</v>
      </c>
      <c r="BB119" s="16">
        <v>24</v>
      </c>
      <c r="BC119" s="112">
        <v>31</v>
      </c>
      <c r="BD119" s="16">
        <v>55</v>
      </c>
      <c r="BF119" s="78">
        <f>132-BD119</f>
        <v>77</v>
      </c>
      <c r="BG119" s="58">
        <f>BH119-BF119</f>
        <v>46</v>
      </c>
      <c r="BH119" s="88">
        <f t="shared" si="14"/>
        <v>123</v>
      </c>
      <c r="BI119" s="88"/>
      <c r="BJ119" s="88">
        <v>178</v>
      </c>
      <c r="BM119" s="16">
        <v>81.83</v>
      </c>
      <c r="BN119" s="16">
        <v>15.44</v>
      </c>
      <c r="BO119" s="16">
        <v>97.27</v>
      </c>
      <c r="BQ119" s="78">
        <v>61.59</v>
      </c>
      <c r="BR119" s="58">
        <v>139.13999999999999</v>
      </c>
      <c r="BS119" s="88">
        <v>200.73</v>
      </c>
      <c r="BT119" s="88"/>
      <c r="BU119" s="88">
        <v>298</v>
      </c>
    </row>
    <row r="120" spans="2:73" ht="5.0999999999999996" customHeight="1">
      <c r="D120" s="16"/>
      <c r="E120" s="16"/>
      <c r="F120" s="16"/>
      <c r="I120" s="58"/>
      <c r="J120" s="58"/>
      <c r="K120" s="58"/>
      <c r="L120" s="181"/>
      <c r="N120" s="16"/>
      <c r="O120" s="16"/>
      <c r="P120" s="16"/>
      <c r="S120" s="58"/>
      <c r="T120" s="58"/>
      <c r="U120" s="58"/>
      <c r="V120" s="181"/>
      <c r="X120" s="16"/>
      <c r="Y120" s="16"/>
      <c r="Z120" s="16"/>
      <c r="AC120" s="58"/>
      <c r="AD120" s="58"/>
      <c r="AE120" s="58"/>
      <c r="AF120" s="58"/>
      <c r="AH120" s="16"/>
      <c r="AI120" s="16"/>
      <c r="AJ120" s="16"/>
      <c r="AM120" s="58"/>
      <c r="AN120" s="88"/>
      <c r="AO120" s="88"/>
      <c r="AP120" s="88"/>
      <c r="AR120" s="16"/>
      <c r="AS120" s="16"/>
      <c r="AT120" s="16"/>
      <c r="AW120" s="58"/>
      <c r="AX120" s="88">
        <f t="shared" si="15"/>
        <v>0</v>
      </c>
      <c r="AY120" s="88"/>
      <c r="AZ120" s="88"/>
      <c r="BB120" s="16"/>
      <c r="BC120" s="16"/>
      <c r="BD120" s="16"/>
      <c r="BG120" s="58"/>
      <c r="BH120" s="88"/>
      <c r="BI120" s="88"/>
      <c r="BJ120" s="88"/>
      <c r="BM120" s="16"/>
      <c r="BN120" s="16"/>
      <c r="BO120" s="16"/>
      <c r="BR120" s="58"/>
      <c r="BS120" s="88"/>
      <c r="BT120" s="88"/>
      <c r="BU120" s="88"/>
    </row>
    <row r="121" spans="2:73" ht="13.5" customHeight="1" thickBot="1">
      <c r="B121" s="22" t="s">
        <v>129</v>
      </c>
      <c r="C121" s="22"/>
      <c r="D121" s="23">
        <v>252</v>
      </c>
      <c r="E121" s="23">
        <f>+F121-D121</f>
        <v>2</v>
      </c>
      <c r="F121" s="23">
        <v>254</v>
      </c>
      <c r="G121" s="22"/>
      <c r="H121" s="79">
        <f>945-F121</f>
        <v>691</v>
      </c>
      <c r="I121" s="159">
        <f>J121-H121</f>
        <v>656</v>
      </c>
      <c r="J121" s="159">
        <f>L121-F121</f>
        <v>1347</v>
      </c>
      <c r="K121" s="159"/>
      <c r="L121" s="202">
        <v>1601</v>
      </c>
      <c r="M121" s="22"/>
      <c r="N121" s="23">
        <v>533</v>
      </c>
      <c r="O121" s="23">
        <f>+P121-N121</f>
        <v>-982</v>
      </c>
      <c r="P121" s="23">
        <f>+P45</f>
        <v>-449</v>
      </c>
      <c r="Q121" s="22"/>
      <c r="R121" s="79">
        <f>+R45</f>
        <v>-685</v>
      </c>
      <c r="S121" s="159">
        <f>T121-R121</f>
        <v>-1651.1</v>
      </c>
      <c r="T121" s="159">
        <f>V121-P121</f>
        <v>-2336.1</v>
      </c>
      <c r="U121" s="159"/>
      <c r="V121" s="202">
        <v>-2785.1</v>
      </c>
      <c r="W121" s="22"/>
      <c r="X121" s="23">
        <v>142</v>
      </c>
      <c r="Y121" s="23">
        <f>Z121-X121</f>
        <v>35</v>
      </c>
      <c r="Z121" s="23">
        <v>177</v>
      </c>
      <c r="AA121" s="22"/>
      <c r="AB121" s="79">
        <f>-1340-Z121</f>
        <v>-1517</v>
      </c>
      <c r="AC121" s="159">
        <f>AD121-AB121</f>
        <v>-1432</v>
      </c>
      <c r="AD121" s="159">
        <f>AF121-Z121</f>
        <v>-2949</v>
      </c>
      <c r="AE121" s="159"/>
      <c r="AF121" s="159">
        <v>-2772</v>
      </c>
      <c r="AG121" s="22"/>
      <c r="AH121" s="23">
        <v>357</v>
      </c>
      <c r="AI121" s="23">
        <f t="shared" si="13"/>
        <v>540</v>
      </c>
      <c r="AJ121" s="23">
        <v>897</v>
      </c>
      <c r="AK121" s="22"/>
      <c r="AL121" s="79">
        <v>421.78999999999996</v>
      </c>
      <c r="AM121" s="159">
        <v>-248.78999999999996</v>
      </c>
      <c r="AN121" s="160">
        <v>173</v>
      </c>
      <c r="AO121" s="160"/>
      <c r="AP121" s="160">
        <v>1070</v>
      </c>
      <c r="AQ121" s="22"/>
      <c r="AR121" s="23">
        <v>-329</v>
      </c>
      <c r="AS121" s="23">
        <f>AT121-AR121</f>
        <v>597</v>
      </c>
      <c r="AT121" s="23">
        <v>268</v>
      </c>
      <c r="AU121" s="22"/>
      <c r="AV121" s="79">
        <f>919-AT121</f>
        <v>651</v>
      </c>
      <c r="AW121" s="159">
        <f>AX121-AV121</f>
        <v>676</v>
      </c>
      <c r="AX121" s="160">
        <f t="shared" si="15"/>
        <v>1327</v>
      </c>
      <c r="AY121" s="160"/>
      <c r="AZ121" s="160">
        <v>1595</v>
      </c>
      <c r="BA121" s="22"/>
      <c r="BB121" s="23">
        <v>768</v>
      </c>
      <c r="BC121" s="23">
        <v>499</v>
      </c>
      <c r="BD121" s="23">
        <v>1267</v>
      </c>
      <c r="BE121" s="22"/>
      <c r="BF121" s="79">
        <f>1588-BD121</f>
        <v>321</v>
      </c>
      <c r="BG121" s="57">
        <f>BH121-BF121</f>
        <v>118</v>
      </c>
      <c r="BH121" s="88">
        <f t="shared" si="14"/>
        <v>439</v>
      </c>
      <c r="BI121" s="91"/>
      <c r="BJ121" s="87">
        <v>1706</v>
      </c>
      <c r="BM121" s="23">
        <v>2621.57</v>
      </c>
      <c r="BN121" s="23">
        <v>245.70999999999842</v>
      </c>
      <c r="BO121" s="23">
        <v>2867.28</v>
      </c>
      <c r="BP121" s="22"/>
      <c r="BQ121" s="79">
        <v>406.19</v>
      </c>
      <c r="BR121" s="57">
        <v>-156.47</v>
      </c>
      <c r="BS121" s="87">
        <v>249.72</v>
      </c>
      <c r="BT121" s="91"/>
      <c r="BU121" s="87">
        <v>3117</v>
      </c>
    </row>
    <row r="122" spans="2:73" ht="6.75" customHeight="1" thickTop="1">
      <c r="J122" s="152"/>
      <c r="T122" s="152"/>
      <c r="AD122" s="152"/>
      <c r="AN122" s="152"/>
      <c r="AX122" s="152"/>
      <c r="BH122" s="86"/>
      <c r="BS122" s="86"/>
    </row>
    <row r="123" spans="2:73">
      <c r="B123" s="31" t="s">
        <v>120</v>
      </c>
    </row>
    <row r="124" spans="2:73">
      <c r="B124" s="31" t="s">
        <v>121</v>
      </c>
    </row>
    <row r="126" spans="2:73">
      <c r="B126" s="56" t="s">
        <v>78</v>
      </c>
    </row>
    <row r="127" spans="2:73">
      <c r="B127" t="s">
        <v>1</v>
      </c>
      <c r="D127" s="132" t="str">
        <f>D5</f>
        <v>2016年度　（2016年4月-2017年3月）</v>
      </c>
      <c r="E127" s="132"/>
      <c r="F127" s="132"/>
      <c r="G127" s="132"/>
      <c r="H127" s="132"/>
      <c r="I127" s="132"/>
      <c r="J127" s="132"/>
      <c r="K127" s="132"/>
      <c r="L127" s="132"/>
      <c r="N127" s="132" t="str">
        <f>N5</f>
        <v>2015年度　（2015年4月-2016年3月）</v>
      </c>
      <c r="O127" s="132"/>
      <c r="P127" s="132"/>
      <c r="Q127" s="132"/>
      <c r="R127" s="132"/>
      <c r="S127" s="132"/>
      <c r="T127" s="132"/>
      <c r="U127" s="132"/>
      <c r="V127" s="132"/>
      <c r="X127" s="173" t="str">
        <f>X5</f>
        <v>2014年度　（2014年4月-2015年3月）</v>
      </c>
      <c r="Y127" s="173"/>
      <c r="Z127" s="173"/>
      <c r="AA127" s="173"/>
      <c r="AB127" s="173"/>
      <c r="AC127" s="173"/>
      <c r="AD127" s="173"/>
      <c r="AE127" s="173"/>
      <c r="AF127" s="173"/>
      <c r="AH127" s="173" t="str">
        <f>AH5</f>
        <v>2013年度　（2013年4月-2014年3月）</v>
      </c>
      <c r="AI127" s="173"/>
      <c r="AJ127" s="173"/>
      <c r="AK127" s="173"/>
      <c r="AL127" s="173"/>
      <c r="AM127" s="173"/>
      <c r="AN127" s="173"/>
      <c r="AO127" s="173"/>
      <c r="AP127" s="173"/>
      <c r="AR127" s="173" t="s">
        <v>106</v>
      </c>
      <c r="AS127" s="173"/>
      <c r="AT127" s="173"/>
      <c r="AU127" s="173"/>
      <c r="AV127" s="173"/>
      <c r="AW127" s="173"/>
      <c r="AX127" s="173"/>
      <c r="AY127" s="173"/>
      <c r="AZ127" s="173"/>
      <c r="BB127" s="129" t="s">
        <v>101</v>
      </c>
      <c r="BC127" s="129"/>
      <c r="BD127" s="129"/>
      <c r="BE127" s="129"/>
      <c r="BF127" s="129"/>
      <c r="BG127" s="129"/>
      <c r="BH127" s="129"/>
      <c r="BI127" s="129"/>
      <c r="BJ127" s="129"/>
      <c r="BM127" s="105" t="s">
        <v>100</v>
      </c>
      <c r="BN127" s="105"/>
      <c r="BO127" s="105"/>
      <c r="BP127" s="105"/>
      <c r="BQ127" s="105"/>
      <c r="BR127" s="105"/>
      <c r="BS127" s="105"/>
      <c r="BT127" s="105"/>
      <c r="BU127" s="105"/>
    </row>
    <row r="128" spans="2:73" ht="3.75" customHeight="1">
      <c r="D128" s="5"/>
      <c r="E128" s="5"/>
      <c r="F128" s="5"/>
      <c r="G128" s="5"/>
      <c r="H128" s="5"/>
      <c r="I128" s="5"/>
      <c r="J128" s="5"/>
      <c r="K128" s="5"/>
      <c r="L128" s="132"/>
      <c r="N128" s="5"/>
      <c r="O128" s="5"/>
      <c r="P128" s="5"/>
      <c r="Q128" s="5"/>
      <c r="R128" s="5"/>
      <c r="S128" s="5"/>
      <c r="T128" s="5"/>
      <c r="U128" s="5"/>
      <c r="V128" s="132"/>
      <c r="X128" s="173"/>
      <c r="Y128" s="173"/>
      <c r="Z128" s="173"/>
      <c r="AA128" s="173"/>
      <c r="AB128" s="173"/>
      <c r="AC128" s="173"/>
      <c r="AD128" s="173"/>
      <c r="AE128" s="173"/>
      <c r="AF128" s="173"/>
      <c r="AH128" s="5"/>
      <c r="AI128" s="5"/>
      <c r="AJ128" s="5"/>
      <c r="AK128" s="5"/>
      <c r="AL128" s="5"/>
      <c r="AM128" s="5"/>
      <c r="AN128" s="5"/>
      <c r="AO128" s="5"/>
      <c r="AP128" s="173"/>
      <c r="AR128" s="5"/>
      <c r="AS128" s="5"/>
      <c r="AT128" s="5"/>
      <c r="AU128" s="5"/>
      <c r="AV128" s="5"/>
      <c r="AW128" s="5"/>
      <c r="AX128" s="5"/>
      <c r="AY128" s="5"/>
      <c r="AZ128" s="173"/>
      <c r="BB128" s="5"/>
      <c r="BC128" s="5"/>
      <c r="BD128" s="5"/>
      <c r="BE128" s="5"/>
      <c r="BF128" s="5"/>
      <c r="BG128" s="5"/>
      <c r="BH128" s="5"/>
      <c r="BI128" s="5"/>
      <c r="BJ128" s="129"/>
      <c r="BM128" s="5"/>
      <c r="BN128" s="5"/>
      <c r="BO128" s="5"/>
      <c r="BP128" s="5"/>
      <c r="BQ128" s="5"/>
      <c r="BR128" s="5"/>
      <c r="BS128" s="5"/>
      <c r="BT128" s="5"/>
      <c r="BU128" s="105"/>
    </row>
    <row r="129" spans="2:73">
      <c r="D129" s="6"/>
      <c r="E129" s="6"/>
      <c r="F129" s="7" t="s">
        <v>28</v>
      </c>
      <c r="H129" s="7"/>
      <c r="I129" s="7"/>
      <c r="J129" s="7" t="s">
        <v>29</v>
      </c>
      <c r="L129" s="133" t="s">
        <v>30</v>
      </c>
      <c r="N129" s="6"/>
      <c r="O129" s="6"/>
      <c r="P129" s="7" t="s">
        <v>28</v>
      </c>
      <c r="R129" s="7"/>
      <c r="S129" s="7"/>
      <c r="T129" s="7" t="s">
        <v>29</v>
      </c>
      <c r="V129" s="133" t="s">
        <v>30</v>
      </c>
      <c r="X129" s="6"/>
      <c r="Y129" s="6"/>
      <c r="Z129" s="7" t="s">
        <v>28</v>
      </c>
      <c r="AB129" s="7"/>
      <c r="AC129" s="7"/>
      <c r="AD129" s="7" t="s">
        <v>29</v>
      </c>
      <c r="AF129" s="174" t="s">
        <v>30</v>
      </c>
      <c r="AH129" s="6"/>
      <c r="AI129" s="6"/>
      <c r="AJ129" s="7" t="s">
        <v>28</v>
      </c>
      <c r="AL129" s="7"/>
      <c r="AM129" s="7"/>
      <c r="AN129" s="7" t="s">
        <v>29</v>
      </c>
      <c r="AP129" s="174" t="s">
        <v>30</v>
      </c>
      <c r="AR129" s="6"/>
      <c r="AS129" s="6"/>
      <c r="AT129" s="7" t="s">
        <v>28</v>
      </c>
      <c r="AV129" s="7"/>
      <c r="AW129" s="7"/>
      <c r="AX129" s="7" t="s">
        <v>29</v>
      </c>
      <c r="AZ129" s="174" t="s">
        <v>30</v>
      </c>
      <c r="BB129" s="6"/>
      <c r="BC129" s="6"/>
      <c r="BD129" s="7" t="s">
        <v>28</v>
      </c>
      <c r="BF129" s="7"/>
      <c r="BG129" s="7"/>
      <c r="BH129" s="7" t="s">
        <v>29</v>
      </c>
      <c r="BJ129" s="130" t="s">
        <v>30</v>
      </c>
      <c r="BM129" s="6"/>
      <c r="BN129" s="6"/>
      <c r="BO129" s="7" t="s">
        <v>28</v>
      </c>
      <c r="BQ129" s="7"/>
      <c r="BR129" s="7"/>
      <c r="BS129" s="7" t="s">
        <v>29</v>
      </c>
      <c r="BU129" s="106" t="s">
        <v>30</v>
      </c>
    </row>
    <row r="130" spans="2:73" s="9" customFormat="1" ht="10.8">
      <c r="D130" s="9" t="s">
        <v>31</v>
      </c>
      <c r="E130" s="9" t="s">
        <v>32</v>
      </c>
      <c r="F130" s="10" t="s">
        <v>33</v>
      </c>
      <c r="H130" s="9" t="s">
        <v>7</v>
      </c>
      <c r="I130" s="9" t="s">
        <v>8</v>
      </c>
      <c r="J130" s="10"/>
      <c r="L130" s="134"/>
      <c r="N130" s="9" t="s">
        <v>31</v>
      </c>
      <c r="O130" s="9" t="s">
        <v>32</v>
      </c>
      <c r="P130" s="10" t="s">
        <v>33</v>
      </c>
      <c r="R130" s="9" t="s">
        <v>7</v>
      </c>
      <c r="S130" s="9" t="s">
        <v>8</v>
      </c>
      <c r="T130" s="10"/>
      <c r="V130" s="134"/>
      <c r="X130" s="9" t="s">
        <v>31</v>
      </c>
      <c r="Y130" s="9" t="s">
        <v>32</v>
      </c>
      <c r="Z130" s="10" t="s">
        <v>33</v>
      </c>
      <c r="AB130" s="9" t="s">
        <v>7</v>
      </c>
      <c r="AC130" s="9" t="s">
        <v>8</v>
      </c>
      <c r="AD130" s="10"/>
      <c r="AF130" s="175"/>
      <c r="AH130" s="9" t="s">
        <v>31</v>
      </c>
      <c r="AI130" s="9" t="s">
        <v>32</v>
      </c>
      <c r="AJ130" s="10" t="s">
        <v>33</v>
      </c>
      <c r="AL130" s="9" t="s">
        <v>7</v>
      </c>
      <c r="AM130" s="9" t="s">
        <v>8</v>
      </c>
      <c r="AN130" s="10"/>
      <c r="AP130" s="175"/>
      <c r="AR130" s="9" t="s">
        <v>31</v>
      </c>
      <c r="AS130" s="9" t="s">
        <v>32</v>
      </c>
      <c r="AT130" s="10" t="s">
        <v>33</v>
      </c>
      <c r="AV130" s="9" t="s">
        <v>7</v>
      </c>
      <c r="AW130" s="9" t="s">
        <v>8</v>
      </c>
      <c r="AX130" s="10"/>
      <c r="AZ130" s="175"/>
      <c r="BB130" s="9" t="s">
        <v>31</v>
      </c>
      <c r="BC130" s="9" t="s">
        <v>32</v>
      </c>
      <c r="BD130" s="10" t="s">
        <v>33</v>
      </c>
      <c r="BF130" s="9" t="s">
        <v>7</v>
      </c>
      <c r="BG130" s="9" t="s">
        <v>8</v>
      </c>
      <c r="BH130" s="10"/>
      <c r="BJ130" s="131"/>
      <c r="BM130" s="9" t="s">
        <v>31</v>
      </c>
      <c r="BN130" s="9" t="s">
        <v>32</v>
      </c>
      <c r="BO130" s="10" t="s">
        <v>33</v>
      </c>
      <c r="BQ130" s="9" t="s">
        <v>7</v>
      </c>
      <c r="BR130" s="9" t="s">
        <v>8</v>
      </c>
      <c r="BS130" s="10"/>
      <c r="BU130" s="107"/>
    </row>
    <row r="131" spans="2:73" s="9" customFormat="1" ht="10.8">
      <c r="D131" s="9" t="s">
        <v>34</v>
      </c>
      <c r="E131" s="9" t="s">
        <v>35</v>
      </c>
      <c r="F131" s="10" t="s">
        <v>36</v>
      </c>
      <c r="H131" s="9" t="s">
        <v>12</v>
      </c>
      <c r="I131" s="9" t="s">
        <v>13</v>
      </c>
      <c r="J131" s="10" t="s">
        <v>37</v>
      </c>
      <c r="L131" s="134" t="s">
        <v>38</v>
      </c>
      <c r="N131" s="9" t="s">
        <v>34</v>
      </c>
      <c r="O131" s="9" t="s">
        <v>35</v>
      </c>
      <c r="P131" s="10" t="s">
        <v>36</v>
      </c>
      <c r="R131" s="9" t="s">
        <v>12</v>
      </c>
      <c r="S131" s="9" t="s">
        <v>13</v>
      </c>
      <c r="T131" s="10" t="s">
        <v>37</v>
      </c>
      <c r="V131" s="134" t="s">
        <v>38</v>
      </c>
      <c r="X131" s="9" t="s">
        <v>34</v>
      </c>
      <c r="Y131" s="9" t="s">
        <v>35</v>
      </c>
      <c r="Z131" s="10" t="s">
        <v>36</v>
      </c>
      <c r="AB131" s="9" t="s">
        <v>12</v>
      </c>
      <c r="AC131" s="9" t="s">
        <v>13</v>
      </c>
      <c r="AD131" s="10" t="s">
        <v>37</v>
      </c>
      <c r="AF131" s="175" t="s">
        <v>38</v>
      </c>
      <c r="AH131" s="9" t="s">
        <v>34</v>
      </c>
      <c r="AI131" s="9" t="s">
        <v>35</v>
      </c>
      <c r="AJ131" s="10" t="s">
        <v>36</v>
      </c>
      <c r="AL131" s="9" t="s">
        <v>12</v>
      </c>
      <c r="AM131" s="9" t="s">
        <v>13</v>
      </c>
      <c r="AN131" s="10" t="s">
        <v>37</v>
      </c>
      <c r="AP131" s="175" t="s">
        <v>38</v>
      </c>
      <c r="AR131" s="9" t="s">
        <v>34</v>
      </c>
      <c r="AS131" s="9" t="s">
        <v>35</v>
      </c>
      <c r="AT131" s="10" t="s">
        <v>36</v>
      </c>
      <c r="AV131" s="9" t="s">
        <v>12</v>
      </c>
      <c r="AW131" s="9" t="s">
        <v>13</v>
      </c>
      <c r="AX131" s="10" t="s">
        <v>37</v>
      </c>
      <c r="AZ131" s="175" t="s">
        <v>38</v>
      </c>
      <c r="BB131" s="9" t="s">
        <v>34</v>
      </c>
      <c r="BC131" s="9" t="s">
        <v>35</v>
      </c>
      <c r="BD131" s="10" t="s">
        <v>36</v>
      </c>
      <c r="BF131" s="9" t="s">
        <v>12</v>
      </c>
      <c r="BG131" s="9" t="s">
        <v>13</v>
      </c>
      <c r="BH131" s="10" t="s">
        <v>37</v>
      </c>
      <c r="BJ131" s="131" t="s">
        <v>38</v>
      </c>
      <c r="BM131" s="9" t="s">
        <v>34</v>
      </c>
      <c r="BN131" s="9" t="s">
        <v>35</v>
      </c>
      <c r="BO131" s="10" t="s">
        <v>36</v>
      </c>
      <c r="BQ131" s="9" t="s">
        <v>12</v>
      </c>
      <c r="BR131" s="9" t="s">
        <v>13</v>
      </c>
      <c r="BS131" s="10" t="s">
        <v>37</v>
      </c>
      <c r="BU131" s="107" t="s">
        <v>38</v>
      </c>
    </row>
    <row r="132" spans="2:73" ht="5.0999999999999996" customHeight="1"/>
    <row r="133" spans="2:73" ht="13.5" customHeight="1" thickBot="1">
      <c r="B133" s="12" t="s">
        <v>79</v>
      </c>
      <c r="C133" s="12"/>
      <c r="D133" s="57">
        <v>425</v>
      </c>
      <c r="E133" s="57">
        <f t="shared" ref="E133:E147" si="16">+F133-D133</f>
        <v>285</v>
      </c>
      <c r="F133" s="57">
        <v>710</v>
      </c>
      <c r="G133" s="57"/>
      <c r="H133" s="57">
        <f>1914-F133</f>
        <v>1204</v>
      </c>
      <c r="I133" s="57">
        <f t="shared" ref="I133:I147" si="17">J133-H133</f>
        <v>1422</v>
      </c>
      <c r="J133" s="57">
        <f t="shared" ref="J133:J147" si="18">L133-F133</f>
        <v>2626</v>
      </c>
      <c r="K133" s="57"/>
      <c r="L133" s="57">
        <v>3336</v>
      </c>
      <c r="M133" s="12"/>
      <c r="N133" s="57">
        <v>970</v>
      </c>
      <c r="O133" s="57">
        <f t="shared" ref="O133:O147" si="19">+P133-N133</f>
        <v>-1247</v>
      </c>
      <c r="P133" s="57">
        <v>-277</v>
      </c>
      <c r="Q133" s="57"/>
      <c r="R133" s="57">
        <f>-529-P133</f>
        <v>-252</v>
      </c>
      <c r="S133" s="57">
        <f t="shared" ref="S133:S147" si="20">T133-R133</f>
        <v>443</v>
      </c>
      <c r="T133" s="57">
        <f t="shared" ref="T133:T147" si="21">V133-P133</f>
        <v>191</v>
      </c>
      <c r="U133" s="57"/>
      <c r="V133" s="57">
        <v>-86</v>
      </c>
      <c r="W133" s="12"/>
      <c r="X133" s="57">
        <v>149</v>
      </c>
      <c r="Y133" s="57">
        <f t="shared" ref="Y133:Y147" si="22">Z133-X133</f>
        <v>271</v>
      </c>
      <c r="Z133" s="57">
        <v>420</v>
      </c>
      <c r="AA133" s="57"/>
      <c r="AB133" s="57">
        <f>+AB115</f>
        <v>-2135</v>
      </c>
      <c r="AC133" s="57">
        <f t="shared" ref="AC133:AC147" si="23">AD133-AB133</f>
        <v>214</v>
      </c>
      <c r="AD133" s="57">
        <f t="shared" ref="AD133:AD147" si="24">AF133-Z133</f>
        <v>-1921</v>
      </c>
      <c r="AE133" s="57"/>
      <c r="AF133" s="57">
        <v>-1501</v>
      </c>
      <c r="AG133" s="12"/>
      <c r="AH133" s="57">
        <v>725</v>
      </c>
      <c r="AI133" s="57">
        <v>1036</v>
      </c>
      <c r="AJ133" s="57">
        <v>1761</v>
      </c>
      <c r="AK133" s="57"/>
      <c r="AL133" s="57">
        <v>798.01000000000022</v>
      </c>
      <c r="AM133" s="57">
        <v>463.98999999999978</v>
      </c>
      <c r="AN133" s="57">
        <v>1262</v>
      </c>
      <c r="AO133" s="57"/>
      <c r="AP133" s="57">
        <v>3023</v>
      </c>
      <c r="AQ133" s="12"/>
      <c r="AR133" s="57">
        <v>-383</v>
      </c>
      <c r="AS133" s="57">
        <v>1179</v>
      </c>
      <c r="AT133" s="57">
        <v>796</v>
      </c>
      <c r="AU133" s="57"/>
      <c r="AV133" s="57">
        <f>1878-AT133</f>
        <v>1082</v>
      </c>
      <c r="AW133" s="57">
        <f>AX133-AV133</f>
        <v>1405</v>
      </c>
      <c r="AX133" s="57">
        <f>AZ133-AT133</f>
        <v>2487</v>
      </c>
      <c r="AY133" s="57"/>
      <c r="AZ133" s="57">
        <v>3283</v>
      </c>
      <c r="BA133" s="57"/>
      <c r="BB133" s="57">
        <v>1451</v>
      </c>
      <c r="BC133" s="57">
        <v>936</v>
      </c>
      <c r="BD133" s="57">
        <v>2387</v>
      </c>
      <c r="BE133" s="57"/>
      <c r="BF133" s="57">
        <f>2877-BD133</f>
        <v>490</v>
      </c>
      <c r="BG133" s="57">
        <f>BH133-BF133</f>
        <v>1201</v>
      </c>
      <c r="BH133" s="57">
        <f>BJ133-BD133</f>
        <v>1691</v>
      </c>
      <c r="BI133" s="57"/>
      <c r="BJ133" s="57">
        <v>4078</v>
      </c>
      <c r="BK133" s="58"/>
      <c r="BL133" s="58"/>
      <c r="BM133" s="57">
        <v>591.25</v>
      </c>
      <c r="BN133" s="57">
        <v>560.02</v>
      </c>
      <c r="BO133" s="57">
        <v>1151.27</v>
      </c>
      <c r="BP133" s="57"/>
      <c r="BQ133" s="57">
        <v>1178.22</v>
      </c>
      <c r="BR133" s="57">
        <v>1807.51</v>
      </c>
      <c r="BS133" s="57">
        <v>2985.73</v>
      </c>
      <c r="BT133" s="57"/>
      <c r="BU133" s="57">
        <v>4137</v>
      </c>
    </row>
    <row r="134" spans="2:73" ht="13.5" customHeight="1" thickBot="1">
      <c r="B134" t="s">
        <v>80</v>
      </c>
      <c r="D134" s="58">
        <v>330</v>
      </c>
      <c r="E134" s="58">
        <f t="shared" si="16"/>
        <v>293</v>
      </c>
      <c r="F134" s="58">
        <v>623</v>
      </c>
      <c r="G134" s="58"/>
      <c r="H134" s="58">
        <f>1370-F134</f>
        <v>747</v>
      </c>
      <c r="I134" s="58">
        <f t="shared" si="17"/>
        <v>566</v>
      </c>
      <c r="J134" s="58">
        <f t="shared" si="18"/>
        <v>1313</v>
      </c>
      <c r="K134" s="58"/>
      <c r="L134" s="58">
        <v>1936</v>
      </c>
      <c r="N134" s="58">
        <v>825</v>
      </c>
      <c r="O134" s="58">
        <f t="shared" si="19"/>
        <v>85</v>
      </c>
      <c r="P134" s="58">
        <v>910</v>
      </c>
      <c r="Q134" s="58"/>
      <c r="R134" s="58">
        <f>1587-P134</f>
        <v>677</v>
      </c>
      <c r="S134" s="58">
        <f t="shared" si="20"/>
        <v>1022</v>
      </c>
      <c r="T134" s="58">
        <f t="shared" si="21"/>
        <v>1699</v>
      </c>
      <c r="U134" s="58"/>
      <c r="V134" s="58">
        <v>2609</v>
      </c>
      <c r="X134" s="58">
        <v>129</v>
      </c>
      <c r="Y134" s="58">
        <f t="shared" si="22"/>
        <v>587</v>
      </c>
      <c r="Z134" s="58">
        <v>716</v>
      </c>
      <c r="AA134" s="58"/>
      <c r="AB134" s="58">
        <f>1205-Z134</f>
        <v>489</v>
      </c>
      <c r="AC134" s="58">
        <f t="shared" si="23"/>
        <v>1347</v>
      </c>
      <c r="AD134" s="58">
        <f t="shared" si="24"/>
        <v>1836</v>
      </c>
      <c r="AE134" s="58"/>
      <c r="AF134" s="58">
        <v>2552</v>
      </c>
      <c r="AH134" s="58">
        <v>417</v>
      </c>
      <c r="AI134" s="58">
        <v>698</v>
      </c>
      <c r="AJ134" s="58">
        <v>1115</v>
      </c>
      <c r="AK134" s="58"/>
      <c r="AL134" s="58">
        <v>473</v>
      </c>
      <c r="AM134" s="58">
        <v>242</v>
      </c>
      <c r="AN134" s="58">
        <v>715</v>
      </c>
      <c r="AO134" s="58"/>
      <c r="AP134" s="58">
        <v>1830</v>
      </c>
      <c r="AR134" s="58">
        <v>392</v>
      </c>
      <c r="AS134" s="58">
        <v>864</v>
      </c>
      <c r="AT134" s="58">
        <v>1256</v>
      </c>
      <c r="AU134" s="58"/>
      <c r="AV134" s="58">
        <f>2019-AT134</f>
        <v>763</v>
      </c>
      <c r="AW134" s="58">
        <f t="shared" ref="AW134:AW146" si="25">AX134-AV134</f>
        <v>691</v>
      </c>
      <c r="AX134" s="58">
        <f t="shared" ref="AX134:AX146" si="26">AZ134-AT134</f>
        <v>1454</v>
      </c>
      <c r="AY134" s="58"/>
      <c r="AZ134" s="58">
        <v>2710</v>
      </c>
      <c r="BA134" s="58"/>
      <c r="BB134" s="58">
        <v>562</v>
      </c>
      <c r="BC134" s="58">
        <v>1077</v>
      </c>
      <c r="BD134" s="58">
        <v>1639</v>
      </c>
      <c r="BE134" s="58"/>
      <c r="BF134" s="58">
        <f>2142-BD134</f>
        <v>503</v>
      </c>
      <c r="BG134" s="57">
        <f t="shared" ref="BG134:BG147" si="27">BH134-BF134</f>
        <v>771</v>
      </c>
      <c r="BH134" s="57">
        <f t="shared" ref="BH134:BH147" si="28">BJ134-BD134</f>
        <v>1274</v>
      </c>
      <c r="BI134" s="58"/>
      <c r="BJ134" s="58">
        <v>2913</v>
      </c>
      <c r="BK134" s="58"/>
      <c r="BL134" s="58"/>
      <c r="BM134" s="58">
        <v>594.71</v>
      </c>
      <c r="BN134" s="58">
        <v>911.56</v>
      </c>
      <c r="BO134" s="58">
        <v>1506.27</v>
      </c>
      <c r="BP134" s="58"/>
      <c r="BQ134" s="58">
        <v>980.73</v>
      </c>
      <c r="BR134" s="58">
        <v>1074</v>
      </c>
      <c r="BS134" s="58">
        <v>2054.73</v>
      </c>
      <c r="BT134" s="58"/>
      <c r="BU134" s="58">
        <v>3561</v>
      </c>
    </row>
    <row r="135" spans="2:73" ht="13.5" customHeight="1">
      <c r="B135" s="59" t="s">
        <v>113</v>
      </c>
      <c r="C135" s="60"/>
      <c r="D135" s="61">
        <v>374</v>
      </c>
      <c r="E135" s="61">
        <f t="shared" si="16"/>
        <v>148</v>
      </c>
      <c r="F135" s="61">
        <v>522</v>
      </c>
      <c r="G135" s="61"/>
      <c r="H135" s="61">
        <f>1398-F135</f>
        <v>876</v>
      </c>
      <c r="I135" s="61">
        <f t="shared" si="17"/>
        <v>1030</v>
      </c>
      <c r="J135" s="61">
        <f t="shared" si="18"/>
        <v>1906</v>
      </c>
      <c r="K135" s="61"/>
      <c r="L135" s="61">
        <v>2428</v>
      </c>
      <c r="M135" s="60"/>
      <c r="N135" s="61">
        <v>603</v>
      </c>
      <c r="O135" s="61">
        <f t="shared" si="19"/>
        <v>-1327</v>
      </c>
      <c r="P135" s="61">
        <v>-724</v>
      </c>
      <c r="Q135" s="61"/>
      <c r="R135" s="61">
        <f>-1155-P135</f>
        <v>-431</v>
      </c>
      <c r="S135" s="61">
        <f t="shared" si="20"/>
        <v>184</v>
      </c>
      <c r="T135" s="61">
        <f t="shared" si="21"/>
        <v>-247</v>
      </c>
      <c r="U135" s="61"/>
      <c r="V135" s="61">
        <v>-971</v>
      </c>
      <c r="W135" s="60"/>
      <c r="X135" s="61">
        <v>-243</v>
      </c>
      <c r="Y135" s="61">
        <f t="shared" si="22"/>
        <v>-110</v>
      </c>
      <c r="Z135" s="61">
        <v>-353</v>
      </c>
      <c r="AA135" s="61"/>
      <c r="AB135" s="61">
        <f>-11-Z135</f>
        <v>342</v>
      </c>
      <c r="AC135" s="61">
        <f t="shared" si="23"/>
        <v>-3335</v>
      </c>
      <c r="AD135" s="61">
        <f t="shared" si="24"/>
        <v>-2993</v>
      </c>
      <c r="AE135" s="61"/>
      <c r="AF135" s="61">
        <v>-3346</v>
      </c>
      <c r="AG135" s="60"/>
      <c r="AH135" s="61">
        <v>261</v>
      </c>
      <c r="AI135" s="61">
        <v>653</v>
      </c>
      <c r="AJ135" s="61">
        <v>914</v>
      </c>
      <c r="AK135" s="61"/>
      <c r="AL135" s="61">
        <v>211.71000000000004</v>
      </c>
      <c r="AM135" s="61">
        <v>-43.710000000000036</v>
      </c>
      <c r="AN135" s="61">
        <v>168</v>
      </c>
      <c r="AO135" s="61"/>
      <c r="AP135" s="61">
        <v>1082</v>
      </c>
      <c r="AQ135" s="60"/>
      <c r="AR135" s="61">
        <v>-909</v>
      </c>
      <c r="AS135" s="61">
        <v>813</v>
      </c>
      <c r="AT135" s="61">
        <v>-96</v>
      </c>
      <c r="AU135" s="61"/>
      <c r="AV135" s="61">
        <f>610-AT135</f>
        <v>706</v>
      </c>
      <c r="AW135" s="61">
        <f t="shared" si="25"/>
        <v>1006</v>
      </c>
      <c r="AX135" s="61">
        <f t="shared" si="26"/>
        <v>1712</v>
      </c>
      <c r="AY135" s="61"/>
      <c r="AZ135" s="61">
        <v>1616</v>
      </c>
      <c r="BA135" s="61"/>
      <c r="BB135" s="61">
        <v>1009</v>
      </c>
      <c r="BC135" s="61">
        <v>416</v>
      </c>
      <c r="BD135" s="61">
        <v>1425</v>
      </c>
      <c r="BE135" s="61"/>
      <c r="BF135" s="127">
        <f>1592-BD135</f>
        <v>167</v>
      </c>
      <c r="BG135" s="127">
        <f t="shared" si="27"/>
        <v>733</v>
      </c>
      <c r="BH135" s="127">
        <f t="shared" si="28"/>
        <v>900</v>
      </c>
      <c r="BI135" s="61"/>
      <c r="BJ135" s="61">
        <v>2325</v>
      </c>
      <c r="BK135" s="58"/>
      <c r="BL135" s="58"/>
      <c r="BM135" s="61">
        <v>161.15</v>
      </c>
      <c r="BN135" s="61">
        <v>266.85000000000002</v>
      </c>
      <c r="BO135" s="61">
        <v>428</v>
      </c>
      <c r="BP135" s="61"/>
      <c r="BQ135" s="61">
        <v>771</v>
      </c>
      <c r="BR135" s="61">
        <v>1338</v>
      </c>
      <c r="BS135" s="61">
        <v>2109</v>
      </c>
      <c r="BT135" s="61"/>
      <c r="BU135" s="61">
        <v>2537</v>
      </c>
    </row>
    <row r="136" spans="2:73" ht="13.5" customHeight="1">
      <c r="B136" t="s">
        <v>81</v>
      </c>
      <c r="D136" s="58">
        <v>75</v>
      </c>
      <c r="E136" s="58">
        <f t="shared" si="16"/>
        <v>22</v>
      </c>
      <c r="F136" s="58">
        <v>97</v>
      </c>
      <c r="G136" s="58"/>
      <c r="H136" s="58">
        <f>316-F136</f>
        <v>219</v>
      </c>
      <c r="I136" s="58">
        <f t="shared" si="17"/>
        <v>-23</v>
      </c>
      <c r="J136" s="58">
        <f t="shared" si="18"/>
        <v>196</v>
      </c>
      <c r="K136" s="58"/>
      <c r="L136" s="58">
        <v>293</v>
      </c>
      <c r="N136" s="58">
        <v>245</v>
      </c>
      <c r="O136" s="58">
        <f t="shared" si="19"/>
        <v>-128</v>
      </c>
      <c r="P136" s="58">
        <v>117</v>
      </c>
      <c r="Q136" s="58"/>
      <c r="R136" s="58">
        <f>408-P136</f>
        <v>291</v>
      </c>
      <c r="S136" s="58">
        <f t="shared" si="20"/>
        <v>483</v>
      </c>
      <c r="T136" s="58">
        <f t="shared" si="21"/>
        <v>774</v>
      </c>
      <c r="U136" s="58"/>
      <c r="V136" s="58">
        <v>891</v>
      </c>
      <c r="X136" s="58">
        <v>-242</v>
      </c>
      <c r="Y136" s="58">
        <f t="shared" si="22"/>
        <v>102</v>
      </c>
      <c r="Z136" s="58">
        <v>-140</v>
      </c>
      <c r="AA136" s="58"/>
      <c r="AB136" s="58">
        <f>-103-Z136</f>
        <v>37</v>
      </c>
      <c r="AC136" s="58">
        <f t="shared" si="23"/>
        <v>674</v>
      </c>
      <c r="AD136" s="58">
        <f t="shared" si="24"/>
        <v>711</v>
      </c>
      <c r="AE136" s="58"/>
      <c r="AF136" s="58">
        <v>571</v>
      </c>
      <c r="AH136" s="58">
        <v>-257</v>
      </c>
      <c r="AI136" s="58">
        <v>131</v>
      </c>
      <c r="AJ136" s="58">
        <v>-126</v>
      </c>
      <c r="AK136" s="58"/>
      <c r="AL136" s="58">
        <v>-270</v>
      </c>
      <c r="AM136" s="58">
        <v>-379</v>
      </c>
      <c r="AN136" s="58">
        <v>-649</v>
      </c>
      <c r="AO136" s="58"/>
      <c r="AP136" s="58">
        <v>-775</v>
      </c>
      <c r="AR136" s="58">
        <v>-174</v>
      </c>
      <c r="AS136" s="58">
        <v>413</v>
      </c>
      <c r="AT136" s="58">
        <v>239</v>
      </c>
      <c r="AU136" s="58"/>
      <c r="AV136" s="58">
        <f>516-AT136</f>
        <v>277</v>
      </c>
      <c r="AW136" s="58">
        <f t="shared" si="25"/>
        <v>45</v>
      </c>
      <c r="AX136" s="58">
        <f t="shared" si="26"/>
        <v>322</v>
      </c>
      <c r="AY136" s="58"/>
      <c r="AZ136" s="58">
        <v>561</v>
      </c>
      <c r="BA136" s="58"/>
      <c r="BB136" s="58">
        <v>15</v>
      </c>
      <c r="BC136" s="58">
        <v>434</v>
      </c>
      <c r="BD136" s="58">
        <v>449</v>
      </c>
      <c r="BE136" s="58"/>
      <c r="BF136" s="58">
        <f>552-BD136</f>
        <v>103</v>
      </c>
      <c r="BG136" s="58">
        <f t="shared" si="27"/>
        <v>194</v>
      </c>
      <c r="BH136" s="58">
        <f t="shared" si="28"/>
        <v>297</v>
      </c>
      <c r="BI136" s="58"/>
      <c r="BJ136" s="58">
        <v>746</v>
      </c>
      <c r="BK136" s="58"/>
      <c r="BL136" s="58"/>
      <c r="BM136" s="58">
        <v>161.54</v>
      </c>
      <c r="BN136" s="58">
        <v>608.46</v>
      </c>
      <c r="BO136" s="58">
        <v>770</v>
      </c>
      <c r="BP136" s="58"/>
      <c r="BQ136" s="58">
        <v>476</v>
      </c>
      <c r="BR136" s="58">
        <v>446</v>
      </c>
      <c r="BS136" s="58">
        <v>922</v>
      </c>
      <c r="BT136" s="58"/>
      <c r="BU136" s="58">
        <v>1692</v>
      </c>
    </row>
    <row r="137" spans="2:73" ht="13.5" customHeight="1">
      <c r="B137" t="s">
        <v>82</v>
      </c>
      <c r="D137" s="58">
        <v>197</v>
      </c>
      <c r="E137" s="58">
        <f t="shared" si="16"/>
        <v>123</v>
      </c>
      <c r="F137" s="58">
        <v>320</v>
      </c>
      <c r="G137" s="58"/>
      <c r="H137" s="58">
        <f>520-F137</f>
        <v>200</v>
      </c>
      <c r="I137" s="58">
        <f t="shared" si="17"/>
        <v>272</v>
      </c>
      <c r="J137" s="58">
        <f t="shared" si="18"/>
        <v>472</v>
      </c>
      <c r="K137" s="58"/>
      <c r="L137" s="58">
        <v>792</v>
      </c>
      <c r="N137" s="58">
        <v>213</v>
      </c>
      <c r="O137" s="58">
        <f t="shared" si="19"/>
        <v>112</v>
      </c>
      <c r="P137" s="58">
        <v>325</v>
      </c>
      <c r="Q137" s="58"/>
      <c r="R137" s="58">
        <f>518-P137</f>
        <v>193</v>
      </c>
      <c r="S137" s="58">
        <f t="shared" si="20"/>
        <v>258</v>
      </c>
      <c r="T137" s="58">
        <f t="shared" si="21"/>
        <v>451</v>
      </c>
      <c r="U137" s="58"/>
      <c r="V137" s="58">
        <v>776</v>
      </c>
      <c r="X137" s="58">
        <v>-19</v>
      </c>
      <c r="Y137" s="58">
        <f t="shared" si="22"/>
        <v>111</v>
      </c>
      <c r="Z137" s="58">
        <v>92</v>
      </c>
      <c r="AA137" s="58"/>
      <c r="AB137" s="58">
        <f>92-Z137</f>
        <v>0</v>
      </c>
      <c r="AC137" s="58">
        <f t="shared" si="23"/>
        <v>59</v>
      </c>
      <c r="AD137" s="58">
        <f t="shared" si="24"/>
        <v>59</v>
      </c>
      <c r="AE137" s="58"/>
      <c r="AF137" s="58">
        <v>151</v>
      </c>
      <c r="AH137" s="58">
        <v>224</v>
      </c>
      <c r="AI137" s="58">
        <v>194</v>
      </c>
      <c r="AJ137" s="58">
        <v>418</v>
      </c>
      <c r="AK137" s="58"/>
      <c r="AL137" s="58">
        <v>166</v>
      </c>
      <c r="AM137" s="58">
        <v>112</v>
      </c>
      <c r="AN137" s="58">
        <v>278</v>
      </c>
      <c r="AO137" s="58"/>
      <c r="AP137" s="58">
        <v>696</v>
      </c>
      <c r="AR137" s="58">
        <v>31</v>
      </c>
      <c r="AS137" s="58">
        <v>67</v>
      </c>
      <c r="AT137" s="58">
        <v>98</v>
      </c>
      <c r="AU137" s="58"/>
      <c r="AV137" s="58">
        <f>212-AT137</f>
        <v>114</v>
      </c>
      <c r="AW137" s="58">
        <f t="shared" si="25"/>
        <v>255</v>
      </c>
      <c r="AX137" s="58">
        <f t="shared" si="26"/>
        <v>369</v>
      </c>
      <c r="AY137" s="58"/>
      <c r="AZ137" s="58">
        <v>467</v>
      </c>
      <c r="BA137" s="58"/>
      <c r="BB137" s="58">
        <v>118</v>
      </c>
      <c r="BC137" s="58">
        <v>126</v>
      </c>
      <c r="BD137" s="58">
        <v>244</v>
      </c>
      <c r="BE137" s="58"/>
      <c r="BF137" s="58">
        <f>293-BD137</f>
        <v>49</v>
      </c>
      <c r="BG137" s="58">
        <f t="shared" si="27"/>
        <v>89</v>
      </c>
      <c r="BH137" s="58">
        <f t="shared" si="28"/>
        <v>138</v>
      </c>
      <c r="BI137" s="58"/>
      <c r="BJ137" s="58">
        <v>382</v>
      </c>
      <c r="BK137" s="58"/>
      <c r="BL137" s="58"/>
      <c r="BM137" s="58">
        <v>11</v>
      </c>
      <c r="BN137" s="58">
        <v>-1</v>
      </c>
      <c r="BO137" s="58">
        <v>10</v>
      </c>
      <c r="BP137" s="58"/>
      <c r="BQ137" s="58">
        <v>96</v>
      </c>
      <c r="BR137" s="58">
        <v>167</v>
      </c>
      <c r="BS137" s="58">
        <v>263</v>
      </c>
      <c r="BT137" s="58"/>
      <c r="BU137" s="58">
        <v>273</v>
      </c>
    </row>
    <row r="138" spans="2:73" ht="13.5" customHeight="1">
      <c r="B138" t="s">
        <v>83</v>
      </c>
      <c r="D138" s="58">
        <v>102</v>
      </c>
      <c r="E138" s="58">
        <f t="shared" si="16"/>
        <v>3</v>
      </c>
      <c r="F138" s="58">
        <v>105</v>
      </c>
      <c r="G138" s="58"/>
      <c r="H138" s="58">
        <f>562-F138</f>
        <v>457</v>
      </c>
      <c r="I138" s="58">
        <f t="shared" si="17"/>
        <v>781</v>
      </c>
      <c r="J138" s="58">
        <f t="shared" si="18"/>
        <v>1238</v>
      </c>
      <c r="K138" s="58"/>
      <c r="L138" s="58">
        <v>1343</v>
      </c>
      <c r="N138" s="58">
        <v>145</v>
      </c>
      <c r="O138" s="58">
        <f t="shared" si="19"/>
        <v>-1311</v>
      </c>
      <c r="P138" s="58">
        <f>+P135-SUM(P136:P137)</f>
        <v>-1166</v>
      </c>
      <c r="Q138" s="58"/>
      <c r="R138" s="58">
        <f>+R135-R136-R137</f>
        <v>-915</v>
      </c>
      <c r="S138" s="58">
        <f t="shared" si="20"/>
        <v>-557</v>
      </c>
      <c r="T138" s="58">
        <f t="shared" si="21"/>
        <v>-1472</v>
      </c>
      <c r="U138" s="58"/>
      <c r="V138" s="58">
        <v>-2638</v>
      </c>
      <c r="X138" s="58">
        <v>18</v>
      </c>
      <c r="Y138" s="58">
        <f t="shared" si="22"/>
        <v>-323</v>
      </c>
      <c r="Z138" s="58">
        <v>-305</v>
      </c>
      <c r="AA138" s="58"/>
      <c r="AB138" s="58">
        <f>-2938-Z138</f>
        <v>-2633</v>
      </c>
      <c r="AC138" s="58">
        <f t="shared" si="23"/>
        <v>-1130</v>
      </c>
      <c r="AD138" s="58">
        <f t="shared" si="24"/>
        <v>-3763</v>
      </c>
      <c r="AE138" s="58"/>
      <c r="AF138" s="58">
        <v>-4068</v>
      </c>
      <c r="AH138" s="58">
        <v>294</v>
      </c>
      <c r="AI138" s="58">
        <v>328</v>
      </c>
      <c r="AJ138" s="58">
        <v>622</v>
      </c>
      <c r="AK138" s="58"/>
      <c r="AL138" s="58">
        <v>316</v>
      </c>
      <c r="AM138" s="58">
        <v>223</v>
      </c>
      <c r="AN138" s="58">
        <v>539</v>
      </c>
      <c r="AO138" s="58"/>
      <c r="AP138" s="58">
        <v>1161</v>
      </c>
      <c r="AR138" s="58">
        <v>-766</v>
      </c>
      <c r="AS138" s="58">
        <v>333</v>
      </c>
      <c r="AT138" s="58">
        <v>-433</v>
      </c>
      <c r="AU138" s="58"/>
      <c r="AV138" s="58">
        <f>-118-AT138</f>
        <v>315</v>
      </c>
      <c r="AW138" s="58">
        <f t="shared" si="25"/>
        <v>706</v>
      </c>
      <c r="AX138" s="58">
        <f t="shared" si="26"/>
        <v>1021</v>
      </c>
      <c r="AY138" s="58"/>
      <c r="AZ138" s="58">
        <v>588</v>
      </c>
      <c r="BA138" s="58"/>
      <c r="BB138" s="58">
        <v>876</v>
      </c>
      <c r="BC138" s="58">
        <v>-144</v>
      </c>
      <c r="BD138" s="58">
        <v>732</v>
      </c>
      <c r="BE138" s="58"/>
      <c r="BF138" s="58">
        <f>747-BD138</f>
        <v>15</v>
      </c>
      <c r="BG138" s="58">
        <f t="shared" si="27"/>
        <v>450</v>
      </c>
      <c r="BH138" s="58">
        <f t="shared" si="28"/>
        <v>465</v>
      </c>
      <c r="BI138" s="58"/>
      <c r="BJ138" s="58">
        <v>1197</v>
      </c>
      <c r="BK138" s="58"/>
      <c r="BL138" s="58"/>
      <c r="BM138" s="58">
        <v>-11.39</v>
      </c>
      <c r="BN138" s="58">
        <v>-340.61</v>
      </c>
      <c r="BO138" s="58">
        <v>-352</v>
      </c>
      <c r="BP138" s="58"/>
      <c r="BQ138" s="58">
        <v>199</v>
      </c>
      <c r="BR138" s="58">
        <v>725</v>
      </c>
      <c r="BS138" s="58">
        <v>924</v>
      </c>
      <c r="BT138" s="58"/>
      <c r="BU138" s="58">
        <v>572</v>
      </c>
    </row>
    <row r="139" spans="2:73" ht="13.5" customHeight="1">
      <c r="B139" s="62" t="s">
        <v>114</v>
      </c>
      <c r="C139" s="34"/>
      <c r="D139" s="63">
        <v>-33</v>
      </c>
      <c r="E139" s="63">
        <f t="shared" si="16"/>
        <v>13</v>
      </c>
      <c r="F139" s="63">
        <v>-20</v>
      </c>
      <c r="G139" s="63"/>
      <c r="H139" s="63">
        <f>85-F139</f>
        <v>105</v>
      </c>
      <c r="I139" s="63">
        <f t="shared" si="17"/>
        <v>98</v>
      </c>
      <c r="J139" s="63">
        <f t="shared" si="18"/>
        <v>203</v>
      </c>
      <c r="K139" s="63"/>
      <c r="L139" s="63">
        <v>183</v>
      </c>
      <c r="M139" s="34"/>
      <c r="N139" s="63">
        <v>123</v>
      </c>
      <c r="O139" s="63">
        <f t="shared" si="19"/>
        <v>50</v>
      </c>
      <c r="P139" s="63">
        <v>173</v>
      </c>
      <c r="Q139" s="63"/>
      <c r="R139" s="63">
        <f>216-P139</f>
        <v>43</v>
      </c>
      <c r="S139" s="63">
        <f t="shared" si="20"/>
        <v>66</v>
      </c>
      <c r="T139" s="63">
        <f t="shared" si="21"/>
        <v>109</v>
      </c>
      <c r="U139" s="63"/>
      <c r="V139" s="63">
        <v>282</v>
      </c>
      <c r="W139" s="34"/>
      <c r="X139" s="63">
        <v>200</v>
      </c>
      <c r="Y139" s="63">
        <f t="shared" si="22"/>
        <v>147</v>
      </c>
      <c r="Z139" s="63">
        <v>347</v>
      </c>
      <c r="AA139" s="63"/>
      <c r="AB139" s="63">
        <f>550-Z139</f>
        <v>203</v>
      </c>
      <c r="AC139" s="63">
        <f t="shared" si="23"/>
        <v>299</v>
      </c>
      <c r="AD139" s="63">
        <f t="shared" si="24"/>
        <v>502</v>
      </c>
      <c r="AE139" s="63"/>
      <c r="AF139" s="63">
        <v>849</v>
      </c>
      <c r="AG139" s="34"/>
      <c r="AH139" s="63">
        <v>310</v>
      </c>
      <c r="AI139" s="63">
        <v>221</v>
      </c>
      <c r="AJ139" s="63">
        <v>531</v>
      </c>
      <c r="AK139" s="63"/>
      <c r="AL139" s="63">
        <v>282</v>
      </c>
      <c r="AM139" s="63">
        <v>242</v>
      </c>
      <c r="AN139" s="63">
        <v>524</v>
      </c>
      <c r="AO139" s="63"/>
      <c r="AP139" s="63">
        <v>1055</v>
      </c>
      <c r="AQ139" s="34"/>
      <c r="AR139" s="63">
        <v>366</v>
      </c>
      <c r="AS139" s="63">
        <v>216</v>
      </c>
      <c r="AT139" s="63">
        <v>582</v>
      </c>
      <c r="AU139" s="63"/>
      <c r="AV139" s="63">
        <f>746-AT139</f>
        <v>164</v>
      </c>
      <c r="AW139" s="63">
        <f t="shared" si="25"/>
        <v>190</v>
      </c>
      <c r="AX139" s="63">
        <f t="shared" si="26"/>
        <v>354</v>
      </c>
      <c r="AY139" s="63"/>
      <c r="AZ139" s="63">
        <v>936</v>
      </c>
      <c r="BA139" s="63"/>
      <c r="BB139" s="63">
        <v>229</v>
      </c>
      <c r="BC139" s="63">
        <v>290</v>
      </c>
      <c r="BD139" s="63">
        <v>519</v>
      </c>
      <c r="BE139" s="63"/>
      <c r="BF139" s="63">
        <f>759-BD139</f>
        <v>240</v>
      </c>
      <c r="BG139" s="126">
        <f t="shared" si="27"/>
        <v>216</v>
      </c>
      <c r="BH139" s="126">
        <f t="shared" si="28"/>
        <v>456</v>
      </c>
      <c r="BI139" s="63"/>
      <c r="BJ139" s="63">
        <v>975</v>
      </c>
      <c r="BK139" s="58"/>
      <c r="BL139" s="58"/>
      <c r="BM139" s="63">
        <v>173.79</v>
      </c>
      <c r="BN139" s="63">
        <v>147.21</v>
      </c>
      <c r="BO139" s="63">
        <v>321</v>
      </c>
      <c r="BP139" s="63"/>
      <c r="BQ139" s="63">
        <v>112</v>
      </c>
      <c r="BR139" s="63">
        <v>162</v>
      </c>
      <c r="BS139" s="63">
        <v>274</v>
      </c>
      <c r="BT139" s="63"/>
      <c r="BU139" s="63">
        <v>595</v>
      </c>
    </row>
    <row r="140" spans="2:73" ht="13.5" customHeight="1">
      <c r="B140" s="64" t="s">
        <v>84</v>
      </c>
      <c r="C140" s="27"/>
      <c r="D140" s="65">
        <v>-14</v>
      </c>
      <c r="E140" s="65">
        <f t="shared" si="16"/>
        <v>19</v>
      </c>
      <c r="F140" s="65">
        <v>5</v>
      </c>
      <c r="G140" s="65"/>
      <c r="H140" s="65">
        <f>112-F140</f>
        <v>107</v>
      </c>
      <c r="I140" s="65">
        <f t="shared" si="17"/>
        <v>138</v>
      </c>
      <c r="J140" s="65">
        <f t="shared" si="18"/>
        <v>245</v>
      </c>
      <c r="K140" s="65"/>
      <c r="L140" s="65">
        <v>250</v>
      </c>
      <c r="M140" s="27"/>
      <c r="N140" s="65">
        <v>156</v>
      </c>
      <c r="O140" s="65">
        <f t="shared" si="19"/>
        <v>-50</v>
      </c>
      <c r="P140" s="65">
        <v>106</v>
      </c>
      <c r="Q140" s="65"/>
      <c r="R140" s="65">
        <f>88-P140</f>
        <v>-18</v>
      </c>
      <c r="S140" s="65">
        <f t="shared" si="20"/>
        <v>45</v>
      </c>
      <c r="T140" s="65">
        <f t="shared" si="21"/>
        <v>27</v>
      </c>
      <c r="U140" s="65"/>
      <c r="V140" s="65">
        <v>133</v>
      </c>
      <c r="W140" s="27"/>
      <c r="X140" s="65">
        <v>97</v>
      </c>
      <c r="Y140" s="65">
        <f t="shared" si="22"/>
        <v>142</v>
      </c>
      <c r="Z140" s="65">
        <v>239</v>
      </c>
      <c r="AA140" s="65"/>
      <c r="AB140" s="65">
        <f>385-Z140</f>
        <v>146</v>
      </c>
      <c r="AC140" s="65">
        <f t="shared" si="23"/>
        <v>181</v>
      </c>
      <c r="AD140" s="65">
        <f t="shared" si="24"/>
        <v>327</v>
      </c>
      <c r="AE140" s="65"/>
      <c r="AF140" s="65">
        <v>566</v>
      </c>
      <c r="AG140" s="27"/>
      <c r="AH140" s="65">
        <v>101</v>
      </c>
      <c r="AI140" s="65">
        <v>95</v>
      </c>
      <c r="AJ140" s="65">
        <v>196</v>
      </c>
      <c r="AK140" s="65"/>
      <c r="AL140" s="65">
        <v>165.48000000000002</v>
      </c>
      <c r="AM140" s="65">
        <v>112.51999999999998</v>
      </c>
      <c r="AN140" s="65">
        <v>278</v>
      </c>
      <c r="AO140" s="65"/>
      <c r="AP140" s="65">
        <v>474</v>
      </c>
      <c r="AQ140" s="27"/>
      <c r="AR140" s="65">
        <v>121</v>
      </c>
      <c r="AS140" s="65">
        <v>95</v>
      </c>
      <c r="AT140" s="65">
        <v>216</v>
      </c>
      <c r="AU140" s="65"/>
      <c r="AV140" s="65">
        <v>106</v>
      </c>
      <c r="AW140" s="65">
        <f t="shared" si="25"/>
        <v>118</v>
      </c>
      <c r="AX140" s="65">
        <f t="shared" si="26"/>
        <v>224</v>
      </c>
      <c r="AY140" s="65"/>
      <c r="AZ140" s="65">
        <v>440</v>
      </c>
      <c r="BA140" s="65"/>
      <c r="BB140" s="65">
        <v>189</v>
      </c>
      <c r="BC140" s="65">
        <v>199</v>
      </c>
      <c r="BD140" s="65">
        <v>388</v>
      </c>
      <c r="BE140" s="65"/>
      <c r="BF140" s="65">
        <f>394-BD140</f>
        <v>6</v>
      </c>
      <c r="BG140" s="128">
        <f t="shared" si="27"/>
        <v>206</v>
      </c>
      <c r="BH140" s="128">
        <f t="shared" si="28"/>
        <v>212</v>
      </c>
      <c r="BI140" s="65"/>
      <c r="BJ140" s="65">
        <v>600</v>
      </c>
      <c r="BK140" s="58"/>
      <c r="BL140" s="58"/>
      <c r="BM140" s="65">
        <v>174.48</v>
      </c>
      <c r="BN140" s="65">
        <v>130.52000000000001</v>
      </c>
      <c r="BO140" s="65">
        <v>305</v>
      </c>
      <c r="BP140" s="65"/>
      <c r="BQ140" s="65">
        <v>234</v>
      </c>
      <c r="BR140" s="65">
        <v>168</v>
      </c>
      <c r="BS140" s="65">
        <v>402</v>
      </c>
      <c r="BT140" s="65"/>
      <c r="BU140" s="65">
        <v>707</v>
      </c>
    </row>
    <row r="141" spans="2:73" ht="13.5" customHeight="1">
      <c r="B141" t="s">
        <v>85</v>
      </c>
      <c r="D141" s="58">
        <v>-120</v>
      </c>
      <c r="E141" s="58">
        <f t="shared" si="16"/>
        <v>-91</v>
      </c>
      <c r="F141" s="58">
        <v>-211</v>
      </c>
      <c r="G141" s="58"/>
      <c r="H141" s="58">
        <f>-268-F141</f>
        <v>-57</v>
      </c>
      <c r="I141" s="58">
        <f t="shared" si="17"/>
        <v>-13</v>
      </c>
      <c r="J141" s="58">
        <f t="shared" si="18"/>
        <v>-70</v>
      </c>
      <c r="K141" s="58"/>
      <c r="L141" s="58">
        <v>-281</v>
      </c>
      <c r="N141" s="58">
        <v>-3</v>
      </c>
      <c r="O141" s="58">
        <f t="shared" si="19"/>
        <v>-52</v>
      </c>
      <c r="P141" s="58">
        <v>-55</v>
      </c>
      <c r="Q141" s="58"/>
      <c r="R141" s="58">
        <f>-183-P141</f>
        <v>-128</v>
      </c>
      <c r="S141" s="58">
        <f t="shared" si="20"/>
        <v>-59</v>
      </c>
      <c r="T141" s="58">
        <f t="shared" si="21"/>
        <v>-187</v>
      </c>
      <c r="U141" s="58"/>
      <c r="V141" s="58">
        <v>-242</v>
      </c>
      <c r="X141" s="58">
        <v>40</v>
      </c>
      <c r="Y141" s="58">
        <f t="shared" si="22"/>
        <v>57</v>
      </c>
      <c r="Z141" s="58">
        <v>97</v>
      </c>
      <c r="AA141" s="58"/>
      <c r="AB141" s="58">
        <f>119-Z141</f>
        <v>22</v>
      </c>
      <c r="AC141" s="58">
        <f t="shared" si="23"/>
        <v>62</v>
      </c>
      <c r="AD141" s="58">
        <f t="shared" si="24"/>
        <v>84</v>
      </c>
      <c r="AE141" s="58"/>
      <c r="AF141" s="58">
        <v>181</v>
      </c>
      <c r="AH141" s="58">
        <v>55</v>
      </c>
      <c r="AI141" s="58">
        <v>29</v>
      </c>
      <c r="AJ141" s="58">
        <v>84</v>
      </c>
      <c r="AK141" s="58"/>
      <c r="AL141" s="58">
        <v>74</v>
      </c>
      <c r="AM141" s="58">
        <v>67</v>
      </c>
      <c r="AN141" s="58">
        <v>141</v>
      </c>
      <c r="AO141" s="58"/>
      <c r="AP141" s="58">
        <v>225</v>
      </c>
      <c r="AR141" s="58">
        <v>104</v>
      </c>
      <c r="AS141" s="58">
        <v>53</v>
      </c>
      <c r="AT141" s="58">
        <v>157</v>
      </c>
      <c r="AU141" s="58"/>
      <c r="AV141" s="58">
        <f>221-AT141</f>
        <v>64</v>
      </c>
      <c r="AW141" s="58">
        <f t="shared" si="25"/>
        <v>45</v>
      </c>
      <c r="AX141" s="58">
        <f t="shared" si="26"/>
        <v>109</v>
      </c>
      <c r="AY141" s="58"/>
      <c r="AZ141" s="58">
        <v>266</v>
      </c>
      <c r="BA141" s="58"/>
      <c r="BB141" s="58">
        <v>105</v>
      </c>
      <c r="BC141" s="58">
        <v>123</v>
      </c>
      <c r="BD141" s="58">
        <v>228</v>
      </c>
      <c r="BE141" s="58"/>
      <c r="BF141" s="58">
        <f>251-BD141</f>
        <v>23</v>
      </c>
      <c r="BG141" s="58">
        <f t="shared" si="27"/>
        <v>115</v>
      </c>
      <c r="BH141" s="58">
        <f t="shared" si="28"/>
        <v>138</v>
      </c>
      <c r="BI141" s="58"/>
      <c r="BJ141" s="58">
        <v>366</v>
      </c>
      <c r="BK141" s="58"/>
      <c r="BL141" s="58"/>
      <c r="BM141" s="58">
        <v>103.45</v>
      </c>
      <c r="BN141" s="58">
        <v>61.55</v>
      </c>
      <c r="BO141" s="58">
        <v>165</v>
      </c>
      <c r="BP141" s="58"/>
      <c r="BQ141" s="58">
        <v>157</v>
      </c>
      <c r="BR141" s="58">
        <v>119</v>
      </c>
      <c r="BS141" s="58">
        <v>276</v>
      </c>
      <c r="BT141" s="58"/>
      <c r="BU141" s="58">
        <v>441</v>
      </c>
    </row>
    <row r="142" spans="2:73" ht="13.5" customHeight="1">
      <c r="B142" t="s">
        <v>96</v>
      </c>
      <c r="D142" s="58">
        <v>58</v>
      </c>
      <c r="E142" s="58">
        <f t="shared" si="16"/>
        <v>55</v>
      </c>
      <c r="F142" s="58">
        <v>113</v>
      </c>
      <c r="G142" s="58"/>
      <c r="H142" s="58">
        <f>205-F142</f>
        <v>92</v>
      </c>
      <c r="I142" s="58">
        <f t="shared" si="17"/>
        <v>1</v>
      </c>
      <c r="J142" s="58">
        <f t="shared" si="18"/>
        <v>93</v>
      </c>
      <c r="K142" s="58"/>
      <c r="L142" s="58">
        <v>206</v>
      </c>
      <c r="N142" s="58">
        <v>77</v>
      </c>
      <c r="O142" s="58">
        <f t="shared" si="19"/>
        <v>-47</v>
      </c>
      <c r="P142" s="58">
        <v>30</v>
      </c>
      <c r="Q142" s="58"/>
      <c r="R142" s="58">
        <f>80-P142</f>
        <v>50</v>
      </c>
      <c r="S142" s="58">
        <f t="shared" si="20"/>
        <v>53</v>
      </c>
      <c r="T142" s="58">
        <f t="shared" si="21"/>
        <v>103</v>
      </c>
      <c r="U142" s="58"/>
      <c r="V142" s="58">
        <v>133</v>
      </c>
      <c r="X142" s="58">
        <v>37</v>
      </c>
      <c r="Y142" s="58">
        <f t="shared" si="22"/>
        <v>37</v>
      </c>
      <c r="Z142" s="58">
        <v>74</v>
      </c>
      <c r="AA142" s="58"/>
      <c r="AB142" s="58">
        <f>124-Z142</f>
        <v>50</v>
      </c>
      <c r="AC142" s="58">
        <f t="shared" si="23"/>
        <v>44</v>
      </c>
      <c r="AD142" s="58">
        <f t="shared" si="24"/>
        <v>94</v>
      </c>
      <c r="AE142" s="58"/>
      <c r="AF142" s="58">
        <v>168</v>
      </c>
      <c r="AH142" s="58">
        <v>25</v>
      </c>
      <c r="AI142" s="58">
        <v>31</v>
      </c>
      <c r="AJ142" s="58">
        <v>56</v>
      </c>
      <c r="AK142" s="58"/>
      <c r="AL142" s="58">
        <v>44</v>
      </c>
      <c r="AM142" s="58">
        <v>25</v>
      </c>
      <c r="AN142" s="58">
        <v>69</v>
      </c>
      <c r="AO142" s="58"/>
      <c r="AP142" s="58">
        <v>125</v>
      </c>
      <c r="AR142" s="58">
        <v>23</v>
      </c>
      <c r="AS142" s="58">
        <v>25</v>
      </c>
      <c r="AT142" s="58">
        <v>48</v>
      </c>
      <c r="AU142" s="58"/>
      <c r="AV142" s="58">
        <f>76-AT142</f>
        <v>28</v>
      </c>
      <c r="AW142" s="58">
        <f t="shared" si="25"/>
        <v>35</v>
      </c>
      <c r="AX142" s="58">
        <f t="shared" si="26"/>
        <v>63</v>
      </c>
      <c r="AY142" s="58"/>
      <c r="AZ142" s="58">
        <v>111</v>
      </c>
      <c r="BA142" s="58"/>
      <c r="BB142" s="58">
        <v>44</v>
      </c>
      <c r="BC142" s="58">
        <v>22</v>
      </c>
      <c r="BD142" s="58">
        <v>66</v>
      </c>
      <c r="BE142" s="58"/>
      <c r="BF142" s="58">
        <f>64-BD142</f>
        <v>-2</v>
      </c>
      <c r="BG142" s="58">
        <f t="shared" si="27"/>
        <v>91</v>
      </c>
      <c r="BH142" s="58">
        <f t="shared" si="28"/>
        <v>89</v>
      </c>
      <c r="BI142" s="58"/>
      <c r="BJ142" s="58">
        <v>155</v>
      </c>
      <c r="BK142" s="58"/>
      <c r="BL142" s="58"/>
      <c r="BM142" s="58">
        <v>35.83</v>
      </c>
      <c r="BN142" s="58">
        <v>21.17</v>
      </c>
      <c r="BO142" s="58">
        <v>57</v>
      </c>
      <c r="BP142" s="58"/>
      <c r="BQ142" s="58">
        <v>64</v>
      </c>
      <c r="BR142" s="58">
        <v>7</v>
      </c>
      <c r="BS142" s="58">
        <v>71</v>
      </c>
      <c r="BT142" s="58"/>
      <c r="BU142" s="58">
        <v>128</v>
      </c>
    </row>
    <row r="143" spans="2:73" ht="13.5" customHeight="1">
      <c r="B143" t="s">
        <v>87</v>
      </c>
      <c r="D143" s="58">
        <v>40</v>
      </c>
      <c r="E143" s="58">
        <f t="shared" si="16"/>
        <v>44</v>
      </c>
      <c r="F143" s="58">
        <v>84</v>
      </c>
      <c r="G143" s="58"/>
      <c r="H143" s="58">
        <f>134-F143</f>
        <v>50</v>
      </c>
      <c r="I143" s="58">
        <f t="shared" si="17"/>
        <v>49</v>
      </c>
      <c r="J143" s="58">
        <f t="shared" si="18"/>
        <v>99</v>
      </c>
      <c r="K143" s="58"/>
      <c r="L143" s="58">
        <v>183</v>
      </c>
      <c r="N143" s="58">
        <v>55</v>
      </c>
      <c r="O143" s="58">
        <f t="shared" si="19"/>
        <v>54</v>
      </c>
      <c r="P143" s="58">
        <v>109</v>
      </c>
      <c r="Q143" s="58"/>
      <c r="R143" s="58">
        <f>160-P143</f>
        <v>51</v>
      </c>
      <c r="S143" s="58">
        <f t="shared" si="20"/>
        <v>59</v>
      </c>
      <c r="T143" s="58">
        <f t="shared" si="21"/>
        <v>110</v>
      </c>
      <c r="U143" s="58"/>
      <c r="V143" s="58">
        <v>219</v>
      </c>
      <c r="X143" s="58">
        <v>27</v>
      </c>
      <c r="Y143" s="58">
        <f t="shared" si="22"/>
        <v>36</v>
      </c>
      <c r="Z143" s="58">
        <v>63</v>
      </c>
      <c r="AA143" s="58"/>
      <c r="AB143" s="58">
        <f>111-Z143</f>
        <v>48</v>
      </c>
      <c r="AC143" s="58">
        <f t="shared" si="23"/>
        <v>55</v>
      </c>
      <c r="AD143" s="58">
        <f t="shared" si="24"/>
        <v>103</v>
      </c>
      <c r="AE143" s="58"/>
      <c r="AF143" s="58">
        <v>166</v>
      </c>
      <c r="AH143" s="58">
        <v>13</v>
      </c>
      <c r="AI143" s="58">
        <v>30</v>
      </c>
      <c r="AJ143" s="58">
        <v>43</v>
      </c>
      <c r="AK143" s="58"/>
      <c r="AL143" s="58">
        <v>27</v>
      </c>
      <c r="AM143" s="58">
        <v>20</v>
      </c>
      <c r="AN143" s="58">
        <v>47</v>
      </c>
      <c r="AO143" s="58"/>
      <c r="AP143" s="58">
        <v>90</v>
      </c>
      <c r="AR143" s="58">
        <v>8</v>
      </c>
      <c r="AS143" s="58">
        <v>20</v>
      </c>
      <c r="AT143" s="58">
        <v>28</v>
      </c>
      <c r="AU143" s="58"/>
      <c r="AV143" s="58">
        <f>40-AT143</f>
        <v>12</v>
      </c>
      <c r="AW143" s="58">
        <f t="shared" si="25"/>
        <v>23</v>
      </c>
      <c r="AX143" s="58">
        <f t="shared" si="26"/>
        <v>35</v>
      </c>
      <c r="AY143" s="58"/>
      <c r="AZ143" s="58">
        <v>63</v>
      </c>
      <c r="BA143" s="58"/>
      <c r="BB143" s="58">
        <v>23</v>
      </c>
      <c r="BC143" s="58">
        <v>19</v>
      </c>
      <c r="BD143" s="58">
        <v>42</v>
      </c>
      <c r="BE143" s="58"/>
      <c r="BF143" s="58">
        <f>51-BD143</f>
        <v>9</v>
      </c>
      <c r="BG143" s="58">
        <f>BH143-BF143</f>
        <v>3</v>
      </c>
      <c r="BH143" s="58">
        <f>BJ143-BD143</f>
        <v>12</v>
      </c>
      <c r="BI143" s="58"/>
      <c r="BJ143" s="58">
        <v>54</v>
      </c>
      <c r="BK143" s="58"/>
      <c r="BL143" s="58"/>
      <c r="BM143" s="58">
        <v>28.79</v>
      </c>
      <c r="BN143" s="58">
        <v>33.21</v>
      </c>
      <c r="BO143" s="58">
        <v>62</v>
      </c>
      <c r="BP143" s="58"/>
      <c r="BQ143" s="58">
        <v>18</v>
      </c>
      <c r="BR143" s="58">
        <v>14</v>
      </c>
      <c r="BS143" s="58">
        <v>32</v>
      </c>
      <c r="BT143" s="58"/>
      <c r="BU143" s="58">
        <v>94</v>
      </c>
    </row>
    <row r="144" spans="2:73" ht="13.5" customHeight="1">
      <c r="B144" t="s">
        <v>86</v>
      </c>
      <c r="D144" s="58">
        <v>7</v>
      </c>
      <c r="E144" s="58">
        <f t="shared" si="16"/>
        <v>17</v>
      </c>
      <c r="F144" s="58">
        <v>24</v>
      </c>
      <c r="G144" s="58"/>
      <c r="H144" s="58">
        <f>29-F144</f>
        <v>5</v>
      </c>
      <c r="I144" s="58">
        <f t="shared" si="17"/>
        <v>20</v>
      </c>
      <c r="J144" s="58">
        <f t="shared" si="18"/>
        <v>25</v>
      </c>
      <c r="K144" s="58"/>
      <c r="L144" s="58">
        <v>49</v>
      </c>
      <c r="N144" s="58">
        <v>18</v>
      </c>
      <c r="O144" s="58">
        <f t="shared" si="19"/>
        <v>9</v>
      </c>
      <c r="P144" s="58">
        <v>27</v>
      </c>
      <c r="Q144" s="58"/>
      <c r="R144" s="58">
        <f>38-P144</f>
        <v>11</v>
      </c>
      <c r="S144" s="58">
        <f t="shared" si="20"/>
        <v>12</v>
      </c>
      <c r="T144" s="58">
        <f t="shared" si="21"/>
        <v>23</v>
      </c>
      <c r="U144" s="58"/>
      <c r="V144" s="58">
        <v>50</v>
      </c>
      <c r="X144" s="58">
        <v>11</v>
      </c>
      <c r="Y144" s="58">
        <f t="shared" si="22"/>
        <v>23</v>
      </c>
      <c r="Z144" s="58">
        <v>34</v>
      </c>
      <c r="AA144" s="58"/>
      <c r="AB144" s="58">
        <f>50-Z144</f>
        <v>16</v>
      </c>
      <c r="AC144" s="58">
        <f t="shared" si="23"/>
        <v>17</v>
      </c>
      <c r="AD144" s="58">
        <f t="shared" si="24"/>
        <v>33</v>
      </c>
      <c r="AE144" s="58"/>
      <c r="AF144" s="58">
        <v>67</v>
      </c>
      <c r="AH144" s="58">
        <v>3</v>
      </c>
      <c r="AI144" s="58">
        <v>20</v>
      </c>
      <c r="AJ144" s="58">
        <v>23</v>
      </c>
      <c r="AK144" s="58"/>
      <c r="AL144" s="58">
        <v>15</v>
      </c>
      <c r="AM144" s="58">
        <v>18</v>
      </c>
      <c r="AN144" s="58">
        <v>33</v>
      </c>
      <c r="AO144" s="58"/>
      <c r="AP144" s="58">
        <v>56</v>
      </c>
      <c r="AR144" s="58">
        <v>-8</v>
      </c>
      <c r="AS144" s="58">
        <v>19</v>
      </c>
      <c r="AT144" s="58">
        <v>11</v>
      </c>
      <c r="AU144" s="58"/>
      <c r="AV144" s="58">
        <f>11-AT144</f>
        <v>0</v>
      </c>
      <c r="AW144" s="58">
        <f>AX144-AV144</f>
        <v>14</v>
      </c>
      <c r="AX144" s="58">
        <f>AZ144-AT144</f>
        <v>14</v>
      </c>
      <c r="AY144" s="58"/>
      <c r="AZ144" s="58">
        <v>25</v>
      </c>
      <c r="BA144" s="58"/>
      <c r="BB144" s="58">
        <v>4</v>
      </c>
      <c r="BC144" s="58">
        <v>32</v>
      </c>
      <c r="BD144" s="58">
        <v>36</v>
      </c>
      <c r="BE144" s="58"/>
      <c r="BF144" s="58">
        <f>40-BD144</f>
        <v>4</v>
      </c>
      <c r="BG144" s="58">
        <f>BH144-BF144</f>
        <v>17</v>
      </c>
      <c r="BH144" s="58">
        <f>BJ144-BD144</f>
        <v>21</v>
      </c>
      <c r="BI144" s="58"/>
      <c r="BJ144" s="58">
        <v>57</v>
      </c>
      <c r="BK144" s="58"/>
      <c r="BL144" s="58"/>
      <c r="BM144" s="58">
        <v>-1.53</v>
      </c>
      <c r="BN144" s="58">
        <v>25.53</v>
      </c>
      <c r="BO144" s="58">
        <v>24</v>
      </c>
      <c r="BP144" s="58"/>
      <c r="BQ144" s="58">
        <v>-3</v>
      </c>
      <c r="BR144" s="58">
        <v>19</v>
      </c>
      <c r="BS144" s="58">
        <v>16</v>
      </c>
      <c r="BT144" s="58"/>
      <c r="BU144" s="58">
        <v>40</v>
      </c>
    </row>
    <row r="145" spans="2:73" ht="13.5" customHeight="1">
      <c r="B145" t="s">
        <v>122</v>
      </c>
      <c r="D145" s="58">
        <v>8</v>
      </c>
      <c r="E145" s="58">
        <f t="shared" si="16"/>
        <v>5</v>
      </c>
      <c r="F145" s="58">
        <v>13</v>
      </c>
      <c r="G145" s="58"/>
      <c r="H145" s="58">
        <f>30-F145</f>
        <v>17</v>
      </c>
      <c r="I145" s="58">
        <f t="shared" si="17"/>
        <v>6</v>
      </c>
      <c r="J145" s="58">
        <f t="shared" si="18"/>
        <v>23</v>
      </c>
      <c r="K145" s="58"/>
      <c r="L145" s="58">
        <v>36</v>
      </c>
      <c r="N145" s="58">
        <v>9</v>
      </c>
      <c r="O145" s="58">
        <f t="shared" si="19"/>
        <v>7</v>
      </c>
      <c r="P145" s="58">
        <v>16</v>
      </c>
      <c r="Q145" s="58"/>
      <c r="R145" s="58">
        <f>28-P145</f>
        <v>12</v>
      </c>
      <c r="S145" s="58">
        <f t="shared" si="20"/>
        <v>2</v>
      </c>
      <c r="T145" s="58">
        <f t="shared" si="21"/>
        <v>14</v>
      </c>
      <c r="U145" s="58"/>
      <c r="V145" s="58">
        <v>30</v>
      </c>
      <c r="X145" s="58">
        <v>-20</v>
      </c>
      <c r="Y145" s="58">
        <f t="shared" si="22"/>
        <v>-18</v>
      </c>
      <c r="Z145" s="58">
        <v>-38</v>
      </c>
      <c r="AA145" s="58"/>
      <c r="AB145" s="58">
        <f>-37-Z145</f>
        <v>1</v>
      </c>
      <c r="AC145" s="58">
        <f t="shared" si="23"/>
        <v>6</v>
      </c>
      <c r="AD145" s="58">
        <f t="shared" si="24"/>
        <v>7</v>
      </c>
      <c r="AE145" s="58"/>
      <c r="AF145" s="58">
        <v>-31</v>
      </c>
      <c r="AH145" s="58">
        <v>-9</v>
      </c>
      <c r="AI145" s="58">
        <v>-25</v>
      </c>
      <c r="AJ145" s="58">
        <v>-34</v>
      </c>
      <c r="AK145" s="58"/>
      <c r="AL145" s="58">
        <v>-4</v>
      </c>
      <c r="AM145" s="58">
        <v>-16</v>
      </c>
      <c r="AN145" s="58">
        <v>-20</v>
      </c>
      <c r="AO145" s="58"/>
      <c r="AP145" s="58">
        <v>-54</v>
      </c>
      <c r="AR145" s="181">
        <v>3</v>
      </c>
      <c r="AS145" s="181">
        <v>-4</v>
      </c>
      <c r="AT145" s="181">
        <v>-1</v>
      </c>
      <c r="AU145" s="181"/>
      <c r="AV145" s="181">
        <v>-2</v>
      </c>
      <c r="AW145" s="181">
        <v>-7</v>
      </c>
      <c r="AX145" s="181">
        <f>AZ145-AT145</f>
        <v>-9</v>
      </c>
      <c r="AY145" s="181"/>
      <c r="AZ145" s="181">
        <v>-10</v>
      </c>
      <c r="BA145" s="58"/>
      <c r="BB145" s="170"/>
      <c r="BC145" s="170"/>
      <c r="BD145" s="170"/>
      <c r="BE145" s="58"/>
      <c r="BF145" s="170"/>
      <c r="BG145" s="170"/>
      <c r="BH145" s="170"/>
      <c r="BI145" s="58"/>
      <c r="BJ145" s="170"/>
      <c r="BK145" s="170"/>
      <c r="BL145" s="58"/>
      <c r="BM145" s="170"/>
      <c r="BN145" s="170"/>
      <c r="BO145" s="170"/>
      <c r="BP145" s="58"/>
      <c r="BQ145" s="170"/>
      <c r="BR145" s="170"/>
      <c r="BS145" s="170"/>
      <c r="BT145" s="58"/>
      <c r="BU145" s="170"/>
    </row>
    <row r="146" spans="2:73" ht="13.5" customHeight="1">
      <c r="B146" t="s">
        <v>83</v>
      </c>
      <c r="D146" s="58">
        <v>-7</v>
      </c>
      <c r="E146" s="58">
        <f t="shared" si="16"/>
        <v>-11</v>
      </c>
      <c r="F146" s="58">
        <v>-18</v>
      </c>
      <c r="G146" s="58"/>
      <c r="H146" s="58">
        <f>-18-F146</f>
        <v>0</v>
      </c>
      <c r="I146" s="58">
        <f t="shared" si="17"/>
        <v>75</v>
      </c>
      <c r="J146" s="58">
        <f t="shared" si="18"/>
        <v>75</v>
      </c>
      <c r="K146" s="58"/>
      <c r="L146" s="58">
        <v>57</v>
      </c>
      <c r="N146" s="58">
        <v>0</v>
      </c>
      <c r="O146" s="58">
        <f t="shared" si="19"/>
        <v>-21</v>
      </c>
      <c r="P146" s="58">
        <f>+P140-SUM(P141:P145)</f>
        <v>-21</v>
      </c>
      <c r="Q146" s="58"/>
      <c r="R146" s="58">
        <f>+R140-SUM(R141:R145)</f>
        <v>-14</v>
      </c>
      <c r="S146" s="58">
        <f t="shared" si="20"/>
        <v>-22</v>
      </c>
      <c r="T146" s="58">
        <f t="shared" si="21"/>
        <v>-36</v>
      </c>
      <c r="U146" s="58"/>
      <c r="V146" s="58">
        <v>-57</v>
      </c>
      <c r="X146" s="58">
        <v>2</v>
      </c>
      <c r="Y146" s="58">
        <f t="shared" si="22"/>
        <v>7</v>
      </c>
      <c r="Z146" s="58">
        <v>9</v>
      </c>
      <c r="AA146" s="58"/>
      <c r="AB146" s="58">
        <f>18-Z146</f>
        <v>9</v>
      </c>
      <c r="AC146" s="58">
        <f t="shared" si="23"/>
        <v>-3</v>
      </c>
      <c r="AD146" s="58">
        <f t="shared" si="24"/>
        <v>6</v>
      </c>
      <c r="AE146" s="58"/>
      <c r="AF146" s="58">
        <v>15</v>
      </c>
      <c r="AH146" s="58">
        <v>14</v>
      </c>
      <c r="AI146" s="58">
        <v>10</v>
      </c>
      <c r="AJ146" s="58">
        <v>24</v>
      </c>
      <c r="AK146" s="58"/>
      <c r="AL146" s="58">
        <v>9</v>
      </c>
      <c r="AM146" s="58">
        <v>-1</v>
      </c>
      <c r="AN146" s="58">
        <v>8</v>
      </c>
      <c r="AO146" s="58"/>
      <c r="AP146" s="58">
        <v>32</v>
      </c>
      <c r="AR146" s="58">
        <v>-9</v>
      </c>
      <c r="AS146" s="58">
        <v>-17</v>
      </c>
      <c r="AT146" s="58">
        <v>-27</v>
      </c>
      <c r="AU146" s="58"/>
      <c r="AV146" s="58">
        <f>-23-AT146</f>
        <v>4</v>
      </c>
      <c r="AW146" s="58">
        <f t="shared" si="25"/>
        <v>8</v>
      </c>
      <c r="AX146" s="58">
        <f t="shared" si="26"/>
        <v>12</v>
      </c>
      <c r="AY146" s="58"/>
      <c r="AZ146" s="58">
        <v>-15</v>
      </c>
      <c r="BA146" s="58"/>
      <c r="BB146" s="58">
        <v>13</v>
      </c>
      <c r="BC146" s="58">
        <v>3</v>
      </c>
      <c r="BD146" s="58">
        <v>16</v>
      </c>
      <c r="BE146" s="58"/>
      <c r="BF146" s="58">
        <f>-12-BD146</f>
        <v>-28</v>
      </c>
      <c r="BG146" s="58">
        <f t="shared" si="27"/>
        <v>-20</v>
      </c>
      <c r="BH146" s="58">
        <f t="shared" si="28"/>
        <v>-48</v>
      </c>
      <c r="BI146" s="58"/>
      <c r="BJ146" s="58">
        <v>-32</v>
      </c>
      <c r="BK146" s="58"/>
      <c r="BL146" s="58"/>
      <c r="BM146" s="58">
        <v>7.93</v>
      </c>
      <c r="BN146" s="58">
        <v>-10.93</v>
      </c>
      <c r="BO146" s="58">
        <v>-3</v>
      </c>
      <c r="BP146" s="58"/>
      <c r="BQ146" s="58">
        <v>-2</v>
      </c>
      <c r="BR146" s="58">
        <v>9</v>
      </c>
      <c r="BS146" s="58">
        <v>7</v>
      </c>
      <c r="BT146" s="58"/>
      <c r="BU146" s="58">
        <v>4</v>
      </c>
    </row>
    <row r="147" spans="2:73" ht="13.5" customHeight="1">
      <c r="B147" s="66" t="s">
        <v>115</v>
      </c>
      <c r="C147" s="34"/>
      <c r="D147" s="63">
        <v>98</v>
      </c>
      <c r="E147" s="63">
        <f t="shared" si="16"/>
        <v>105</v>
      </c>
      <c r="F147" s="63">
        <v>203</v>
      </c>
      <c r="G147" s="63"/>
      <c r="H147" s="63">
        <f>319-F147</f>
        <v>116</v>
      </c>
      <c r="I147" s="161">
        <f t="shared" si="17"/>
        <v>156</v>
      </c>
      <c r="J147" s="161">
        <f t="shared" si="18"/>
        <v>272</v>
      </c>
      <c r="K147" s="161"/>
      <c r="L147" s="161">
        <v>475</v>
      </c>
      <c r="M147" s="34"/>
      <c r="N147" s="63">
        <v>88</v>
      </c>
      <c r="O147" s="63">
        <f t="shared" si="19"/>
        <v>80</v>
      </c>
      <c r="P147" s="63">
        <v>168</v>
      </c>
      <c r="Q147" s="63"/>
      <c r="R147" s="63">
        <f>+R133-R135-R139-R140</f>
        <v>154</v>
      </c>
      <c r="S147" s="161">
        <f t="shared" si="20"/>
        <v>148</v>
      </c>
      <c r="T147" s="161">
        <f t="shared" si="21"/>
        <v>302</v>
      </c>
      <c r="U147" s="161"/>
      <c r="V147" s="161">
        <v>470</v>
      </c>
      <c r="W147" s="34"/>
      <c r="X147" s="63">
        <v>95</v>
      </c>
      <c r="Y147" s="63">
        <f t="shared" si="22"/>
        <v>92</v>
      </c>
      <c r="Z147" s="63">
        <v>187</v>
      </c>
      <c r="AA147" s="63"/>
      <c r="AB147" s="63">
        <f>299-Z147</f>
        <v>112</v>
      </c>
      <c r="AC147" s="161">
        <f t="shared" si="23"/>
        <v>131</v>
      </c>
      <c r="AD147" s="161">
        <f t="shared" si="24"/>
        <v>243</v>
      </c>
      <c r="AE147" s="161"/>
      <c r="AF147" s="161">
        <v>430</v>
      </c>
      <c r="AG147" s="34"/>
      <c r="AH147" s="63">
        <v>53</v>
      </c>
      <c r="AI147" s="63">
        <v>67</v>
      </c>
      <c r="AJ147" s="63">
        <v>120</v>
      </c>
      <c r="AK147" s="63"/>
      <c r="AL147" s="63">
        <v>139</v>
      </c>
      <c r="AM147" s="161">
        <v>153</v>
      </c>
      <c r="AN147" s="161">
        <v>292</v>
      </c>
      <c r="AO147" s="161"/>
      <c r="AP147" s="161">
        <v>412</v>
      </c>
      <c r="AQ147" s="34"/>
      <c r="AR147" s="63">
        <v>39</v>
      </c>
      <c r="AS147" s="63">
        <v>55</v>
      </c>
      <c r="AT147" s="63">
        <v>94</v>
      </c>
      <c r="AU147" s="63"/>
      <c r="AV147" s="63">
        <v>106</v>
      </c>
      <c r="AW147" s="161">
        <v>91</v>
      </c>
      <c r="AX147" s="161">
        <f>AZ147-AT147</f>
        <v>197</v>
      </c>
      <c r="AY147" s="161"/>
      <c r="AZ147" s="161">
        <v>291</v>
      </c>
      <c r="BA147" s="63"/>
      <c r="BB147" s="63">
        <v>24</v>
      </c>
      <c r="BC147" s="63">
        <v>31</v>
      </c>
      <c r="BD147" s="63">
        <v>55</v>
      </c>
      <c r="BE147" s="63"/>
      <c r="BF147" s="63">
        <f>132-BD147</f>
        <v>77</v>
      </c>
      <c r="BG147" s="126">
        <f t="shared" si="27"/>
        <v>46</v>
      </c>
      <c r="BH147" s="126">
        <f t="shared" si="28"/>
        <v>123</v>
      </c>
      <c r="BI147" s="63"/>
      <c r="BJ147" s="63">
        <v>178</v>
      </c>
      <c r="BK147" s="58"/>
      <c r="BL147" s="58"/>
      <c r="BM147" s="63">
        <v>81.83</v>
      </c>
      <c r="BN147" s="63">
        <v>15.17</v>
      </c>
      <c r="BO147" s="63">
        <v>97</v>
      </c>
      <c r="BP147" s="63"/>
      <c r="BQ147" s="63">
        <v>61</v>
      </c>
      <c r="BR147" s="63">
        <v>140</v>
      </c>
      <c r="BS147" s="63">
        <v>201</v>
      </c>
      <c r="BT147" s="63"/>
      <c r="BU147" s="63">
        <v>298</v>
      </c>
    </row>
    <row r="148" spans="2:73" ht="6.75" customHeight="1">
      <c r="D148" s="58"/>
      <c r="E148" s="58"/>
      <c r="F148" s="58"/>
      <c r="G148" s="58"/>
      <c r="H148" s="58"/>
      <c r="I148" s="58"/>
      <c r="J148" s="58"/>
      <c r="K148" s="58"/>
      <c r="L148" s="58"/>
      <c r="N148" s="58"/>
      <c r="O148" s="58"/>
      <c r="P148" s="58"/>
      <c r="Q148" s="58"/>
      <c r="R148" s="58"/>
      <c r="S148" s="58"/>
      <c r="T148" s="58"/>
      <c r="U148" s="58"/>
      <c r="V148" s="58"/>
      <c r="X148" s="58"/>
      <c r="Y148" s="58"/>
      <c r="Z148" s="58"/>
      <c r="AA148" s="58"/>
      <c r="AB148" s="58"/>
      <c r="AC148" s="58"/>
      <c r="AD148" s="58"/>
      <c r="AE148" s="58"/>
      <c r="AF148" s="58"/>
      <c r="AH148" s="58"/>
      <c r="AI148" s="58"/>
      <c r="AJ148" s="58"/>
      <c r="AK148" s="58"/>
      <c r="AL148" s="58"/>
      <c r="AM148" s="58"/>
      <c r="AN148" s="58"/>
      <c r="AO148" s="58"/>
      <c r="AP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row>
    <row r="149" spans="2:73">
      <c r="B149" s="31" t="s">
        <v>131</v>
      </c>
      <c r="D149" s="58"/>
      <c r="E149" s="58"/>
      <c r="F149" s="58"/>
      <c r="G149" s="58"/>
      <c r="H149" s="58"/>
      <c r="I149" s="58"/>
      <c r="J149" s="58"/>
      <c r="K149" s="58"/>
      <c r="L149" s="58"/>
      <c r="N149" s="58"/>
      <c r="O149" s="58"/>
      <c r="P149" s="58"/>
      <c r="Q149" s="58"/>
      <c r="R149" s="58"/>
      <c r="S149" s="58"/>
      <c r="T149" s="58"/>
      <c r="U149" s="58"/>
      <c r="V149" s="58"/>
      <c r="X149" s="58"/>
      <c r="Y149" s="58"/>
      <c r="Z149" s="58"/>
      <c r="AA149" s="58"/>
      <c r="AB149" s="58"/>
      <c r="AC149" s="58"/>
      <c r="AD149" s="58"/>
      <c r="AE149" s="58"/>
      <c r="AF149" s="58"/>
      <c r="AH149" s="58"/>
      <c r="AI149" s="58"/>
      <c r="AJ149" s="58"/>
      <c r="AK149" s="58"/>
      <c r="AL149" s="58"/>
      <c r="AM149" s="58"/>
      <c r="AN149" s="58"/>
      <c r="AO149" s="58"/>
      <c r="AP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row>
    <row r="150" spans="2:73">
      <c r="D150" s="58"/>
      <c r="E150" s="58"/>
      <c r="F150" s="58"/>
      <c r="G150" s="58"/>
      <c r="H150" s="58"/>
      <c r="I150" s="58"/>
      <c r="J150" s="58"/>
      <c r="K150" s="58"/>
      <c r="L150" s="58"/>
      <c r="N150" s="58"/>
      <c r="O150" s="58"/>
      <c r="P150" s="58"/>
      <c r="Q150" s="58"/>
      <c r="R150" s="58"/>
      <c r="S150" s="58"/>
      <c r="T150" s="58"/>
      <c r="U150" s="58"/>
      <c r="V150" s="58"/>
      <c r="X150" s="58"/>
      <c r="Y150" s="58"/>
      <c r="Z150" s="58"/>
      <c r="AA150" s="58"/>
      <c r="AB150" s="58"/>
      <c r="AC150" s="58"/>
      <c r="AD150" s="58"/>
      <c r="AE150" s="58"/>
      <c r="AF150" s="58"/>
      <c r="AH150" s="58"/>
      <c r="AI150" s="58"/>
      <c r="AJ150" s="58"/>
      <c r="AK150" s="58"/>
      <c r="AL150" s="58"/>
      <c r="AM150" s="58"/>
      <c r="AN150" s="58"/>
      <c r="AO150" s="58"/>
      <c r="AP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row>
    <row r="151" spans="2:73">
      <c r="B151" s="56" t="s">
        <v>89</v>
      </c>
    </row>
    <row r="152" spans="2:73">
      <c r="B152" t="s">
        <v>1</v>
      </c>
      <c r="D152" s="132" t="str">
        <f>D5</f>
        <v>2016年度　（2016年4月-2017年3月）</v>
      </c>
      <c r="E152" s="132"/>
      <c r="F152" s="132"/>
      <c r="G152" s="132"/>
      <c r="H152" s="132"/>
      <c r="I152" s="132"/>
      <c r="J152" s="132"/>
      <c r="K152" s="132"/>
      <c r="L152" s="132"/>
      <c r="N152" s="132" t="str">
        <f>N5</f>
        <v>2015年度　（2015年4月-2016年3月）</v>
      </c>
      <c r="O152" s="132"/>
      <c r="P152" s="132"/>
      <c r="Q152" s="132"/>
      <c r="R152" s="132"/>
      <c r="S152" s="132"/>
      <c r="T152" s="132"/>
      <c r="U152" s="132"/>
      <c r="V152" s="132"/>
      <c r="X152" s="173" t="str">
        <f>X5</f>
        <v>2014年度　（2014年4月-2015年3月）</v>
      </c>
      <c r="Y152" s="173"/>
      <c r="Z152" s="173"/>
      <c r="AA152" s="173"/>
      <c r="AB152" s="173"/>
      <c r="AC152" s="173"/>
      <c r="AD152" s="173"/>
      <c r="AE152" s="173"/>
      <c r="AF152" s="173"/>
      <c r="AH152" s="173" t="str">
        <f>AH5</f>
        <v>2013年度　（2013年4月-2014年3月）</v>
      </c>
      <c r="AI152" s="173"/>
      <c r="AJ152" s="173"/>
      <c r="AK152" s="173"/>
      <c r="AL152" s="173"/>
      <c r="AM152" s="173"/>
      <c r="AN152" s="173"/>
      <c r="AO152" s="173"/>
      <c r="AP152" s="173"/>
      <c r="AR152" s="173" t="s">
        <v>106</v>
      </c>
      <c r="AS152" s="173"/>
      <c r="AT152" s="173"/>
      <c r="AU152" s="173"/>
      <c r="AV152" s="173"/>
      <c r="AW152" s="173"/>
      <c r="AX152" s="173"/>
      <c r="AY152" s="173"/>
      <c r="AZ152" s="173"/>
      <c r="BB152" s="129" t="s">
        <v>101</v>
      </c>
      <c r="BC152" s="129"/>
      <c r="BD152" s="129"/>
      <c r="BE152" s="129"/>
      <c r="BF152" s="129"/>
      <c r="BG152" s="129"/>
      <c r="BH152" s="129"/>
      <c r="BI152" s="129"/>
      <c r="BJ152" s="129"/>
      <c r="BM152" s="105" t="s">
        <v>100</v>
      </c>
      <c r="BN152" s="105"/>
      <c r="BO152" s="105"/>
      <c r="BP152" s="105"/>
      <c r="BQ152" s="105"/>
      <c r="BR152" s="105"/>
      <c r="BS152" s="105"/>
      <c r="BT152" s="105"/>
      <c r="BU152" s="105"/>
    </row>
    <row r="153" spans="2:73" ht="3.75" customHeight="1">
      <c r="D153" s="5"/>
      <c r="E153" s="5"/>
      <c r="F153" s="5"/>
      <c r="G153" s="5"/>
      <c r="H153" s="5"/>
      <c r="I153" s="5"/>
      <c r="J153" s="5"/>
      <c r="K153" s="5"/>
      <c r="L153" s="132"/>
      <c r="N153" s="5"/>
      <c r="O153" s="5"/>
      <c r="P153" s="5"/>
      <c r="Q153" s="5"/>
      <c r="R153" s="5"/>
      <c r="S153" s="5"/>
      <c r="T153" s="5"/>
      <c r="U153" s="5"/>
      <c r="V153" s="132"/>
      <c r="X153" s="5"/>
      <c r="Y153" s="5"/>
      <c r="Z153" s="5"/>
      <c r="AA153" s="5"/>
      <c r="AB153" s="5"/>
      <c r="AC153" s="5"/>
      <c r="AD153" s="5"/>
      <c r="AE153" s="5"/>
      <c r="AF153" s="173"/>
      <c r="AH153" s="5"/>
      <c r="AI153" s="5"/>
      <c r="AJ153" s="5"/>
      <c r="AK153" s="5"/>
      <c r="AL153" s="5"/>
      <c r="AM153" s="5"/>
      <c r="AN153" s="5"/>
      <c r="AO153" s="5"/>
      <c r="AP153" s="173"/>
      <c r="AR153" s="5"/>
      <c r="AS153" s="5"/>
      <c r="AT153" s="5"/>
      <c r="AU153" s="5"/>
      <c r="AV153" s="5"/>
      <c r="AW153" s="5"/>
      <c r="AX153" s="5"/>
      <c r="AY153" s="5"/>
      <c r="AZ153" s="173"/>
      <c r="BB153" s="129"/>
      <c r="BC153" s="129"/>
      <c r="BD153" s="129"/>
      <c r="BE153" s="129"/>
      <c r="BF153" s="129"/>
      <c r="BG153" s="129"/>
      <c r="BH153" s="129"/>
      <c r="BI153" s="129"/>
      <c r="BJ153" s="129"/>
      <c r="BM153" s="5"/>
      <c r="BN153" s="5"/>
      <c r="BO153" s="5"/>
      <c r="BP153" s="5"/>
      <c r="BQ153" s="5"/>
      <c r="BR153" s="5"/>
      <c r="BS153" s="5"/>
      <c r="BT153" s="5"/>
      <c r="BU153" s="105"/>
    </row>
    <row r="154" spans="2:73">
      <c r="D154" s="6"/>
      <c r="E154" s="6"/>
      <c r="F154" s="7" t="s">
        <v>28</v>
      </c>
      <c r="H154" s="7"/>
      <c r="I154" s="7"/>
      <c r="J154" s="7" t="s">
        <v>29</v>
      </c>
      <c r="L154" s="133" t="s">
        <v>30</v>
      </c>
      <c r="N154" s="6"/>
      <c r="O154" s="6"/>
      <c r="P154" s="7" t="s">
        <v>28</v>
      </c>
      <c r="R154" s="7"/>
      <c r="S154" s="7"/>
      <c r="T154" s="7" t="s">
        <v>29</v>
      </c>
      <c r="V154" s="133" t="s">
        <v>30</v>
      </c>
      <c r="X154" s="6"/>
      <c r="Y154" s="6"/>
      <c r="Z154" s="7" t="s">
        <v>28</v>
      </c>
      <c r="AB154" s="7"/>
      <c r="AC154" s="7"/>
      <c r="AD154" s="7" t="s">
        <v>29</v>
      </c>
      <c r="AF154" s="174" t="s">
        <v>30</v>
      </c>
      <c r="AH154" s="6"/>
      <c r="AI154" s="6"/>
      <c r="AJ154" s="7" t="s">
        <v>28</v>
      </c>
      <c r="AL154" s="7"/>
      <c r="AM154" s="7"/>
      <c r="AN154" s="7" t="s">
        <v>29</v>
      </c>
      <c r="AP154" s="174" t="s">
        <v>30</v>
      </c>
      <c r="AR154" s="6"/>
      <c r="AS154" s="6"/>
      <c r="AT154" s="7" t="s">
        <v>28</v>
      </c>
      <c r="AV154" s="7"/>
      <c r="AW154" s="7"/>
      <c r="AX154" s="7" t="s">
        <v>29</v>
      </c>
      <c r="AZ154" s="174" t="s">
        <v>30</v>
      </c>
      <c r="BB154" s="6"/>
      <c r="BC154" s="6"/>
      <c r="BD154" s="7" t="s">
        <v>28</v>
      </c>
      <c r="BF154" s="7"/>
      <c r="BG154" s="7"/>
      <c r="BH154" s="7" t="s">
        <v>29</v>
      </c>
      <c r="BJ154" s="130" t="s">
        <v>30</v>
      </c>
      <c r="BM154" s="6"/>
      <c r="BN154" s="6"/>
      <c r="BO154" s="7" t="s">
        <v>28</v>
      </c>
      <c r="BQ154" s="7"/>
      <c r="BR154" s="7"/>
      <c r="BS154" s="7" t="s">
        <v>29</v>
      </c>
      <c r="BU154" s="106" t="s">
        <v>30</v>
      </c>
    </row>
    <row r="155" spans="2:73" s="9" customFormat="1" ht="10.8">
      <c r="D155" s="9" t="s">
        <v>31</v>
      </c>
      <c r="E155" s="9" t="s">
        <v>32</v>
      </c>
      <c r="F155" s="10" t="s">
        <v>33</v>
      </c>
      <c r="H155" s="9" t="s">
        <v>7</v>
      </c>
      <c r="I155" s="9" t="s">
        <v>8</v>
      </c>
      <c r="J155" s="10"/>
      <c r="L155" s="134"/>
      <c r="N155" s="9" t="s">
        <v>31</v>
      </c>
      <c r="O155" s="9" t="s">
        <v>32</v>
      </c>
      <c r="P155" s="10" t="s">
        <v>33</v>
      </c>
      <c r="R155" s="9" t="s">
        <v>7</v>
      </c>
      <c r="S155" s="9" t="s">
        <v>8</v>
      </c>
      <c r="T155" s="10"/>
      <c r="V155" s="134"/>
      <c r="X155" s="9" t="s">
        <v>31</v>
      </c>
      <c r="Y155" s="9" t="s">
        <v>32</v>
      </c>
      <c r="Z155" s="10" t="s">
        <v>33</v>
      </c>
      <c r="AB155" s="9" t="s">
        <v>7</v>
      </c>
      <c r="AC155" s="9" t="s">
        <v>8</v>
      </c>
      <c r="AD155" s="10"/>
      <c r="AF155" s="175"/>
      <c r="AH155" s="9" t="s">
        <v>31</v>
      </c>
      <c r="AI155" s="9" t="s">
        <v>32</v>
      </c>
      <c r="AJ155" s="10" t="s">
        <v>33</v>
      </c>
      <c r="AL155" s="9" t="s">
        <v>7</v>
      </c>
      <c r="AM155" s="9" t="s">
        <v>8</v>
      </c>
      <c r="AN155" s="10"/>
      <c r="AP155" s="175"/>
      <c r="AR155" s="9" t="s">
        <v>31</v>
      </c>
      <c r="AS155" s="9" t="s">
        <v>32</v>
      </c>
      <c r="AT155" s="10" t="s">
        <v>33</v>
      </c>
      <c r="AV155" s="9" t="s">
        <v>7</v>
      </c>
      <c r="AW155" s="9" t="s">
        <v>8</v>
      </c>
      <c r="AX155" s="10"/>
      <c r="AZ155" s="175"/>
      <c r="BB155" s="9" t="s">
        <v>31</v>
      </c>
      <c r="BC155" s="9" t="s">
        <v>32</v>
      </c>
      <c r="BD155" s="10" t="s">
        <v>33</v>
      </c>
      <c r="BF155" s="9" t="s">
        <v>7</v>
      </c>
      <c r="BG155" s="9" t="s">
        <v>8</v>
      </c>
      <c r="BH155" s="10"/>
      <c r="BJ155" s="131"/>
      <c r="BM155" s="9" t="s">
        <v>31</v>
      </c>
      <c r="BN155" s="9" t="s">
        <v>32</v>
      </c>
      <c r="BO155" s="10" t="s">
        <v>33</v>
      </c>
      <c r="BQ155" s="9" t="s">
        <v>7</v>
      </c>
      <c r="BR155" s="9" t="s">
        <v>8</v>
      </c>
      <c r="BS155" s="10"/>
      <c r="BU155" s="107"/>
    </row>
    <row r="156" spans="2:73" s="9" customFormat="1" ht="10.8">
      <c r="F156" s="10"/>
      <c r="J156" s="10"/>
      <c r="L156" s="134"/>
      <c r="P156" s="10"/>
      <c r="T156" s="10"/>
      <c r="V156" s="134"/>
      <c r="Z156" s="10"/>
      <c r="AD156" s="10"/>
      <c r="AF156" s="175"/>
      <c r="AJ156" s="10"/>
      <c r="AN156" s="10"/>
      <c r="AP156" s="175"/>
      <c r="AT156" s="10"/>
      <c r="AX156" s="10"/>
      <c r="AZ156" s="175"/>
      <c r="BD156" s="10"/>
      <c r="BH156" s="10"/>
      <c r="BJ156" s="131"/>
      <c r="BO156" s="10"/>
      <c r="BS156" s="10"/>
      <c r="BU156" s="107"/>
    </row>
    <row r="157" spans="2:73" ht="5.0999999999999996" customHeight="1"/>
    <row r="158" spans="2:73" ht="13.5" customHeight="1">
      <c r="B158" s="67" t="s">
        <v>90</v>
      </c>
      <c r="C158" s="34"/>
      <c r="D158" s="34"/>
      <c r="E158" s="34"/>
      <c r="F158" s="34"/>
      <c r="G158" s="34"/>
      <c r="H158" s="34"/>
      <c r="M158" s="34"/>
      <c r="N158" s="34"/>
      <c r="O158" s="34"/>
      <c r="P158" s="34"/>
      <c r="Q158" s="34"/>
      <c r="R158" s="34"/>
      <c r="W158" s="34"/>
      <c r="X158" s="34"/>
      <c r="Y158" s="34"/>
      <c r="Z158" s="34"/>
      <c r="AA158" s="34"/>
      <c r="AB158" s="34"/>
      <c r="AG158" s="34"/>
      <c r="AH158" s="34"/>
      <c r="AI158" s="34"/>
      <c r="AJ158" s="34"/>
      <c r="AK158" s="34"/>
      <c r="AL158" s="34"/>
      <c r="AQ158" s="34"/>
      <c r="AR158" s="34"/>
      <c r="AS158" s="34"/>
      <c r="AT158" s="34"/>
      <c r="AU158" s="34"/>
      <c r="AV158" s="34"/>
      <c r="BA158" s="34"/>
      <c r="BB158" s="34"/>
      <c r="BC158" s="34"/>
      <c r="BD158" s="34"/>
      <c r="BE158" s="34"/>
      <c r="BF158" s="34"/>
      <c r="BG158" s="34"/>
      <c r="BH158" s="34"/>
      <c r="BI158" s="34"/>
      <c r="BJ158" s="34"/>
      <c r="BM158" s="34"/>
      <c r="BN158" s="34"/>
      <c r="BO158" s="34"/>
      <c r="BP158" s="34"/>
      <c r="BQ158" s="34"/>
      <c r="BR158" s="34"/>
      <c r="BS158" s="34"/>
      <c r="BT158" s="34"/>
      <c r="BU158" s="34"/>
    </row>
    <row r="159" spans="2:73" ht="13.5" customHeight="1">
      <c r="B159" s="68" t="s">
        <v>91</v>
      </c>
      <c r="D159" s="54">
        <v>108</v>
      </c>
      <c r="E159" s="16">
        <f>+F159*2-D159</f>
        <v>102</v>
      </c>
      <c r="F159" s="16">
        <v>105</v>
      </c>
      <c r="G159" s="16"/>
      <c r="H159" s="16">
        <v>107</v>
      </c>
      <c r="I159" s="203">
        <v>115</v>
      </c>
      <c r="J159" s="203">
        <v>111</v>
      </c>
      <c r="K159" s="203"/>
      <c r="L159" s="203">
        <v>108</v>
      </c>
      <c r="N159" s="54">
        <v>121</v>
      </c>
      <c r="O159" s="16">
        <f>+P159*2-N159</f>
        <v>123</v>
      </c>
      <c r="P159" s="16">
        <v>122</v>
      </c>
      <c r="Q159" s="16"/>
      <c r="R159" s="16">
        <f>+(122*9-122*6)/3</f>
        <v>122</v>
      </c>
      <c r="S159" s="203">
        <v>115.5</v>
      </c>
      <c r="T159" s="203">
        <v>119</v>
      </c>
      <c r="U159" s="203"/>
      <c r="V159" s="203">
        <v>120</v>
      </c>
      <c r="X159" s="54">
        <v>102</v>
      </c>
      <c r="Y159" s="16">
        <v>104</v>
      </c>
      <c r="Z159" s="16">
        <v>103</v>
      </c>
      <c r="AA159" s="16"/>
      <c r="AB159" s="16">
        <v>115</v>
      </c>
      <c r="AC159" s="166">
        <v>119</v>
      </c>
      <c r="AD159" s="166">
        <v>117</v>
      </c>
      <c r="AE159" s="166"/>
      <c r="AF159" s="166">
        <v>110</v>
      </c>
      <c r="AH159" s="54">
        <v>99</v>
      </c>
      <c r="AI159" s="16">
        <v>99</v>
      </c>
      <c r="AJ159" s="16">
        <v>99</v>
      </c>
      <c r="AK159" s="16"/>
      <c r="AL159" s="16">
        <v>100</v>
      </c>
      <c r="AM159" s="166">
        <v>103</v>
      </c>
      <c r="AN159" s="166">
        <v>102</v>
      </c>
      <c r="AO159" s="166"/>
      <c r="AP159" s="166">
        <v>100</v>
      </c>
      <c r="AR159" s="54">
        <v>80</v>
      </c>
      <c r="AS159" s="16">
        <v>79</v>
      </c>
      <c r="AT159" s="16">
        <v>79</v>
      </c>
      <c r="AU159" s="16"/>
      <c r="AV159" s="16">
        <v>81.2</v>
      </c>
      <c r="AW159" s="166">
        <v>92</v>
      </c>
      <c r="AX159" s="166">
        <v>87</v>
      </c>
      <c r="AY159" s="166"/>
      <c r="AZ159" s="166">
        <v>83</v>
      </c>
      <c r="BA159" s="54"/>
      <c r="BB159" s="54">
        <v>82</v>
      </c>
      <c r="BC159" s="16">
        <v>78</v>
      </c>
      <c r="BD159" s="16">
        <v>79.8</v>
      </c>
      <c r="BE159" s="16"/>
      <c r="BF159" s="16">
        <v>77</v>
      </c>
      <c r="BG159" s="16">
        <v>80</v>
      </c>
      <c r="BH159" s="16">
        <v>79</v>
      </c>
      <c r="BI159" s="16"/>
      <c r="BJ159" s="16">
        <v>79</v>
      </c>
      <c r="BM159" s="54">
        <v>92.006666666666661</v>
      </c>
      <c r="BN159" s="54">
        <v>85.993333333333339</v>
      </c>
      <c r="BO159" s="54">
        <v>89</v>
      </c>
      <c r="BP159" s="54"/>
      <c r="BQ159" s="54">
        <v>83</v>
      </c>
      <c r="BR159" s="54">
        <v>82</v>
      </c>
      <c r="BS159" s="54">
        <v>82</v>
      </c>
      <c r="BT159" s="54"/>
      <c r="BU159" s="54">
        <v>86</v>
      </c>
    </row>
    <row r="160" spans="2:73" ht="13.5" customHeight="1">
      <c r="B160" s="69" t="s">
        <v>113</v>
      </c>
      <c r="C160" s="34"/>
      <c r="D160" s="70"/>
      <c r="E160" s="109"/>
      <c r="F160" s="109"/>
      <c r="G160" s="109"/>
      <c r="H160" s="109"/>
      <c r="I160" s="204"/>
      <c r="J160" s="204"/>
      <c r="K160" s="204"/>
      <c r="L160" s="204"/>
      <c r="M160" s="34"/>
      <c r="N160" s="70"/>
      <c r="O160" s="109"/>
      <c r="P160" s="109"/>
      <c r="Q160" s="109"/>
      <c r="R160" s="109"/>
      <c r="S160" s="204"/>
      <c r="T160" s="204"/>
      <c r="U160" s="204"/>
      <c r="V160" s="204"/>
      <c r="W160" s="34"/>
      <c r="X160" s="70"/>
      <c r="Y160" s="109"/>
      <c r="Z160" s="109"/>
      <c r="AA160" s="109"/>
      <c r="AB160" s="109"/>
      <c r="AC160" s="109"/>
      <c r="AD160" s="109"/>
      <c r="AE160" s="109"/>
      <c r="AF160" s="109"/>
      <c r="AG160" s="34"/>
      <c r="AH160" s="70"/>
      <c r="AI160" s="109"/>
      <c r="AJ160" s="109"/>
      <c r="AK160" s="109"/>
      <c r="AL160" s="109"/>
      <c r="AM160" s="109"/>
      <c r="AN160" s="109"/>
      <c r="AO160" s="109"/>
      <c r="AP160" s="109"/>
      <c r="AQ160" s="34"/>
      <c r="AR160" s="70"/>
      <c r="AS160" s="109"/>
      <c r="AT160" s="109"/>
      <c r="AU160" s="109"/>
      <c r="AV160" s="109"/>
      <c r="AW160" s="109"/>
      <c r="AX160" s="109"/>
      <c r="AY160" s="109"/>
      <c r="AZ160" s="109"/>
      <c r="BA160" s="70"/>
      <c r="BB160" s="70"/>
      <c r="BC160" s="109"/>
      <c r="BD160" s="109"/>
      <c r="BE160" s="109"/>
      <c r="BF160" s="109"/>
      <c r="BG160" s="109"/>
      <c r="BH160" s="109"/>
      <c r="BI160" s="109"/>
      <c r="BJ160" s="109"/>
      <c r="BM160" s="70"/>
      <c r="BN160" s="70"/>
      <c r="BO160" s="70"/>
      <c r="BP160" s="70"/>
      <c r="BQ160" s="70"/>
      <c r="BR160" s="70"/>
      <c r="BS160" s="70"/>
      <c r="BT160" s="70"/>
      <c r="BU160" s="70"/>
    </row>
    <row r="161" spans="1:73" ht="13.5" customHeight="1">
      <c r="A161" s="21"/>
      <c r="B161" s="31" t="s">
        <v>133</v>
      </c>
      <c r="D161" s="54">
        <v>40</v>
      </c>
      <c r="E161" s="32">
        <f>+F161*2-D161</f>
        <v>44</v>
      </c>
      <c r="F161" s="16">
        <v>42</v>
      </c>
      <c r="G161" s="16"/>
      <c r="H161" s="186">
        <v>43</v>
      </c>
      <c r="I161" s="201">
        <v>57</v>
      </c>
      <c r="J161" s="201">
        <v>50</v>
      </c>
      <c r="K161" s="201"/>
      <c r="L161" s="201">
        <v>46</v>
      </c>
      <c r="N161" s="54">
        <v>59</v>
      </c>
      <c r="O161" s="32">
        <f>+P161*2-N161</f>
        <v>55</v>
      </c>
      <c r="P161" s="16">
        <v>57</v>
      </c>
      <c r="Q161" s="16"/>
      <c r="R161" s="186">
        <v>44</v>
      </c>
      <c r="S161" s="201">
        <v>32</v>
      </c>
      <c r="T161" s="201">
        <v>38</v>
      </c>
      <c r="U161" s="201"/>
      <c r="V161" s="201">
        <v>47</v>
      </c>
      <c r="X161" s="54">
        <v>105</v>
      </c>
      <c r="Y161" s="32">
        <v>105</v>
      </c>
      <c r="Z161" s="16">
        <v>105</v>
      </c>
      <c r="AA161" s="16"/>
      <c r="AB161" s="16">
        <v>86</v>
      </c>
      <c r="AC161" s="112">
        <v>54</v>
      </c>
      <c r="AD161" s="112">
        <v>70</v>
      </c>
      <c r="AE161" s="112"/>
      <c r="AF161" s="112">
        <v>88</v>
      </c>
      <c r="AH161" s="54">
        <v>103</v>
      </c>
      <c r="AI161" s="16">
        <v>104</v>
      </c>
      <c r="AJ161" s="16">
        <v>103</v>
      </c>
      <c r="AK161" s="16"/>
      <c r="AL161" s="16">
        <v>107</v>
      </c>
      <c r="AM161" s="112">
        <v>106</v>
      </c>
      <c r="AN161" s="112">
        <v>106</v>
      </c>
      <c r="AO161" s="112"/>
      <c r="AP161" s="112">
        <v>105</v>
      </c>
      <c r="AR161" s="54">
        <v>116</v>
      </c>
      <c r="AS161" s="16">
        <v>101</v>
      </c>
      <c r="AT161" s="16">
        <v>108</v>
      </c>
      <c r="AU161" s="16"/>
      <c r="AV161" s="16">
        <v>109</v>
      </c>
      <c r="AW161" s="112">
        <v>108</v>
      </c>
      <c r="AX161" s="112">
        <v>109</v>
      </c>
      <c r="AY161" s="112"/>
      <c r="AZ161" s="112">
        <v>109</v>
      </c>
      <c r="BA161" s="54"/>
      <c r="BB161" s="54">
        <v>111</v>
      </c>
      <c r="BC161" s="16">
        <v>107</v>
      </c>
      <c r="BD161" s="16">
        <v>108.9</v>
      </c>
      <c r="BE161" s="16"/>
      <c r="BF161" s="16">
        <v>106</v>
      </c>
      <c r="BG161" s="16">
        <v>111</v>
      </c>
      <c r="BH161" s="16">
        <v>109</v>
      </c>
      <c r="BI161" s="16"/>
      <c r="BJ161" s="16">
        <v>109</v>
      </c>
      <c r="BM161" s="54">
        <v>78.5</v>
      </c>
      <c r="BN161" s="54">
        <v>73.5</v>
      </c>
      <c r="BO161" s="54">
        <v>76</v>
      </c>
      <c r="BP161" s="54"/>
      <c r="BQ161" s="54">
        <v>80</v>
      </c>
      <c r="BR161" s="54">
        <v>94</v>
      </c>
      <c r="BS161" s="54">
        <v>87</v>
      </c>
      <c r="BT161" s="54"/>
      <c r="BU161" s="54">
        <v>82</v>
      </c>
    </row>
    <row r="162" spans="1:73" ht="13.5" customHeight="1">
      <c r="B162" s="62" t="s">
        <v>114</v>
      </c>
      <c r="C162" s="34"/>
      <c r="D162" s="70"/>
      <c r="E162" s="109"/>
      <c r="F162" s="109"/>
      <c r="G162" s="109"/>
      <c r="H162" s="109"/>
      <c r="I162" s="204"/>
      <c r="J162" s="204"/>
      <c r="K162" s="204"/>
      <c r="L162" s="204"/>
      <c r="M162" s="34"/>
      <c r="N162" s="70"/>
      <c r="O162" s="109"/>
      <c r="P162" s="109"/>
      <c r="Q162" s="109"/>
      <c r="R162" s="109"/>
      <c r="S162" s="204"/>
      <c r="T162" s="204"/>
      <c r="U162" s="204"/>
      <c r="V162" s="204"/>
      <c r="W162" s="34"/>
      <c r="X162" s="70"/>
      <c r="Y162" s="109"/>
      <c r="Z162" s="109"/>
      <c r="AA162" s="109"/>
      <c r="AB162" s="109"/>
      <c r="AC162" s="109"/>
      <c r="AD162" s="109"/>
      <c r="AE162" s="109"/>
      <c r="AF162" s="109"/>
      <c r="AG162" s="34"/>
      <c r="AH162" s="70"/>
      <c r="AI162" s="109"/>
      <c r="AJ162" s="109"/>
      <c r="AK162" s="109"/>
      <c r="AL162" s="109"/>
      <c r="AM162" s="109"/>
      <c r="AN162" s="109"/>
      <c r="AO162" s="109"/>
      <c r="AP162" s="109"/>
      <c r="AQ162" s="34"/>
      <c r="AR162" s="70"/>
      <c r="AS162" s="109"/>
      <c r="AT162" s="109"/>
      <c r="AU162" s="109"/>
      <c r="AV162" s="109"/>
      <c r="AW162" s="109"/>
      <c r="AX162" s="109"/>
      <c r="AY162" s="109"/>
      <c r="AZ162" s="109"/>
      <c r="BA162" s="70"/>
      <c r="BB162" s="70"/>
      <c r="BC162" s="109"/>
      <c r="BD162" s="109"/>
      <c r="BE162" s="109"/>
      <c r="BF162" s="109"/>
      <c r="BG162" s="109"/>
      <c r="BH162" s="109"/>
      <c r="BI162" s="109"/>
      <c r="BJ162" s="109"/>
      <c r="BM162" s="70"/>
      <c r="BN162" s="70"/>
      <c r="BO162" s="70"/>
      <c r="BP162" s="70"/>
      <c r="BQ162" s="70"/>
      <c r="BR162" s="70"/>
      <c r="BS162" s="70"/>
      <c r="BT162" s="70"/>
      <c r="BU162" s="70"/>
    </row>
    <row r="163" spans="1:73" ht="13.5" customHeight="1">
      <c r="B163" s="31" t="s">
        <v>134</v>
      </c>
      <c r="D163" s="54">
        <v>116</v>
      </c>
      <c r="E163" s="16">
        <f>+F163*2-D163</f>
        <v>120</v>
      </c>
      <c r="F163" s="16">
        <v>118</v>
      </c>
      <c r="G163" s="16"/>
      <c r="H163" s="16">
        <v>125</v>
      </c>
      <c r="I163" s="201">
        <v>151</v>
      </c>
      <c r="J163" s="201">
        <v>138</v>
      </c>
      <c r="K163" s="201"/>
      <c r="L163" s="201">
        <v>128</v>
      </c>
      <c r="N163" s="54">
        <v>113</v>
      </c>
      <c r="O163" s="16">
        <f>+P163*2-N163</f>
        <v>119</v>
      </c>
      <c r="P163" s="16">
        <v>116</v>
      </c>
      <c r="Q163" s="16"/>
      <c r="R163" s="16">
        <v>121</v>
      </c>
      <c r="S163" s="201">
        <v>130.30000000000001</v>
      </c>
      <c r="T163" s="201">
        <v>126</v>
      </c>
      <c r="U163" s="201"/>
      <c r="V163" s="201">
        <v>121</v>
      </c>
      <c r="X163" s="54">
        <v>115</v>
      </c>
      <c r="Y163" s="16">
        <v>110</v>
      </c>
      <c r="Z163" s="16">
        <v>112</v>
      </c>
      <c r="AA163" s="16"/>
      <c r="AB163" s="16">
        <v>115</v>
      </c>
      <c r="AC163" s="112">
        <v>121</v>
      </c>
      <c r="AD163" s="112">
        <v>118</v>
      </c>
      <c r="AE163" s="112"/>
      <c r="AF163" s="112">
        <v>115</v>
      </c>
      <c r="AH163" s="54">
        <v>115</v>
      </c>
      <c r="AI163" s="16">
        <v>105</v>
      </c>
      <c r="AJ163" s="16">
        <v>110</v>
      </c>
      <c r="AK163" s="16"/>
      <c r="AL163" s="16">
        <v>112</v>
      </c>
      <c r="AM163" s="112">
        <v>128</v>
      </c>
      <c r="AN163" s="112">
        <v>120</v>
      </c>
      <c r="AO163" s="112"/>
      <c r="AP163" s="112">
        <v>115</v>
      </c>
      <c r="AR163" s="54">
        <v>131</v>
      </c>
      <c r="AS163" s="16">
        <v>111</v>
      </c>
      <c r="AT163" s="16">
        <v>121</v>
      </c>
      <c r="AU163" s="16"/>
      <c r="AV163" s="16">
        <v>115</v>
      </c>
      <c r="AW163" s="112">
        <v>111</v>
      </c>
      <c r="AX163" s="112">
        <v>113</v>
      </c>
      <c r="AY163" s="112"/>
      <c r="AZ163" s="112">
        <v>117</v>
      </c>
      <c r="BA163" s="54"/>
      <c r="BB163" s="54">
        <v>137</v>
      </c>
      <c r="BC163" s="16">
        <v>135</v>
      </c>
      <c r="BD163" s="16">
        <v>136.19999999999999</v>
      </c>
      <c r="BE163" s="16"/>
      <c r="BF163" s="16">
        <v>118</v>
      </c>
      <c r="BG163" s="16">
        <v>130</v>
      </c>
      <c r="BH163" s="16">
        <v>124</v>
      </c>
      <c r="BI163" s="16"/>
      <c r="BJ163" s="16">
        <v>128</v>
      </c>
      <c r="BM163" s="54">
        <v>152.1</v>
      </c>
      <c r="BN163" s="54">
        <v>137.9</v>
      </c>
      <c r="BO163" s="54">
        <v>145</v>
      </c>
      <c r="BP163" s="54"/>
      <c r="BQ163" s="54">
        <v>133</v>
      </c>
      <c r="BR163" s="54">
        <v>138</v>
      </c>
      <c r="BS163" s="54">
        <v>135</v>
      </c>
      <c r="BT163" s="54"/>
      <c r="BU163" s="54">
        <v>140</v>
      </c>
    </row>
    <row r="164" spans="1:73" ht="13.5" customHeight="1">
      <c r="B164" s="31" t="s">
        <v>102</v>
      </c>
      <c r="D164" s="54">
        <v>46</v>
      </c>
      <c r="E164" s="80">
        <f>+F164*2-D164</f>
        <v>46</v>
      </c>
      <c r="F164" s="54">
        <v>46</v>
      </c>
      <c r="G164" s="110"/>
      <c r="H164" s="186">
        <v>47</v>
      </c>
      <c r="I164" s="205">
        <v>57</v>
      </c>
      <c r="J164" s="205">
        <v>52</v>
      </c>
      <c r="K164" s="205"/>
      <c r="L164" s="205">
        <v>49</v>
      </c>
      <c r="N164" s="54">
        <v>54</v>
      </c>
      <c r="O164" s="80">
        <f>+P164*2-N164</f>
        <v>62</v>
      </c>
      <c r="P164" s="54">
        <v>58</v>
      </c>
      <c r="Q164" s="110"/>
      <c r="R164" s="186">
        <v>50</v>
      </c>
      <c r="S164" s="205">
        <v>46</v>
      </c>
      <c r="T164" s="205">
        <v>48</v>
      </c>
      <c r="U164" s="205"/>
      <c r="V164" s="205">
        <v>53</v>
      </c>
      <c r="X164" s="54">
        <v>108</v>
      </c>
      <c r="Y164" s="80">
        <v>109.6</v>
      </c>
      <c r="Z164" s="54">
        <v>109</v>
      </c>
      <c r="AA164" s="110"/>
      <c r="AB164" s="16">
        <v>102</v>
      </c>
      <c r="AC164" s="154">
        <v>76</v>
      </c>
      <c r="AD164" s="154">
        <v>89</v>
      </c>
      <c r="AE164" s="154"/>
      <c r="AF164" s="154">
        <v>99</v>
      </c>
      <c r="AH164" s="54">
        <v>113</v>
      </c>
      <c r="AI164" s="54">
        <v>102</v>
      </c>
      <c r="AJ164" s="54">
        <v>108</v>
      </c>
      <c r="AK164" s="110"/>
      <c r="AL164" s="16">
        <v>110</v>
      </c>
      <c r="AM164" s="154">
        <v>109</v>
      </c>
      <c r="AN164" s="154">
        <v>110</v>
      </c>
      <c r="AO164" s="154"/>
      <c r="AP164" s="154">
        <v>109</v>
      </c>
      <c r="AR164" s="54">
        <v>119</v>
      </c>
      <c r="AS164" s="54">
        <v>108</v>
      </c>
      <c r="AT164" s="54">
        <v>113</v>
      </c>
      <c r="AU164" s="110"/>
      <c r="AV164" s="16">
        <v>110</v>
      </c>
      <c r="AW164" s="154">
        <v>110</v>
      </c>
      <c r="AX164" s="154">
        <v>110</v>
      </c>
      <c r="AY164" s="154"/>
      <c r="AZ164" s="154">
        <v>109</v>
      </c>
      <c r="BA164" s="93"/>
      <c r="BB164" s="93">
        <v>105</v>
      </c>
      <c r="BC164" s="94">
        <v>117.4</v>
      </c>
      <c r="BD164" s="93">
        <f>(BB164+BC164)/2</f>
        <v>111.2</v>
      </c>
      <c r="BE164" s="94"/>
      <c r="BF164" s="165">
        <v>113</v>
      </c>
      <c r="BG164" s="94">
        <v>110</v>
      </c>
      <c r="BH164" s="94">
        <v>112</v>
      </c>
      <c r="BI164" s="94"/>
      <c r="BJ164" s="94">
        <v>111</v>
      </c>
      <c r="BK164" s="75"/>
      <c r="BL164" s="75"/>
      <c r="BM164" s="93">
        <v>76.2</v>
      </c>
      <c r="BN164" s="93">
        <v>78.3</v>
      </c>
      <c r="BO164" s="93">
        <f>(BM164+BN164)/2</f>
        <v>77.25</v>
      </c>
      <c r="BP164" s="93"/>
      <c r="BQ164" s="93">
        <v>76.900000000000006</v>
      </c>
      <c r="BR164" s="93">
        <v>86.5</v>
      </c>
      <c r="BS164" s="93">
        <f>(BQ164+BR164)/2</f>
        <v>81.7</v>
      </c>
      <c r="BT164" s="93"/>
      <c r="BU164" s="93">
        <f>(BO164+BS164)/2</f>
        <v>79.474999999999994</v>
      </c>
    </row>
    <row r="165" spans="1:73" ht="13.5" customHeight="1">
      <c r="B165" s="72" t="s">
        <v>92</v>
      </c>
      <c r="C165" s="34"/>
      <c r="D165" s="70"/>
      <c r="E165" s="109"/>
      <c r="F165" s="109"/>
      <c r="G165" s="109"/>
      <c r="H165" s="204"/>
      <c r="I165" s="204"/>
      <c r="J165" s="204"/>
      <c r="K165" s="204"/>
      <c r="L165" s="204"/>
      <c r="M165" s="34"/>
      <c r="N165" s="70"/>
      <c r="O165" s="109"/>
      <c r="P165" s="109"/>
      <c r="Q165" s="109"/>
      <c r="R165" s="204"/>
      <c r="S165" s="204"/>
      <c r="T165" s="204"/>
      <c r="U165" s="204"/>
      <c r="V165" s="204"/>
      <c r="W165" s="34"/>
      <c r="X165" s="70"/>
      <c r="Y165" s="109"/>
      <c r="Z165" s="109"/>
      <c r="AA165" s="109"/>
      <c r="AB165" s="109"/>
      <c r="AC165" s="109"/>
      <c r="AD165" s="109"/>
      <c r="AE165" s="109"/>
      <c r="AF165" s="109"/>
      <c r="AG165" s="34"/>
      <c r="AH165" s="70"/>
      <c r="AI165" s="109"/>
      <c r="AJ165" s="109"/>
      <c r="AK165" s="109"/>
      <c r="AL165" s="109"/>
      <c r="AM165" s="109"/>
      <c r="AN165" s="109"/>
      <c r="AO165" s="109"/>
      <c r="AP165" s="109"/>
      <c r="AQ165" s="34"/>
      <c r="AR165" s="70"/>
      <c r="AS165" s="109"/>
      <c r="AT165" s="109"/>
      <c r="AU165" s="109"/>
      <c r="AV165" s="109"/>
      <c r="AW165" s="109"/>
      <c r="AX165" s="109"/>
      <c r="AY165" s="109"/>
      <c r="AZ165" s="109"/>
      <c r="BA165" s="70"/>
      <c r="BB165" s="70"/>
      <c r="BC165" s="109"/>
      <c r="BD165" s="109"/>
      <c r="BE165" s="109"/>
      <c r="BF165" s="109"/>
      <c r="BG165" s="109"/>
      <c r="BH165" s="109"/>
      <c r="BI165" s="109"/>
      <c r="BJ165" s="109"/>
      <c r="BM165" s="70"/>
      <c r="BN165" s="70"/>
      <c r="BO165" s="70"/>
      <c r="BP165" s="70"/>
      <c r="BQ165" s="70"/>
      <c r="BR165" s="70"/>
      <c r="BS165" s="70"/>
      <c r="BT165" s="70"/>
      <c r="BU165" s="70"/>
    </row>
    <row r="166" spans="1:73" ht="13.5" customHeight="1">
      <c r="B166" s="31" t="s">
        <v>105</v>
      </c>
      <c r="D166" s="54">
        <v>214.55082395970169</v>
      </c>
      <c r="E166" s="16">
        <f>+F166*2-D166</f>
        <v>217.44917604029831</v>
      </c>
      <c r="F166" s="16">
        <v>216</v>
      </c>
      <c r="G166" s="16"/>
      <c r="H166" s="186">
        <v>224</v>
      </c>
      <c r="I166" s="201">
        <v>280</v>
      </c>
      <c r="J166" s="201">
        <v>252</v>
      </c>
      <c r="K166" s="201"/>
      <c r="L166" s="201">
        <v>234</v>
      </c>
      <c r="N166" s="54">
        <v>275</v>
      </c>
      <c r="O166" s="16">
        <f>+P166*2-N166</f>
        <v>237</v>
      </c>
      <c r="P166" s="16">
        <v>256</v>
      </c>
      <c r="Q166" s="16"/>
      <c r="R166" s="186">
        <v>222</v>
      </c>
      <c r="S166" s="201">
        <v>214</v>
      </c>
      <c r="T166" s="201">
        <v>218</v>
      </c>
      <c r="U166" s="201"/>
      <c r="V166" s="201">
        <v>237</v>
      </c>
      <c r="X166" s="54">
        <v>319</v>
      </c>
      <c r="Y166" s="16">
        <v>317</v>
      </c>
      <c r="Z166" s="16">
        <v>314</v>
      </c>
      <c r="AA166" s="16"/>
      <c r="AB166" s="16">
        <v>317</v>
      </c>
      <c r="AC166" s="112">
        <v>300</v>
      </c>
      <c r="AD166" s="112">
        <v>309</v>
      </c>
      <c r="AE166" s="112"/>
      <c r="AF166" s="112">
        <v>311</v>
      </c>
      <c r="AH166" s="54">
        <v>360</v>
      </c>
      <c r="AI166" s="16">
        <v>324</v>
      </c>
      <c r="AJ166" s="16">
        <v>342</v>
      </c>
      <c r="AK166" s="16"/>
      <c r="AL166" s="16">
        <v>321</v>
      </c>
      <c r="AM166" s="112">
        <v>324</v>
      </c>
      <c r="AN166" s="112">
        <v>323</v>
      </c>
      <c r="AO166" s="112"/>
      <c r="AP166" s="112">
        <v>332</v>
      </c>
      <c r="AR166" s="54">
        <v>377</v>
      </c>
      <c r="AS166" s="16">
        <v>357</v>
      </c>
      <c r="AT166" s="16">
        <v>367</v>
      </c>
      <c r="AU166" s="16"/>
      <c r="AV166" s="16">
        <v>350</v>
      </c>
      <c r="AW166" s="112">
        <v>359</v>
      </c>
      <c r="AX166" s="112">
        <v>354</v>
      </c>
      <c r="AY166" s="112"/>
      <c r="AZ166" s="112">
        <v>361</v>
      </c>
      <c r="BA166" s="54"/>
      <c r="BB166" s="54">
        <v>438</v>
      </c>
      <c r="BC166" s="16">
        <v>415</v>
      </c>
      <c r="BD166" s="16">
        <v>426</v>
      </c>
      <c r="BE166" s="16"/>
      <c r="BF166" s="16">
        <v>408</v>
      </c>
      <c r="BG166" s="16">
        <v>340</v>
      </c>
      <c r="BH166" s="16">
        <v>374</v>
      </c>
      <c r="BI166" s="16"/>
      <c r="BJ166" s="16">
        <v>400</v>
      </c>
      <c r="BM166" s="54">
        <v>328</v>
      </c>
      <c r="BN166" s="54">
        <v>319</v>
      </c>
      <c r="BO166" s="54">
        <v>323</v>
      </c>
      <c r="BP166" s="54"/>
      <c r="BQ166" s="54">
        <v>329</v>
      </c>
      <c r="BR166" s="54">
        <v>392</v>
      </c>
      <c r="BS166" s="54">
        <v>360</v>
      </c>
      <c r="BT166" s="54"/>
      <c r="BU166" s="54">
        <v>342</v>
      </c>
    </row>
    <row r="167" spans="1:73" ht="13.5" customHeight="1">
      <c r="B167" s="31" t="s">
        <v>110</v>
      </c>
      <c r="D167" s="54">
        <v>45</v>
      </c>
      <c r="E167" s="16">
        <f>+F167-D167</f>
        <v>48</v>
      </c>
      <c r="F167" s="16">
        <v>93</v>
      </c>
      <c r="G167" s="16"/>
      <c r="H167" s="16">
        <f>148-F167</f>
        <v>55</v>
      </c>
      <c r="I167" s="201">
        <v>52</v>
      </c>
      <c r="J167" s="201">
        <v>107</v>
      </c>
      <c r="K167" s="201"/>
      <c r="L167" s="201">
        <v>200</v>
      </c>
      <c r="N167" s="54">
        <v>39</v>
      </c>
      <c r="O167" s="16">
        <f>+P167-N167</f>
        <v>42</v>
      </c>
      <c r="P167" s="16">
        <v>81</v>
      </c>
      <c r="Q167" s="16"/>
      <c r="R167" s="16">
        <f>127-P167</f>
        <v>46</v>
      </c>
      <c r="S167" s="201">
        <v>45</v>
      </c>
      <c r="T167" s="201">
        <v>91</v>
      </c>
      <c r="U167" s="201"/>
      <c r="V167" s="201">
        <v>172</v>
      </c>
      <c r="X167" s="54">
        <v>33</v>
      </c>
      <c r="Y167" s="16">
        <v>32</v>
      </c>
      <c r="Z167" s="16">
        <v>65</v>
      </c>
      <c r="AA167" s="16"/>
      <c r="AB167" s="16">
        <v>39</v>
      </c>
      <c r="AC167" s="112">
        <v>44</v>
      </c>
      <c r="AD167" s="112">
        <v>83</v>
      </c>
      <c r="AE167" s="112"/>
      <c r="AF167" s="112">
        <v>148</v>
      </c>
      <c r="AH167" s="54">
        <v>28</v>
      </c>
      <c r="AI167" s="16">
        <v>31</v>
      </c>
      <c r="AJ167" s="16">
        <v>59</v>
      </c>
      <c r="AK167" s="16"/>
      <c r="AL167" s="16">
        <v>32</v>
      </c>
      <c r="AM167" s="112">
        <v>35</v>
      </c>
      <c r="AN167" s="112">
        <v>67</v>
      </c>
      <c r="AO167" s="112"/>
      <c r="AP167" s="112">
        <v>127</v>
      </c>
      <c r="AR167" s="54"/>
      <c r="AS167" s="16"/>
      <c r="AT167" s="16"/>
      <c r="AU167" s="16"/>
      <c r="AV167" s="16"/>
      <c r="AW167" s="112"/>
      <c r="AX167" s="112"/>
      <c r="AY167" s="112"/>
      <c r="AZ167" s="112">
        <v>105</v>
      </c>
      <c r="BA167" s="54"/>
      <c r="BB167" s="54"/>
      <c r="BC167" s="16"/>
      <c r="BD167" s="16"/>
      <c r="BE167" s="16"/>
      <c r="BF167" s="16"/>
      <c r="BG167" s="16"/>
      <c r="BH167" s="16"/>
      <c r="BI167" s="16"/>
      <c r="BJ167" s="16">
        <v>105</v>
      </c>
      <c r="BM167" s="54"/>
      <c r="BN167" s="54"/>
      <c r="BO167" s="54"/>
      <c r="BP167" s="54"/>
      <c r="BQ167" s="54"/>
      <c r="BR167" s="54"/>
      <c r="BS167" s="54"/>
      <c r="BT167" s="54"/>
      <c r="BU167" s="54">
        <v>111</v>
      </c>
    </row>
    <row r="168" spans="1:73" ht="13.5" customHeight="1">
      <c r="B168" s="31" t="s">
        <v>93</v>
      </c>
      <c r="D168" s="54">
        <v>153</v>
      </c>
      <c r="E168" s="16">
        <f>+F168-D168</f>
        <v>156</v>
      </c>
      <c r="F168" s="16">
        <v>309</v>
      </c>
      <c r="G168" s="16"/>
      <c r="H168" s="16">
        <f>452-F168</f>
        <v>143</v>
      </c>
      <c r="I168" s="201">
        <v>150</v>
      </c>
      <c r="J168" s="201">
        <v>293</v>
      </c>
      <c r="K168" s="201"/>
      <c r="L168" s="201">
        <v>602</v>
      </c>
      <c r="N168" s="54">
        <v>144</v>
      </c>
      <c r="O168" s="16">
        <f>+P168-N168</f>
        <v>164</v>
      </c>
      <c r="P168" s="16">
        <v>308</v>
      </c>
      <c r="Q168" s="16"/>
      <c r="R168" s="16">
        <f>433-P168</f>
        <v>125</v>
      </c>
      <c r="S168" s="201">
        <v>162</v>
      </c>
      <c r="T168" s="201">
        <v>287</v>
      </c>
      <c r="U168" s="201"/>
      <c r="V168" s="201">
        <v>595</v>
      </c>
      <c r="X168" s="54">
        <v>152</v>
      </c>
      <c r="Y168" s="16">
        <v>155</v>
      </c>
      <c r="Z168" s="16">
        <v>307</v>
      </c>
      <c r="AA168" s="16"/>
      <c r="AB168" s="16">
        <v>150</v>
      </c>
      <c r="AC168" s="112">
        <v>167</v>
      </c>
      <c r="AD168" s="112">
        <v>317</v>
      </c>
      <c r="AE168" s="112"/>
      <c r="AF168" s="112">
        <v>623</v>
      </c>
      <c r="AH168" s="54">
        <v>148</v>
      </c>
      <c r="AI168" s="16">
        <v>142</v>
      </c>
      <c r="AJ168" s="16">
        <v>289</v>
      </c>
      <c r="AK168" s="16"/>
      <c r="AL168" s="16">
        <v>145</v>
      </c>
      <c r="AM168" s="112">
        <v>154</v>
      </c>
      <c r="AN168" s="112">
        <v>299</v>
      </c>
      <c r="AO168" s="112"/>
      <c r="AP168" s="112">
        <v>588</v>
      </c>
      <c r="AR168" s="54">
        <v>134</v>
      </c>
      <c r="AS168" s="16">
        <v>133</v>
      </c>
      <c r="AT168" s="16">
        <v>267</v>
      </c>
      <c r="AU168" s="16"/>
      <c r="AV168" s="16">
        <v>126</v>
      </c>
      <c r="AW168" s="112">
        <v>151</v>
      </c>
      <c r="AX168" s="112">
        <v>284</v>
      </c>
      <c r="AY168" s="112"/>
      <c r="AZ168" s="112">
        <v>551</v>
      </c>
      <c r="BA168" s="54"/>
      <c r="BB168" s="54">
        <v>152</v>
      </c>
      <c r="BC168" s="16">
        <v>134</v>
      </c>
      <c r="BD168" s="16">
        <v>286</v>
      </c>
      <c r="BE168" s="16"/>
      <c r="BF168" s="16">
        <f>442-BD168</f>
        <v>156</v>
      </c>
      <c r="BG168" s="16">
        <v>123</v>
      </c>
      <c r="BH168" s="16">
        <v>279</v>
      </c>
      <c r="BI168" s="16"/>
      <c r="BJ168" s="16">
        <v>566</v>
      </c>
      <c r="BM168" s="54">
        <v>159.30000000000001</v>
      </c>
      <c r="BN168" s="54">
        <v>144.69999999999999</v>
      </c>
      <c r="BO168" s="54">
        <v>304</v>
      </c>
      <c r="BP168" s="54"/>
      <c r="BQ168" s="54">
        <v>151</v>
      </c>
      <c r="BR168" s="54">
        <v>133</v>
      </c>
      <c r="BS168" s="54">
        <v>284</v>
      </c>
      <c r="BT168" s="54"/>
      <c r="BU168" s="54">
        <v>588</v>
      </c>
    </row>
    <row r="169" spans="1:73" s="179" customFormat="1" ht="13.5" customHeight="1">
      <c r="B169" s="180" t="s">
        <v>95</v>
      </c>
      <c r="D169" s="71">
        <v>3.8</v>
      </c>
      <c r="E169" s="110">
        <f>+F169*2-D169</f>
        <v>4</v>
      </c>
      <c r="F169" s="110">
        <v>3.9</v>
      </c>
      <c r="G169" s="110"/>
      <c r="H169" s="110">
        <v>4</v>
      </c>
      <c r="I169" s="206">
        <v>4.2</v>
      </c>
      <c r="J169" s="206">
        <v>4.0999999999999996</v>
      </c>
      <c r="K169" s="206"/>
      <c r="L169" s="206">
        <v>4</v>
      </c>
      <c r="N169" s="71">
        <v>3.7</v>
      </c>
      <c r="O169" s="110">
        <f>+P169*2-N169</f>
        <v>3.8999999999999995</v>
      </c>
      <c r="P169" s="110">
        <v>3.8</v>
      </c>
      <c r="Q169" s="110"/>
      <c r="R169" s="110">
        <v>3.7</v>
      </c>
      <c r="S169" s="206">
        <v>3.7</v>
      </c>
      <c r="T169" s="206">
        <v>3.7</v>
      </c>
      <c r="U169" s="206"/>
      <c r="V169" s="206">
        <v>3.7</v>
      </c>
      <c r="X169" s="71">
        <v>3.7</v>
      </c>
      <c r="Y169" s="110">
        <v>3.8</v>
      </c>
      <c r="Z169" s="110">
        <v>3.8</v>
      </c>
      <c r="AA169" s="110"/>
      <c r="AB169" s="110">
        <v>3.9</v>
      </c>
      <c r="AC169" s="153">
        <v>3.8</v>
      </c>
      <c r="AD169" s="153">
        <v>3.9</v>
      </c>
      <c r="AE169" s="153"/>
      <c r="AF169" s="153">
        <v>3.8</v>
      </c>
      <c r="AH169" s="71">
        <v>3.3</v>
      </c>
      <c r="AI169" s="110">
        <v>3.6</v>
      </c>
      <c r="AJ169" s="110">
        <v>3.4</v>
      </c>
      <c r="AK169" s="110"/>
      <c r="AL169" s="110">
        <v>3.5</v>
      </c>
      <c r="AM169" s="153">
        <v>3.4</v>
      </c>
      <c r="AN169" s="153">
        <v>3.4</v>
      </c>
      <c r="AO169" s="153"/>
      <c r="AP169" s="153">
        <v>3.4</v>
      </c>
      <c r="AR169" s="71">
        <v>3.4</v>
      </c>
      <c r="AS169" s="110">
        <v>3.6</v>
      </c>
      <c r="AT169" s="110">
        <v>3.5</v>
      </c>
      <c r="AU169" s="110"/>
      <c r="AV169" s="110">
        <v>3.2</v>
      </c>
      <c r="AW169" s="153">
        <v>2.9</v>
      </c>
      <c r="AX169" s="153">
        <v>3.1</v>
      </c>
      <c r="AY169" s="153"/>
      <c r="AZ169" s="153">
        <v>3.3</v>
      </c>
      <c r="BA169" s="71"/>
      <c r="BB169" s="71">
        <v>3.8</v>
      </c>
      <c r="BC169" s="110">
        <v>3.6</v>
      </c>
      <c r="BD169" s="110">
        <v>3.7</v>
      </c>
      <c r="BE169" s="110"/>
      <c r="BF169" s="110">
        <v>3.3</v>
      </c>
      <c r="BG169" s="110">
        <v>3.3</v>
      </c>
      <c r="BH169" s="110">
        <v>3.3</v>
      </c>
      <c r="BI169" s="110"/>
      <c r="BJ169" s="110">
        <v>3.5</v>
      </c>
      <c r="BM169" s="71">
        <v>4.1150000000000002</v>
      </c>
      <c r="BN169" s="71">
        <v>4.1150000000000002</v>
      </c>
      <c r="BO169" s="71">
        <v>4.1150000000000002</v>
      </c>
      <c r="BP169" s="71"/>
      <c r="BQ169" s="71">
        <v>3.6</v>
      </c>
      <c r="BR169" s="71">
        <v>3.5</v>
      </c>
      <c r="BS169" s="71">
        <v>3.6</v>
      </c>
      <c r="BT169" s="71"/>
      <c r="BU169" s="71">
        <v>3.8</v>
      </c>
    </row>
    <row r="170" spans="1:73" ht="13.5" customHeight="1">
      <c r="B170" s="31" t="s">
        <v>94</v>
      </c>
      <c r="D170" s="71">
        <v>1.6</v>
      </c>
      <c r="E170" s="110">
        <f>+F170-D170</f>
        <v>1.1000000000000001</v>
      </c>
      <c r="F170" s="110">
        <v>2.7</v>
      </c>
      <c r="G170" s="110"/>
      <c r="H170" s="110">
        <f>3.8-F170</f>
        <v>1.0999999999999996</v>
      </c>
      <c r="I170" s="206">
        <v>1.8</v>
      </c>
      <c r="J170" s="206">
        <v>2.9</v>
      </c>
      <c r="K170" s="206"/>
      <c r="L170" s="206">
        <v>5.6</v>
      </c>
      <c r="N170" s="71">
        <v>1.6</v>
      </c>
      <c r="O170" s="110">
        <f>+P170-N170</f>
        <v>1.9</v>
      </c>
      <c r="P170" s="110">
        <v>3.5</v>
      </c>
      <c r="Q170" s="110"/>
      <c r="R170" s="110">
        <f>5-P170</f>
        <v>1.5</v>
      </c>
      <c r="S170" s="206">
        <v>1.4</v>
      </c>
      <c r="T170" s="206">
        <v>2.9</v>
      </c>
      <c r="U170" s="206"/>
      <c r="V170" s="206">
        <v>6.4</v>
      </c>
      <c r="X170" s="71">
        <v>1.3</v>
      </c>
      <c r="Y170" s="110">
        <v>1.7</v>
      </c>
      <c r="Z170" s="110">
        <v>3</v>
      </c>
      <c r="AA170" s="110"/>
      <c r="AB170" s="110">
        <v>1.2</v>
      </c>
      <c r="AC170" s="153">
        <v>1.8</v>
      </c>
      <c r="AD170" s="153">
        <v>2.9</v>
      </c>
      <c r="AE170" s="153"/>
      <c r="AF170" s="153">
        <v>5.9</v>
      </c>
      <c r="AH170" s="71">
        <v>1.3</v>
      </c>
      <c r="AI170" s="110">
        <v>1.8</v>
      </c>
      <c r="AJ170" s="110">
        <v>3.1</v>
      </c>
      <c r="AK170" s="110"/>
      <c r="AL170" s="110">
        <v>1.5</v>
      </c>
      <c r="AM170" s="153">
        <v>1.5</v>
      </c>
      <c r="AN170" s="153">
        <v>3</v>
      </c>
      <c r="AO170" s="153"/>
      <c r="AP170" s="153">
        <v>6.1</v>
      </c>
      <c r="AR170" s="71">
        <v>1.1000000000000001</v>
      </c>
      <c r="AS170" s="110">
        <v>1.9</v>
      </c>
      <c r="AT170" s="110">
        <v>2.9</v>
      </c>
      <c r="AU170" s="110"/>
      <c r="AV170" s="110">
        <v>1.37</v>
      </c>
      <c r="AW170" s="153">
        <v>1.5</v>
      </c>
      <c r="AX170" s="153">
        <v>2.9</v>
      </c>
      <c r="AY170" s="153"/>
      <c r="AZ170" s="153">
        <v>5.8</v>
      </c>
      <c r="BA170" s="71"/>
      <c r="BB170" s="71">
        <v>1.5</v>
      </c>
      <c r="BC170" s="110">
        <v>2.1</v>
      </c>
      <c r="BD170" s="110">
        <v>3.6</v>
      </c>
      <c r="BE170" s="110"/>
      <c r="BF170" s="110">
        <v>1.6</v>
      </c>
      <c r="BG170" s="110">
        <v>1.8</v>
      </c>
      <c r="BH170" s="110">
        <v>3.4</v>
      </c>
      <c r="BI170" s="110"/>
      <c r="BJ170" s="110">
        <v>7</v>
      </c>
      <c r="BM170" s="71">
        <v>1.599</v>
      </c>
      <c r="BN170" s="71">
        <v>2.0010000000000003</v>
      </c>
      <c r="BO170" s="71">
        <v>3.6</v>
      </c>
      <c r="BP170" s="71"/>
      <c r="BQ170" s="71">
        <v>1.6</v>
      </c>
      <c r="BR170" s="71">
        <v>1.3</v>
      </c>
      <c r="BS170" s="71">
        <v>2.9</v>
      </c>
      <c r="BT170" s="71"/>
      <c r="BU170" s="71">
        <v>6.5</v>
      </c>
    </row>
    <row r="171" spans="1:73">
      <c r="I171" s="207"/>
      <c r="J171" s="207"/>
      <c r="K171" s="207"/>
      <c r="L171" s="207"/>
      <c r="S171" s="207"/>
      <c r="T171" s="207"/>
      <c r="U171" s="207"/>
      <c r="V171" s="207"/>
    </row>
    <row r="172" spans="1:73">
      <c r="B172" s="31" t="s">
        <v>135</v>
      </c>
    </row>
    <row r="173" spans="1:73">
      <c r="A173" s="4"/>
      <c r="B173" s="31" t="s">
        <v>136</v>
      </c>
    </row>
  </sheetData>
  <phoneticPr fontId="3"/>
  <pageMargins left="0.75" right="0.75" top="1" bottom="1" header="0.51200000000000001" footer="0.51200000000000001"/>
  <pageSetup paperSize="9" scale="75" fitToHeight="0" orientation="portrait" r:id="rId1"/>
  <headerFooter alignWithMargins="0">
    <oddHeader>&amp;R&amp;"Calibri"&amp;14&amp;K000000 【社内限り】&amp;1#_x000D_</oddHeader>
    <oddFooter>&amp;L（C)JX Holdings, Inc.</oddFooter>
  </headerFooter>
  <rowBreaks count="2" manualBreakCount="2">
    <brk id="80" max="11" man="1"/>
    <brk id="150" max="1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ENEOS（5020）_IFRS日_FY25</vt:lpstr>
      <vt:lpstr>ENEOS（5020）_IFRS日_FY24</vt:lpstr>
      <vt:lpstr>ENEOS（5020）_IFRS日_FY23</vt:lpstr>
      <vt:lpstr>ENEOS（5020）_IFRS日_FY20-22</vt:lpstr>
      <vt:lpstr>JXTG（5020）_IFRS</vt:lpstr>
      <vt:lpstr>JX（5020）_日本基準</vt:lpstr>
      <vt:lpstr>'ENEOS（5020）_IFRS日_FY20-22'!Print_Area</vt:lpstr>
      <vt:lpstr>'ENEOS（5020）_IFRS日_FY23'!Print_Area</vt:lpstr>
      <vt:lpstr>'ENEOS（5020）_IFRS日_FY24'!Print_Area</vt:lpstr>
      <vt:lpstr>'ENEOS（5020）_IFRS日_FY25'!Print_Area</vt:lpstr>
      <vt:lpstr>'JX（5020）_日本基準'!Print_Area</vt:lpstr>
      <vt:lpstr>'JXTG（5020）_IFRS'!Print_Area</vt:lpstr>
    </vt:vector>
  </TitlesOfParts>
  <Manager>IR</Manager>
  <Company>JXホールディングス株式会社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JX Historical Data</dc:title>
  <dc:subject>JX Historical Data</dc:subject>
  <dc:creator>JX IR Group</dc:creator>
  <cp:lastModifiedBy>UEMATSU Yukina/植松佑紀奈(HD インベスター・リレーションズ IR)</cp:lastModifiedBy>
  <cp:lastPrinted>2024-08-05T08:50:06Z</cp:lastPrinted>
  <dcterms:created xsi:type="dcterms:W3CDTF">2007-06-15T02:55:47Z</dcterms:created>
  <dcterms:modified xsi:type="dcterms:W3CDTF">2026-05-19T01:26:08Z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72fc719-1c28-4346-a897-15a3914b7595_Enabled">
    <vt:lpwstr>true</vt:lpwstr>
  </property>
  <property fmtid="{D5CDD505-2E9C-101B-9397-08002B2CF9AE}" pid="3" name="MSIP_Label_372fc719-1c28-4346-a897-15a3914b7595_SetDate">
    <vt:lpwstr>2025-02-08T05:11:50Z</vt:lpwstr>
  </property>
  <property fmtid="{D5CDD505-2E9C-101B-9397-08002B2CF9AE}" pid="4" name="MSIP_Label_372fc719-1c28-4346-a897-15a3914b7595_Method">
    <vt:lpwstr>Standard</vt:lpwstr>
  </property>
  <property fmtid="{D5CDD505-2E9C-101B-9397-08002B2CF9AE}" pid="5" name="MSIP_Label_372fc719-1c28-4346-a897-15a3914b7595_Name">
    <vt:lpwstr>社内限り</vt:lpwstr>
  </property>
  <property fmtid="{D5CDD505-2E9C-101B-9397-08002B2CF9AE}" pid="6" name="MSIP_Label_372fc719-1c28-4346-a897-15a3914b7595_SiteId">
    <vt:lpwstr>083b56f6-afc0-41a4-8aa0-de8b7a92e923</vt:lpwstr>
  </property>
  <property fmtid="{D5CDD505-2E9C-101B-9397-08002B2CF9AE}" pid="7" name="MSIP_Label_372fc719-1c28-4346-a897-15a3914b7595_ActionId">
    <vt:lpwstr>12b77fb8-b4d4-4cb5-831f-b2ebe66a7933</vt:lpwstr>
  </property>
  <property fmtid="{D5CDD505-2E9C-101B-9397-08002B2CF9AE}" pid="8" name="MSIP_Label_372fc719-1c28-4346-a897-15a3914b7595_ContentBits">
    <vt:lpwstr>1</vt:lpwstr>
  </property>
</Properties>
</file>